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emergencias-my.sharepoint.com/personal/salonso_emergencias_com_ar/Documents/Escritorio/Repositorio (Archivos)/02. Masters/"/>
    </mc:Choice>
  </mc:AlternateContent>
  <xr:revisionPtr revIDLastSave="4" documentId="8_{9B674BCD-E92C-4123-ACC6-4B7B4DA26529}" xr6:coauthVersionLast="47" xr6:coauthVersionMax="47" xr10:uidLastSave="{CBEA1653-733B-4DF2-9763-C2864FE862D9}"/>
  <bookViews>
    <workbookView xWindow="-108" yWindow="-108" windowWidth="23256" windowHeight="12456" firstSheet="1" activeTab="1" xr2:uid="{00000000-000D-0000-FFFF-FFFF00000000}"/>
  </bookViews>
  <sheets>
    <sheet name="Empezar aquí" sheetId="1" state="hidden" r:id="rId1"/>
    <sheet name="Catálogo común" sheetId="2" r:id="rId2"/>
    <sheet name="Neuquén" sheetId="3" r:id="rId3"/>
    <sheet name="San Juan" sheetId="4" r:id="rId4"/>
    <sheet name="Salta" sheetId="5" r:id="rId5"/>
    <sheet name="Master vs SAP" sheetId="6" r:id="rId6"/>
    <sheet name="Datos originales" sheetId="7" state="hidden" r:id="rId7"/>
    <sheet name="Inventario Salta original" sheetId="8" state="hidden" r:id="rId8"/>
    <sheet name="SAP original" sheetId="9" state="hidden"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91" i="6" l="1"/>
  <c r="O290" i="6"/>
  <c r="O289" i="6"/>
  <c r="W233" i="2" s="1"/>
  <c r="O288" i="6"/>
  <c r="W158" i="2" s="1"/>
  <c r="O287" i="6"/>
  <c r="W131" i="2" s="1"/>
  <c r="O286" i="6"/>
  <c r="W129" i="2" s="1"/>
  <c r="O285" i="6"/>
  <c r="W128" i="2" s="1"/>
  <c r="O284" i="6"/>
  <c r="O283" i="6"/>
  <c r="O282" i="6"/>
  <c r="O281" i="6"/>
  <c r="O280" i="6"/>
  <c r="W91" i="2" s="1"/>
  <c r="O279" i="6"/>
  <c r="W58" i="2" s="1"/>
  <c r="O278" i="6"/>
  <c r="W41" i="2" s="1"/>
  <c r="O277" i="6"/>
  <c r="W31" i="2" s="1"/>
  <c r="O276" i="6"/>
  <c r="O275" i="6"/>
  <c r="O274" i="6"/>
  <c r="W291" i="2" s="1"/>
  <c r="O273" i="6"/>
  <c r="W289" i="2" s="1"/>
  <c r="O272" i="6"/>
  <c r="W288" i="2" s="1"/>
  <c r="O271" i="6"/>
  <c r="W282" i="2" s="1"/>
  <c r="O270" i="6"/>
  <c r="W278" i="2" s="1"/>
  <c r="O269" i="6"/>
  <c r="W275" i="2" s="1"/>
  <c r="O268" i="6"/>
  <c r="W271" i="2" s="1"/>
  <c r="O267" i="6"/>
  <c r="O266" i="6"/>
  <c r="O265" i="6"/>
  <c r="W265" i="2" s="1"/>
  <c r="O264" i="6"/>
  <c r="W263" i="2" s="1"/>
  <c r="O263" i="6"/>
  <c r="W260" i="2" s="1"/>
  <c r="O262" i="6"/>
  <c r="W259" i="2" s="1"/>
  <c r="O261" i="6"/>
  <c r="W255" i="2" s="1"/>
  <c r="O260" i="6"/>
  <c r="W253" i="2" s="1"/>
  <c r="O259" i="6"/>
  <c r="O258" i="6"/>
  <c r="O257" i="6"/>
  <c r="W249" i="2" s="1"/>
  <c r="O256" i="6"/>
  <c r="W248" i="2" s="1"/>
  <c r="O255" i="6"/>
  <c r="W246" i="2" s="1"/>
  <c r="O254" i="6"/>
  <c r="W245" i="2" s="1"/>
  <c r="O253" i="6"/>
  <c r="W243" i="2" s="1"/>
  <c r="O252" i="6"/>
  <c r="W240" i="2" s="1"/>
  <c r="O251" i="6"/>
  <c r="O250" i="6"/>
  <c r="O249" i="6"/>
  <c r="W234" i="2" s="1"/>
  <c r="O248" i="6"/>
  <c r="W232" i="2" s="1"/>
  <c r="O247" i="6"/>
  <c r="W230" i="2" s="1"/>
  <c r="O246" i="6"/>
  <c r="W229" i="2" s="1"/>
  <c r="O245" i="6"/>
  <c r="W227" i="2" s="1"/>
  <c r="O244" i="6"/>
  <c r="W223" i="2" s="1"/>
  <c r="O243" i="6"/>
  <c r="O242" i="6"/>
  <c r="O241" i="6"/>
  <c r="W216" i="2" s="1"/>
  <c r="O240" i="6"/>
  <c r="W215" i="2" s="1"/>
  <c r="O239" i="6"/>
  <c r="W214" i="2" s="1"/>
  <c r="O238" i="6"/>
  <c r="W213" i="2" s="1"/>
  <c r="O237" i="6"/>
  <c r="W211" i="2" s="1"/>
  <c r="O236" i="6"/>
  <c r="W210" i="2" s="1"/>
  <c r="O235" i="6"/>
  <c r="O234" i="6"/>
  <c r="O233" i="6"/>
  <c r="W207" i="2" s="1"/>
  <c r="O232" i="6"/>
  <c r="W206" i="2" s="1"/>
  <c r="O231" i="6"/>
  <c r="W205" i="2" s="1"/>
  <c r="O230" i="6"/>
  <c r="W203" i="2" s="1"/>
  <c r="O229" i="6"/>
  <c r="W202" i="2" s="1"/>
  <c r="O228" i="6"/>
  <c r="O227" i="6"/>
  <c r="O226" i="6"/>
  <c r="O225" i="6"/>
  <c r="O224" i="6"/>
  <c r="W192" i="2" s="1"/>
  <c r="O223" i="6"/>
  <c r="W191" i="2" s="1"/>
  <c r="O222" i="6"/>
  <c r="W190" i="2" s="1"/>
  <c r="O221" i="6"/>
  <c r="W189" i="2" s="1"/>
  <c r="O220" i="6"/>
  <c r="W188" i="2" s="1"/>
  <c r="O219" i="6"/>
  <c r="O218" i="6"/>
  <c r="O217" i="6"/>
  <c r="O216" i="6"/>
  <c r="W181" i="2" s="1"/>
  <c r="O215" i="6"/>
  <c r="W179" i="2" s="1"/>
  <c r="O214" i="6"/>
  <c r="W178" i="2" s="1"/>
  <c r="O213" i="6"/>
  <c r="W176" i="2" s="1"/>
  <c r="O212" i="6"/>
  <c r="W172" i="2" s="1"/>
  <c r="O211" i="6"/>
  <c r="O210" i="6"/>
  <c r="O209" i="6"/>
  <c r="O208" i="6"/>
  <c r="O207" i="6"/>
  <c r="W161" i="2" s="1"/>
  <c r="O206" i="6"/>
  <c r="W160" i="2" s="1"/>
  <c r="O205" i="6"/>
  <c r="W154" i="2" s="1"/>
  <c r="O204" i="6"/>
  <c r="W153" i="2" s="1"/>
  <c r="O203" i="6"/>
  <c r="O202" i="6"/>
  <c r="O201" i="6"/>
  <c r="O200" i="6"/>
  <c r="O199" i="6"/>
  <c r="W148" i="2" s="1"/>
  <c r="O198" i="6"/>
  <c r="W147" i="2" s="1"/>
  <c r="O197" i="6"/>
  <c r="W146" i="2" s="1"/>
  <c r="O196" i="6"/>
  <c r="W145" i="2" s="1"/>
  <c r="O195" i="6"/>
  <c r="O194" i="6"/>
  <c r="O193" i="6"/>
  <c r="O192" i="6"/>
  <c r="W139" i="2" s="1"/>
  <c r="O191" i="6"/>
  <c r="W138" i="2" s="1"/>
  <c r="O190" i="6"/>
  <c r="W137" i="2" s="1"/>
  <c r="O189" i="6"/>
  <c r="W136" i="2" s="1"/>
  <c r="O188" i="6"/>
  <c r="W135" i="2" s="1"/>
  <c r="O187" i="6"/>
  <c r="O186" i="6"/>
  <c r="O185" i="6"/>
  <c r="O184" i="6"/>
  <c r="W127" i="2" s="1"/>
  <c r="O183" i="6"/>
  <c r="W124" i="2" s="1"/>
  <c r="O182" i="6"/>
  <c r="W123" i="2" s="1"/>
  <c r="O181" i="6"/>
  <c r="W122" i="2" s="1"/>
  <c r="O180" i="6"/>
  <c r="W118" i="2" s="1"/>
  <c r="O179" i="6"/>
  <c r="O178" i="6"/>
  <c r="O177" i="6"/>
  <c r="O176" i="6"/>
  <c r="W112" i="2" s="1"/>
  <c r="O175" i="6"/>
  <c r="W111" i="2" s="1"/>
  <c r="O174" i="6"/>
  <c r="W110" i="2" s="1"/>
  <c r="O173" i="6"/>
  <c r="W108" i="2" s="1"/>
  <c r="O172" i="6"/>
  <c r="O171" i="6"/>
  <c r="O170" i="6"/>
  <c r="O169" i="6"/>
  <c r="O168" i="6"/>
  <c r="W101" i="2" s="1"/>
  <c r="O167" i="6"/>
  <c r="W100" i="2" s="1"/>
  <c r="O166" i="6"/>
  <c r="W98" i="2" s="1"/>
  <c r="O165" i="6"/>
  <c r="W97" i="2" s="1"/>
  <c r="O164" i="6"/>
  <c r="O163" i="6"/>
  <c r="O162" i="6"/>
  <c r="O161" i="6"/>
  <c r="O160" i="6"/>
  <c r="W88" i="2" s="1"/>
  <c r="O159" i="6"/>
  <c r="W86" i="2" s="1"/>
  <c r="O158" i="6"/>
  <c r="W85" i="2" s="1"/>
  <c r="O157" i="6"/>
  <c r="W84" i="2" s="1"/>
  <c r="O156" i="6"/>
  <c r="O155" i="6"/>
  <c r="O154" i="6"/>
  <c r="O153" i="6"/>
  <c r="O152" i="6"/>
  <c r="W78" i="2" s="1"/>
  <c r="O151" i="6"/>
  <c r="W76" i="2" s="1"/>
  <c r="O150" i="6"/>
  <c r="W75" i="2" s="1"/>
  <c r="O149" i="6"/>
  <c r="W74" i="2" s="1"/>
  <c r="O148" i="6"/>
  <c r="O147" i="6"/>
  <c r="O146" i="6"/>
  <c r="O145" i="6"/>
  <c r="O144" i="6"/>
  <c r="W69" i="2" s="1"/>
  <c r="O143" i="6"/>
  <c r="W68" i="2" s="1"/>
  <c r="O142" i="6"/>
  <c r="W66" i="2" s="1"/>
  <c r="O141" i="6"/>
  <c r="W65" i="2" s="1"/>
  <c r="O140" i="6"/>
  <c r="O139" i="6"/>
  <c r="O138" i="6"/>
  <c r="O137" i="6"/>
  <c r="O136" i="6"/>
  <c r="W53" i="2" s="1"/>
  <c r="O135" i="6"/>
  <c r="W50" i="2" s="1"/>
  <c r="O134" i="6"/>
  <c r="W48" i="2" s="1"/>
  <c r="O133" i="6"/>
  <c r="W47" i="2" s="1"/>
  <c r="O132" i="6"/>
  <c r="O131" i="6"/>
  <c r="O130" i="6"/>
  <c r="O129" i="6"/>
  <c r="O128" i="6"/>
  <c r="W42" i="2" s="1"/>
  <c r="O127" i="6"/>
  <c r="W39" i="2" s="1"/>
  <c r="O126" i="6"/>
  <c r="W38" i="2" s="1"/>
  <c r="O125" i="6"/>
  <c r="W36" i="2" s="1"/>
  <c r="O124" i="6"/>
  <c r="O123" i="6"/>
  <c r="O122" i="6"/>
  <c r="O121" i="6"/>
  <c r="O120" i="6"/>
  <c r="O119" i="6"/>
  <c r="W26" i="2" s="1"/>
  <c r="O118" i="6"/>
  <c r="W25" i="2" s="1"/>
  <c r="O117" i="6"/>
  <c r="W24" i="2" s="1"/>
  <c r="O116" i="6"/>
  <c r="O115" i="6"/>
  <c r="O114" i="6"/>
  <c r="O113" i="6"/>
  <c r="O112" i="6"/>
  <c r="W16" i="2" s="1"/>
  <c r="O111" i="6"/>
  <c r="W14" i="2" s="1"/>
  <c r="O110" i="6"/>
  <c r="W13" i="2" s="1"/>
  <c r="O109" i="6"/>
  <c r="W12" i="2" s="1"/>
  <c r="O108" i="6"/>
  <c r="O107" i="6"/>
  <c r="O106" i="6"/>
  <c r="O105" i="6"/>
  <c r="O104" i="6"/>
  <c r="W290" i="2" s="1"/>
  <c r="O103" i="6"/>
  <c r="W287" i="2" s="1"/>
  <c r="O102" i="6"/>
  <c r="W286" i="2" s="1"/>
  <c r="O101" i="6"/>
  <c r="W285" i="2" s="1"/>
  <c r="O100" i="6"/>
  <c r="W283" i="2" s="1"/>
  <c r="O99" i="6"/>
  <c r="O98" i="6"/>
  <c r="O97" i="6"/>
  <c r="W279" i="2" s="1"/>
  <c r="O96" i="6"/>
  <c r="W276" i="2" s="1"/>
  <c r="O95" i="6"/>
  <c r="W273" i="2" s="1"/>
  <c r="O94" i="6"/>
  <c r="W272" i="2" s="1"/>
  <c r="O93" i="6"/>
  <c r="W269" i="2" s="1"/>
  <c r="O92" i="6"/>
  <c r="W267" i="2" s="1"/>
  <c r="O91" i="6"/>
  <c r="O90" i="6"/>
  <c r="O89" i="6"/>
  <c r="W261" i="2" s="1"/>
  <c r="O88" i="6"/>
  <c r="W258" i="2" s="1"/>
  <c r="O87" i="6"/>
  <c r="W247" i="2" s="1"/>
  <c r="O86" i="6"/>
  <c r="W244" i="2" s="1"/>
  <c r="O85" i="6"/>
  <c r="W242" i="2" s="1"/>
  <c r="O84" i="6"/>
  <c r="O83" i="6"/>
  <c r="O82" i="6"/>
  <c r="O81" i="6"/>
  <c r="W228" i="2" s="1"/>
  <c r="O80" i="6"/>
  <c r="O79" i="6"/>
  <c r="W225" i="2" s="1"/>
  <c r="O78" i="6"/>
  <c r="W224" i="2" s="1"/>
  <c r="O77" i="6"/>
  <c r="W217" i="2" s="1"/>
  <c r="O76" i="6"/>
  <c r="O75" i="6"/>
  <c r="O74" i="6"/>
  <c r="O73" i="6"/>
  <c r="O72" i="6"/>
  <c r="W173" i="2" s="1"/>
  <c r="O71" i="6"/>
  <c r="W171" i="2" s="1"/>
  <c r="O70" i="6"/>
  <c r="W169" i="2" s="1"/>
  <c r="O69" i="6"/>
  <c r="W167" i="2" s="1"/>
  <c r="O68" i="6"/>
  <c r="W166" i="2" s="1"/>
  <c r="O67" i="6"/>
  <c r="O66" i="6"/>
  <c r="O65" i="6"/>
  <c r="O64" i="6"/>
  <c r="W156" i="2" s="1"/>
  <c r="O63" i="6"/>
  <c r="W155" i="2" s="1"/>
  <c r="O62" i="6"/>
  <c r="W140" i="2" s="1"/>
  <c r="O61" i="6"/>
  <c r="W125" i="2" s="1"/>
  <c r="O60" i="6"/>
  <c r="W274" i="2" s="1"/>
  <c r="O59" i="6"/>
  <c r="O58" i="6"/>
  <c r="O57" i="6"/>
  <c r="W256" i="2" s="1"/>
  <c r="O56" i="6"/>
  <c r="W250" i="2" s="1"/>
  <c r="O55" i="6"/>
  <c r="W235" i="2" s="1"/>
  <c r="O54" i="6"/>
  <c r="W231" i="2" s="1"/>
  <c r="O53" i="6"/>
  <c r="W221" i="2" s="1"/>
  <c r="O52" i="6"/>
  <c r="W220" i="2" s="1"/>
  <c r="O51" i="6"/>
  <c r="O50" i="6"/>
  <c r="O49" i="6"/>
  <c r="O48" i="6"/>
  <c r="W194" i="2" s="1"/>
  <c r="O47" i="6"/>
  <c r="O46" i="6"/>
  <c r="W184" i="2" s="1"/>
  <c r="O45" i="6"/>
  <c r="W180" i="2" s="1"/>
  <c r="O44" i="6"/>
  <c r="O43" i="6"/>
  <c r="O42" i="6"/>
  <c r="O41" i="6"/>
  <c r="O40" i="6"/>
  <c r="W121" i="2" s="1"/>
  <c r="O39" i="6"/>
  <c r="W120" i="2" s="1"/>
  <c r="O38" i="6"/>
  <c r="W116" i="2" s="1"/>
  <c r="O37" i="6"/>
  <c r="W104" i="2" s="1"/>
  <c r="O36" i="6"/>
  <c r="O35" i="6"/>
  <c r="O34" i="6"/>
  <c r="O33" i="6"/>
  <c r="O32" i="6"/>
  <c r="W87" i="2" s="1"/>
  <c r="O31" i="6"/>
  <c r="W80" i="2" s="1"/>
  <c r="O30" i="6"/>
  <c r="W77" i="2" s="1"/>
  <c r="O29" i="6"/>
  <c r="W67" i="2" s="1"/>
  <c r="O28" i="6"/>
  <c r="O27" i="6"/>
  <c r="O26" i="6"/>
  <c r="O25" i="6"/>
  <c r="O24" i="6"/>
  <c r="W56" i="2" s="1"/>
  <c r="O23" i="6"/>
  <c r="W52" i="2" s="1"/>
  <c r="O22" i="6"/>
  <c r="W51" i="2" s="1"/>
  <c r="O21" i="6"/>
  <c r="W49" i="2" s="1"/>
  <c r="O20" i="6"/>
  <c r="O19" i="6"/>
  <c r="O18" i="6"/>
  <c r="O17" i="6"/>
  <c r="O16" i="6"/>
  <c r="W277" i="2" s="1"/>
  <c r="O15" i="6"/>
  <c r="W196" i="2" s="1"/>
  <c r="O14" i="6"/>
  <c r="W195" i="2" s="1"/>
  <c r="O13" i="6"/>
  <c r="W182" i="2" s="1"/>
  <c r="O12" i="6"/>
  <c r="O11" i="6"/>
  <c r="O10" i="6"/>
  <c r="O9" i="6"/>
  <c r="O8" i="6"/>
  <c r="W15" i="2" s="1"/>
  <c r="O291" i="5"/>
  <c r="R287" i="2" s="1"/>
  <c r="O290" i="5"/>
  <c r="R284" i="2" s="1"/>
  <c r="O289" i="5"/>
  <c r="R265" i="2" s="1"/>
  <c r="O288" i="5"/>
  <c r="R262" i="2" s="1"/>
  <c r="O287" i="5"/>
  <c r="O286" i="5"/>
  <c r="O285" i="5"/>
  <c r="R254" i="2" s="1"/>
  <c r="O284" i="5"/>
  <c r="R251" i="2" s="1"/>
  <c r="O283" i="5"/>
  <c r="R247" i="2" s="1"/>
  <c r="O282" i="5"/>
  <c r="R235" i="2" s="1"/>
  <c r="O281" i="5"/>
  <c r="R233" i="2" s="1"/>
  <c r="O280" i="5"/>
  <c r="R231" i="2" s="1"/>
  <c r="O279" i="5"/>
  <c r="O278" i="5"/>
  <c r="O277" i="5"/>
  <c r="R220" i="2" s="1"/>
  <c r="O276" i="5"/>
  <c r="R219" i="2" s="1"/>
  <c r="O275" i="5"/>
  <c r="R218" i="2" s="1"/>
  <c r="O274" i="5"/>
  <c r="R214" i="2" s="1"/>
  <c r="O273" i="5"/>
  <c r="R212" i="2" s="1"/>
  <c r="O272" i="5"/>
  <c r="O271" i="5"/>
  <c r="O270" i="5"/>
  <c r="O269" i="5"/>
  <c r="O268" i="5"/>
  <c r="R204" i="2" s="1"/>
  <c r="O267" i="5"/>
  <c r="R201" i="2" s="1"/>
  <c r="O266" i="5"/>
  <c r="R199" i="2" s="1"/>
  <c r="O265" i="5"/>
  <c r="R198" i="2" s="1"/>
  <c r="O264" i="5"/>
  <c r="R197" i="2" s="1"/>
  <c r="O263" i="5"/>
  <c r="O262" i="5"/>
  <c r="O261" i="5"/>
  <c r="O260" i="5"/>
  <c r="R193" i="2" s="1"/>
  <c r="O259" i="5"/>
  <c r="R192" i="2" s="1"/>
  <c r="O258" i="5"/>
  <c r="R191" i="2" s="1"/>
  <c r="O257" i="5"/>
  <c r="R188" i="2" s="1"/>
  <c r="O256" i="5"/>
  <c r="R187" i="2" s="1"/>
  <c r="O255" i="5"/>
  <c r="O254" i="5"/>
  <c r="O253" i="5"/>
  <c r="O252" i="5"/>
  <c r="R178" i="2" s="1"/>
  <c r="O251" i="5"/>
  <c r="R165" i="2" s="1"/>
  <c r="O250" i="5"/>
  <c r="R164" i="2" s="1"/>
  <c r="O249" i="5"/>
  <c r="R129" i="2" s="1"/>
  <c r="O248" i="5"/>
  <c r="O247" i="5"/>
  <c r="O246" i="5"/>
  <c r="O245" i="5"/>
  <c r="O244" i="5"/>
  <c r="O243" i="5"/>
  <c r="R117" i="2" s="1"/>
  <c r="O242" i="5"/>
  <c r="R110" i="2" s="1"/>
  <c r="O241" i="5"/>
  <c r="R104" i="2" s="1"/>
  <c r="O240" i="5"/>
  <c r="O239" i="5"/>
  <c r="O238" i="5"/>
  <c r="O237" i="5"/>
  <c r="O236" i="5"/>
  <c r="R86" i="2" s="1"/>
  <c r="O235" i="5"/>
  <c r="O234" i="5"/>
  <c r="R71" i="2" s="1"/>
  <c r="O233" i="5"/>
  <c r="R63" i="2" s="1"/>
  <c r="O232" i="5"/>
  <c r="O231" i="5"/>
  <c r="O230" i="5"/>
  <c r="O229" i="5"/>
  <c r="O228" i="5"/>
  <c r="R42" i="2" s="1"/>
  <c r="O227" i="5"/>
  <c r="R41" i="2" s="1"/>
  <c r="O226" i="5"/>
  <c r="R32" i="2" s="1"/>
  <c r="O225" i="5"/>
  <c r="R31" i="2" s="1"/>
  <c r="O224" i="5"/>
  <c r="O223" i="5"/>
  <c r="O222" i="5"/>
  <c r="O221" i="5"/>
  <c r="O220" i="5"/>
  <c r="O219" i="5"/>
  <c r="R20" i="2" s="1"/>
  <c r="O218" i="5"/>
  <c r="R291" i="2" s="1"/>
  <c r="O217" i="5"/>
  <c r="R290" i="2" s="1"/>
  <c r="O216" i="5"/>
  <c r="R289" i="2" s="1"/>
  <c r="O215" i="5"/>
  <c r="O214" i="5"/>
  <c r="O213" i="5"/>
  <c r="R279" i="2" s="1"/>
  <c r="O212" i="5"/>
  <c r="R278" i="2" s="1"/>
  <c r="O211" i="5"/>
  <c r="R263" i="2" s="1"/>
  <c r="O210" i="5"/>
  <c r="R258" i="2" s="1"/>
  <c r="O209" i="5"/>
  <c r="R253" i="2" s="1"/>
  <c r="O208" i="5"/>
  <c r="R250" i="2" s="1"/>
  <c r="O207" i="5"/>
  <c r="O206" i="5"/>
  <c r="O205" i="5"/>
  <c r="R241" i="2" s="1"/>
  <c r="O204" i="5"/>
  <c r="R240" i="2" s="1"/>
  <c r="O203" i="5"/>
  <c r="R236" i="2" s="1"/>
  <c r="O202" i="5"/>
  <c r="R234" i="2" s="1"/>
  <c r="O201" i="5"/>
  <c r="R227" i="2" s="1"/>
  <c r="O200" i="5"/>
  <c r="R216" i="2" s="1"/>
  <c r="O199" i="5"/>
  <c r="O198" i="5"/>
  <c r="O197" i="5"/>
  <c r="O196" i="5"/>
  <c r="R189" i="2" s="1"/>
  <c r="O195" i="5"/>
  <c r="R183" i="2" s="1"/>
  <c r="O194" i="5"/>
  <c r="R181" i="2" s="1"/>
  <c r="O193" i="5"/>
  <c r="R180" i="2" s="1"/>
  <c r="O192" i="5"/>
  <c r="O191" i="5"/>
  <c r="O190" i="5"/>
  <c r="O189" i="5"/>
  <c r="O188" i="5"/>
  <c r="R167" i="2" s="1"/>
  <c r="O187" i="5"/>
  <c r="R166" i="2" s="1"/>
  <c r="O186" i="5"/>
  <c r="R163" i="2" s="1"/>
  <c r="O185" i="5"/>
  <c r="R162" i="2" s="1"/>
  <c r="O184" i="5"/>
  <c r="O183" i="5"/>
  <c r="O182" i="5"/>
  <c r="O181" i="5"/>
  <c r="O180" i="5"/>
  <c r="O179" i="5"/>
  <c r="R146" i="2" s="1"/>
  <c r="O178" i="5"/>
  <c r="R145" i="2" s="1"/>
  <c r="O177" i="5"/>
  <c r="R144" i="2" s="1"/>
  <c r="O176" i="5"/>
  <c r="O175" i="5"/>
  <c r="O174" i="5"/>
  <c r="O173" i="5"/>
  <c r="O172" i="5"/>
  <c r="R138" i="2" s="1"/>
  <c r="O171" i="5"/>
  <c r="R137" i="2" s="1"/>
  <c r="O170" i="5"/>
  <c r="R136" i="2" s="1"/>
  <c r="O169" i="5"/>
  <c r="R135" i="2" s="1"/>
  <c r="O168" i="5"/>
  <c r="R134" i="2" s="1"/>
  <c r="O167" i="5"/>
  <c r="O166" i="5"/>
  <c r="O165" i="5"/>
  <c r="O164" i="5"/>
  <c r="R130" i="2" s="1"/>
  <c r="O163" i="5"/>
  <c r="R127" i="2" s="1"/>
  <c r="O162" i="5"/>
  <c r="R122" i="2" s="1"/>
  <c r="O161" i="5"/>
  <c r="R120" i="2" s="1"/>
  <c r="O160" i="5"/>
  <c r="O159" i="5"/>
  <c r="O158" i="5"/>
  <c r="O157" i="5"/>
  <c r="O156" i="5"/>
  <c r="R111" i="2" s="1"/>
  <c r="O155" i="5"/>
  <c r="R108" i="2" s="1"/>
  <c r="O154" i="5"/>
  <c r="R107" i="2" s="1"/>
  <c r="O153" i="5"/>
  <c r="R106" i="2" s="1"/>
  <c r="O152" i="5"/>
  <c r="O151" i="5"/>
  <c r="O150" i="5"/>
  <c r="O149" i="5"/>
  <c r="O148" i="5"/>
  <c r="R94" i="2" s="1"/>
  <c r="O147" i="5"/>
  <c r="R92" i="2" s="1"/>
  <c r="O146" i="5"/>
  <c r="R90" i="2" s="1"/>
  <c r="O145" i="5"/>
  <c r="R89" i="2" s="1"/>
  <c r="O144" i="5"/>
  <c r="O143" i="5"/>
  <c r="O142" i="5"/>
  <c r="O141" i="5"/>
  <c r="O140" i="5"/>
  <c r="O139" i="5"/>
  <c r="R81" i="2" s="1"/>
  <c r="O138" i="5"/>
  <c r="R80" i="2" s="1"/>
  <c r="O137" i="5"/>
  <c r="R78" i="2" s="1"/>
  <c r="O136" i="5"/>
  <c r="O135" i="5"/>
  <c r="O134" i="5"/>
  <c r="O133" i="5"/>
  <c r="O132" i="5"/>
  <c r="O131" i="5"/>
  <c r="R65" i="2" s="1"/>
  <c r="O130" i="5"/>
  <c r="R64" i="2" s="1"/>
  <c r="O129" i="5"/>
  <c r="R62" i="2" s="1"/>
  <c r="O128" i="5"/>
  <c r="O127" i="5"/>
  <c r="O126" i="5"/>
  <c r="O125" i="5"/>
  <c r="O124" i="5"/>
  <c r="R52" i="2" s="1"/>
  <c r="O123" i="5"/>
  <c r="R48" i="2" s="1"/>
  <c r="O122" i="5"/>
  <c r="R47" i="2" s="1"/>
  <c r="O121" i="5"/>
  <c r="R46" i="2" s="1"/>
  <c r="O120" i="5"/>
  <c r="O119" i="5"/>
  <c r="O118" i="5"/>
  <c r="O117" i="5"/>
  <c r="O116" i="5"/>
  <c r="R37" i="2" s="1"/>
  <c r="O115" i="5"/>
  <c r="R36" i="2" s="1"/>
  <c r="O114" i="5"/>
  <c r="R35" i="2" s="1"/>
  <c r="O113" i="5"/>
  <c r="R29" i="2" s="1"/>
  <c r="O112" i="5"/>
  <c r="O111" i="5"/>
  <c r="O110" i="5"/>
  <c r="O109" i="5"/>
  <c r="O108" i="5"/>
  <c r="R17" i="2" s="1"/>
  <c r="O107" i="5"/>
  <c r="R16" i="2" s="1"/>
  <c r="O106" i="5"/>
  <c r="R15" i="2" s="1"/>
  <c r="O105" i="5"/>
  <c r="R14" i="2" s="1"/>
  <c r="O104" i="5"/>
  <c r="O103" i="5"/>
  <c r="O102" i="5"/>
  <c r="O101" i="5"/>
  <c r="O100" i="5"/>
  <c r="R9" i="2" s="1"/>
  <c r="O99" i="5"/>
  <c r="R8" i="2" s="1"/>
  <c r="O98" i="5"/>
  <c r="R286" i="2" s="1"/>
  <c r="O97" i="5"/>
  <c r="R285" i="2" s="1"/>
  <c r="O96" i="5"/>
  <c r="R283" i="2" s="1"/>
  <c r="O95" i="5"/>
  <c r="O94" i="5"/>
  <c r="O93" i="5"/>
  <c r="R276" i="2" s="1"/>
  <c r="O92" i="5"/>
  <c r="R273" i="2" s="1"/>
  <c r="O91" i="5"/>
  <c r="O90" i="5"/>
  <c r="R269" i="2" s="1"/>
  <c r="O89" i="5"/>
  <c r="R267" i="2" s="1"/>
  <c r="O88" i="5"/>
  <c r="R242" i="2" s="1"/>
  <c r="O87" i="5"/>
  <c r="O86" i="5"/>
  <c r="O85" i="5"/>
  <c r="O84" i="5"/>
  <c r="R224" i="2" s="1"/>
  <c r="O83" i="5"/>
  <c r="R217" i="2" s="1"/>
  <c r="O82" i="5"/>
  <c r="R175" i="2" s="1"/>
  <c r="O81" i="5"/>
  <c r="R173" i="2" s="1"/>
  <c r="O80" i="5"/>
  <c r="R171" i="2" s="1"/>
  <c r="O79" i="5"/>
  <c r="O78" i="5"/>
  <c r="O77" i="5"/>
  <c r="O76" i="5"/>
  <c r="R275" i="2" s="1"/>
  <c r="O75" i="5"/>
  <c r="R274" i="2" s="1"/>
  <c r="O74" i="5"/>
  <c r="R271" i="2" s="1"/>
  <c r="O73" i="5"/>
  <c r="R270" i="2" s="1"/>
  <c r="O72" i="5"/>
  <c r="R268" i="2" s="1"/>
  <c r="O71" i="5"/>
  <c r="O70" i="5"/>
  <c r="O69" i="5"/>
  <c r="R260" i="2" s="1"/>
  <c r="O68" i="5"/>
  <c r="O67" i="5"/>
  <c r="R257" i="2" s="1"/>
  <c r="O66" i="5"/>
  <c r="R256" i="2" s="1"/>
  <c r="O65" i="5"/>
  <c r="R252" i="2" s="1"/>
  <c r="O64" i="5"/>
  <c r="R249" i="2" s="1"/>
  <c r="O63" i="5"/>
  <c r="O62" i="5"/>
  <c r="O61" i="5"/>
  <c r="R244" i="2" s="1"/>
  <c r="O60" i="5"/>
  <c r="R237" i="2" s="1"/>
  <c r="O59" i="5"/>
  <c r="R232" i="2" s="1"/>
  <c r="O58" i="5"/>
  <c r="R229" i="2" s="1"/>
  <c r="O57" i="5"/>
  <c r="R225" i="2" s="1"/>
  <c r="O56" i="5"/>
  <c r="R223" i="2" s="1"/>
  <c r="O55" i="5"/>
  <c r="O54" i="5"/>
  <c r="O53" i="5"/>
  <c r="R215" i="2" s="1"/>
  <c r="O52" i="5"/>
  <c r="R213" i="2" s="1"/>
  <c r="O51" i="5"/>
  <c r="R209" i="2" s="1"/>
  <c r="O50" i="5"/>
  <c r="R206" i="2" s="1"/>
  <c r="O49" i="5"/>
  <c r="R202" i="2" s="1"/>
  <c r="O48" i="5"/>
  <c r="R200" i="2" s="1"/>
  <c r="O47" i="5"/>
  <c r="O46" i="5"/>
  <c r="O45" i="5"/>
  <c r="O44" i="5"/>
  <c r="R174" i="2" s="1"/>
  <c r="O43" i="5"/>
  <c r="R170" i="2" s="1"/>
  <c r="O42" i="5"/>
  <c r="R161" i="2" s="1"/>
  <c r="O41" i="5"/>
  <c r="R160" i="2" s="1"/>
  <c r="O40" i="5"/>
  <c r="R158" i="2" s="1"/>
  <c r="O39" i="5"/>
  <c r="O38" i="5"/>
  <c r="O37" i="5"/>
  <c r="O36" i="5"/>
  <c r="O35" i="5"/>
  <c r="R149" i="2" s="1"/>
  <c r="O34" i="5"/>
  <c r="R148" i="2" s="1"/>
  <c r="O33" i="5"/>
  <c r="R124" i="2" s="1"/>
  <c r="O32" i="5"/>
  <c r="R103" i="2" s="1"/>
  <c r="O31" i="5"/>
  <c r="O30" i="5"/>
  <c r="O29" i="5"/>
  <c r="O28" i="5"/>
  <c r="R88" i="2" s="1"/>
  <c r="O27" i="5"/>
  <c r="R77" i="2" s="1"/>
  <c r="O26" i="5"/>
  <c r="R75" i="2" s="1"/>
  <c r="O25" i="5"/>
  <c r="R74" i="2" s="1"/>
  <c r="O24" i="5"/>
  <c r="O23" i="5"/>
  <c r="O22" i="5"/>
  <c r="O21" i="5"/>
  <c r="O20" i="5"/>
  <c r="O19" i="5"/>
  <c r="R49" i="2" s="1"/>
  <c r="O18" i="5"/>
  <c r="R34" i="2" s="1"/>
  <c r="O17" i="5"/>
  <c r="R33" i="2" s="1"/>
  <c r="O16" i="5"/>
  <c r="O15" i="5"/>
  <c r="O14" i="5"/>
  <c r="O13" i="5"/>
  <c r="O12" i="5"/>
  <c r="R114" i="2" s="1"/>
  <c r="O11" i="5"/>
  <c r="R109" i="2" s="1"/>
  <c r="O10" i="5"/>
  <c r="R44" i="2" s="1"/>
  <c r="O9" i="5"/>
  <c r="R38" i="2" s="1"/>
  <c r="O8" i="5"/>
  <c r="O291" i="4"/>
  <c r="O290" i="4"/>
  <c r="O289" i="4"/>
  <c r="Q215" i="2" s="1"/>
  <c r="O288" i="4"/>
  <c r="O287" i="4"/>
  <c r="Q180" i="2" s="1"/>
  <c r="O286" i="4"/>
  <c r="Q176" i="2" s="1"/>
  <c r="O285" i="4"/>
  <c r="Q170" i="2" s="1"/>
  <c r="O284" i="4"/>
  <c r="O283" i="4"/>
  <c r="O282" i="4"/>
  <c r="O281" i="4"/>
  <c r="O280" i="4"/>
  <c r="Q152" i="2" s="1"/>
  <c r="O279" i="4"/>
  <c r="Q147" i="2" s="1"/>
  <c r="O278" i="4"/>
  <c r="Q146" i="2" s="1"/>
  <c r="O277" i="4"/>
  <c r="Q145" i="2" s="1"/>
  <c r="O276" i="4"/>
  <c r="Q144" i="2" s="1"/>
  <c r="O275" i="4"/>
  <c r="O274" i="4"/>
  <c r="O273" i="4"/>
  <c r="O272" i="4"/>
  <c r="O271" i="4"/>
  <c r="Q135" i="2" s="1"/>
  <c r="O270" i="4"/>
  <c r="Q133" i="2" s="1"/>
  <c r="O269" i="4"/>
  <c r="Q132" i="2" s="1"/>
  <c r="O268" i="4"/>
  <c r="Q131" i="2" s="1"/>
  <c r="O267" i="4"/>
  <c r="O266" i="4"/>
  <c r="O265" i="4"/>
  <c r="O264" i="4"/>
  <c r="Q107" i="2" s="1"/>
  <c r="O263" i="4"/>
  <c r="Q100" i="2" s="1"/>
  <c r="O262" i="4"/>
  <c r="Q98" i="2" s="1"/>
  <c r="O261" i="4"/>
  <c r="Q97" i="2" s="1"/>
  <c r="O260" i="4"/>
  <c r="O259" i="4"/>
  <c r="O258" i="4"/>
  <c r="O257" i="4"/>
  <c r="O256" i="4"/>
  <c r="Q78" i="2" s="1"/>
  <c r="O255" i="4"/>
  <c r="Q77" i="2" s="1"/>
  <c r="O254" i="4"/>
  <c r="Q73" i="2" s="1"/>
  <c r="O253" i="4"/>
  <c r="Q72" i="2" s="1"/>
  <c r="O252" i="4"/>
  <c r="O251" i="4"/>
  <c r="O250" i="4"/>
  <c r="O249" i="4"/>
  <c r="O248" i="4"/>
  <c r="Q60" i="2" s="1"/>
  <c r="O247" i="4"/>
  <c r="Q59" i="2" s="1"/>
  <c r="O246" i="4"/>
  <c r="Q47" i="2" s="1"/>
  <c r="O245" i="4"/>
  <c r="Q46" i="2" s="1"/>
  <c r="O244" i="4"/>
  <c r="O243" i="4"/>
  <c r="O242" i="4"/>
  <c r="O241" i="4"/>
  <c r="O240" i="4"/>
  <c r="O239" i="4"/>
  <c r="Q33" i="2" s="1"/>
  <c r="O238" i="4"/>
  <c r="Q26" i="2" s="1"/>
  <c r="O237" i="4"/>
  <c r="Q25" i="2" s="1"/>
  <c r="O236" i="4"/>
  <c r="O235" i="4"/>
  <c r="O234" i="4"/>
  <c r="O233" i="4"/>
  <c r="O232" i="4"/>
  <c r="O231" i="4"/>
  <c r="Q9" i="2" s="1"/>
  <c r="O230" i="4"/>
  <c r="Q8" i="2" s="1"/>
  <c r="O229" i="4"/>
  <c r="Q291" i="2" s="1"/>
  <c r="O228" i="4"/>
  <c r="Q289" i="2" s="1"/>
  <c r="O227" i="4"/>
  <c r="O226" i="4"/>
  <c r="O225" i="4"/>
  <c r="Q284" i="2" s="1"/>
  <c r="O224" i="4"/>
  <c r="Q282" i="2" s="1"/>
  <c r="O223" i="4"/>
  <c r="Q281" i="2" s="1"/>
  <c r="O222" i="4"/>
  <c r="Q279" i="2" s="1"/>
  <c r="O221" i="4"/>
  <c r="Q278" i="2" s="1"/>
  <c r="O220" i="4"/>
  <c r="Q277" i="2" s="1"/>
  <c r="O219" i="4"/>
  <c r="O218" i="4"/>
  <c r="O217" i="4"/>
  <c r="Q269" i="2" s="1"/>
  <c r="O216" i="4"/>
  <c r="O215" i="4"/>
  <c r="Q266" i="2" s="1"/>
  <c r="O214" i="4"/>
  <c r="Q263" i="2" s="1"/>
  <c r="O213" i="4"/>
  <c r="Q262" i="2" s="1"/>
  <c r="O212" i="4"/>
  <c r="Q261" i="2" s="1"/>
  <c r="O211" i="4"/>
  <c r="O210" i="4"/>
  <c r="O209" i="4"/>
  <c r="Q256" i="2" s="1"/>
  <c r="O208" i="4"/>
  <c r="Q255" i="2" s="1"/>
  <c r="O207" i="4"/>
  <c r="Q254" i="2" s="1"/>
  <c r="O206" i="4"/>
  <c r="Q253" i="2" s="1"/>
  <c r="O205" i="4"/>
  <c r="Q252" i="2" s="1"/>
  <c r="O204" i="4"/>
  <c r="Q251" i="2" s="1"/>
  <c r="O203" i="4"/>
  <c r="O202" i="4"/>
  <c r="O201" i="4"/>
  <c r="Q244" i="2" s="1"/>
  <c r="O200" i="4"/>
  <c r="Q243" i="2" s="1"/>
  <c r="O199" i="4"/>
  <c r="Q242" i="2" s="1"/>
  <c r="O198" i="4"/>
  <c r="Q240" i="2" s="1"/>
  <c r="O197" i="4"/>
  <c r="Q238" i="2" s="1"/>
  <c r="O196" i="4"/>
  <c r="Q237" i="2" s="1"/>
  <c r="O195" i="4"/>
  <c r="O194" i="4"/>
  <c r="O193" i="4"/>
  <c r="Q231" i="2" s="1"/>
  <c r="O192" i="4"/>
  <c r="O191" i="4"/>
  <c r="Q229" i="2" s="1"/>
  <c r="O190" i="4"/>
  <c r="Q228" i="2" s="1"/>
  <c r="O189" i="4"/>
  <c r="Q227" i="2" s="1"/>
  <c r="O188" i="4"/>
  <c r="Q225" i="2" s="1"/>
  <c r="O187" i="4"/>
  <c r="O186" i="4"/>
  <c r="O185" i="4"/>
  <c r="Q220" i="2" s="1"/>
  <c r="O184" i="4"/>
  <c r="Q219" i="2" s="1"/>
  <c r="O183" i="4"/>
  <c r="Q218" i="2" s="1"/>
  <c r="O182" i="4"/>
  <c r="Q217" i="2" s="1"/>
  <c r="O181" i="4"/>
  <c r="Q213" i="2" s="1"/>
  <c r="O180" i="4"/>
  <c r="O179" i="4"/>
  <c r="O178" i="4"/>
  <c r="O177" i="4"/>
  <c r="Q209" i="2" s="1"/>
  <c r="O176" i="4"/>
  <c r="Q208" i="2" s="1"/>
  <c r="O175" i="4"/>
  <c r="Q207" i="2" s="1"/>
  <c r="O174" i="4"/>
  <c r="Q206" i="2" s="1"/>
  <c r="O173" i="4"/>
  <c r="Q205" i="2" s="1"/>
  <c r="O172" i="4"/>
  <c r="Q204" i="2" s="1"/>
  <c r="O171" i="4"/>
  <c r="O170" i="4"/>
  <c r="O169" i="4"/>
  <c r="O168" i="4"/>
  <c r="Q200" i="2" s="1"/>
  <c r="O167" i="4"/>
  <c r="Q199" i="2" s="1"/>
  <c r="O166" i="4"/>
  <c r="Q198" i="2" s="1"/>
  <c r="O165" i="4"/>
  <c r="Q197" i="2" s="1"/>
  <c r="O164" i="4"/>
  <c r="Q196" i="2" s="1"/>
  <c r="O163" i="4"/>
  <c r="O162" i="4"/>
  <c r="O161" i="4"/>
  <c r="O160" i="4"/>
  <c r="O159" i="4"/>
  <c r="Q191" i="2" s="1"/>
  <c r="O158" i="4"/>
  <c r="Q189" i="2" s="1"/>
  <c r="O157" i="4"/>
  <c r="Q188" i="2" s="1"/>
  <c r="O156" i="4"/>
  <c r="Q187" i="2" s="1"/>
  <c r="O155" i="4"/>
  <c r="O154" i="4"/>
  <c r="O153" i="4"/>
  <c r="O152" i="4"/>
  <c r="Q178" i="2" s="1"/>
  <c r="O151" i="4"/>
  <c r="Q177" i="2" s="1"/>
  <c r="O150" i="4"/>
  <c r="Q175" i="2" s="1"/>
  <c r="O149" i="4"/>
  <c r="Q174" i="2" s="1"/>
  <c r="O148" i="4"/>
  <c r="Q172" i="2" s="1"/>
  <c r="O147" i="4"/>
  <c r="O146" i="4"/>
  <c r="O145" i="4"/>
  <c r="O144" i="4"/>
  <c r="O143" i="4"/>
  <c r="Q158" i="2" s="1"/>
  <c r="O142" i="4"/>
  <c r="Q157" i="2" s="1"/>
  <c r="O141" i="4"/>
  <c r="Q155" i="2" s="1"/>
  <c r="O140" i="4"/>
  <c r="Q154" i="2" s="1"/>
  <c r="O139" i="4"/>
  <c r="O138" i="4"/>
  <c r="O137" i="4"/>
  <c r="O136" i="4"/>
  <c r="Q129" i="2" s="1"/>
  <c r="O135" i="4"/>
  <c r="Q128" i="2" s="1"/>
  <c r="O134" i="4"/>
  <c r="Q126" i="2" s="1"/>
  <c r="O133" i="4"/>
  <c r="Q125" i="2" s="1"/>
  <c r="O132" i="4"/>
  <c r="Q124" i="2" s="1"/>
  <c r="O131" i="4"/>
  <c r="O130" i="4"/>
  <c r="O129" i="4"/>
  <c r="O128" i="4"/>
  <c r="O127" i="4"/>
  <c r="Q118" i="2" s="1"/>
  <c r="O126" i="4"/>
  <c r="Q117" i="2" s="1"/>
  <c r="O125" i="4"/>
  <c r="Q116" i="2" s="1"/>
  <c r="O124" i="4"/>
  <c r="Q115" i="2" s="1"/>
  <c r="O123" i="4"/>
  <c r="O122" i="4"/>
  <c r="O121" i="4"/>
  <c r="O120" i="4"/>
  <c r="Q105" i="2" s="1"/>
  <c r="O119" i="4"/>
  <c r="Q104" i="2" s="1"/>
  <c r="O118" i="4"/>
  <c r="Q103" i="2" s="1"/>
  <c r="O117" i="4"/>
  <c r="Q102" i="2" s="1"/>
  <c r="O116" i="4"/>
  <c r="O115" i="4"/>
  <c r="O114" i="4"/>
  <c r="O113" i="4"/>
  <c r="O112" i="4"/>
  <c r="Q93" i="2" s="1"/>
  <c r="O111" i="4"/>
  <c r="Q92" i="2" s="1"/>
  <c r="O110" i="4"/>
  <c r="Q91" i="2" s="1"/>
  <c r="O109" i="4"/>
  <c r="Q89" i="2" s="1"/>
  <c r="O108" i="4"/>
  <c r="O107" i="4"/>
  <c r="O106" i="4"/>
  <c r="O105" i="4"/>
  <c r="O104" i="4"/>
  <c r="Q83" i="2" s="1"/>
  <c r="O103" i="4"/>
  <c r="Q81" i="2" s="1"/>
  <c r="O102" i="4"/>
  <c r="Q80" i="2" s="1"/>
  <c r="O101" i="4"/>
  <c r="Q71" i="2" s="1"/>
  <c r="O100" i="4"/>
  <c r="O99" i="4"/>
  <c r="O98" i="4"/>
  <c r="O97" i="4"/>
  <c r="O96" i="4"/>
  <c r="Q61" i="2" s="1"/>
  <c r="O95" i="4"/>
  <c r="Q58" i="2" s="1"/>
  <c r="O94" i="4"/>
  <c r="Q57" i="2" s="1"/>
  <c r="O93" i="4"/>
  <c r="Q56" i="2" s="1"/>
  <c r="O92" i="4"/>
  <c r="O91" i="4"/>
  <c r="O90" i="4"/>
  <c r="O89" i="4"/>
  <c r="O88" i="4"/>
  <c r="Q51" i="2" s="1"/>
  <c r="O87" i="4"/>
  <c r="Q50" i="2" s="1"/>
  <c r="O86" i="4"/>
  <c r="Q49" i="2" s="1"/>
  <c r="O85" i="4"/>
  <c r="Q48" i="2" s="1"/>
  <c r="O84" i="4"/>
  <c r="O83" i="4"/>
  <c r="O82" i="4"/>
  <c r="O81" i="4"/>
  <c r="O80" i="4"/>
  <c r="O79" i="4"/>
  <c r="Q38" i="2" s="1"/>
  <c r="O78" i="4"/>
  <c r="Q37" i="2" s="1"/>
  <c r="O77" i="4"/>
  <c r="Q32" i="2" s="1"/>
  <c r="O76" i="4"/>
  <c r="O75" i="4"/>
  <c r="O74" i="4"/>
  <c r="O73" i="4"/>
  <c r="O72" i="4"/>
  <c r="Q27" i="2" s="1"/>
  <c r="O71" i="4"/>
  <c r="Q23" i="2" s="1"/>
  <c r="O70" i="4"/>
  <c r="Q22" i="2" s="1"/>
  <c r="O69" i="4"/>
  <c r="Q21" i="2" s="1"/>
  <c r="O68" i="4"/>
  <c r="O67" i="4"/>
  <c r="O66" i="4"/>
  <c r="O65" i="4"/>
  <c r="O64" i="4"/>
  <c r="Q290" i="2" s="1"/>
  <c r="O63" i="4"/>
  <c r="Q286" i="2" s="1"/>
  <c r="O62" i="4"/>
  <c r="Q285" i="2" s="1"/>
  <c r="O61" i="4"/>
  <c r="Q283" i="2" s="1"/>
  <c r="O60" i="4"/>
  <c r="Q280" i="2" s="1"/>
  <c r="O59" i="4"/>
  <c r="O58" i="4"/>
  <c r="O57" i="4"/>
  <c r="Q274" i="2" s="1"/>
  <c r="O56" i="4"/>
  <c r="Q273" i="2" s="1"/>
  <c r="O55" i="4"/>
  <c r="Q271" i="2" s="1"/>
  <c r="O54" i="4"/>
  <c r="Q267" i="2" s="1"/>
  <c r="O53" i="4"/>
  <c r="Q265" i="2" s="1"/>
  <c r="O52" i="4"/>
  <c r="Q260" i="2" s="1"/>
  <c r="O51" i="4"/>
  <c r="O50" i="4"/>
  <c r="O49" i="4"/>
  <c r="Q248" i="2" s="1"/>
  <c r="O48" i="4"/>
  <c r="Q246" i="2" s="1"/>
  <c r="O47" i="4"/>
  <c r="Q245" i="2" s="1"/>
  <c r="O46" i="4"/>
  <c r="Q241" i="2" s="1"/>
  <c r="O45" i="4"/>
  <c r="Q239" i="2" s="1"/>
  <c r="O44" i="4"/>
  <c r="Q236" i="2" s="1"/>
  <c r="O43" i="4"/>
  <c r="O42" i="4"/>
  <c r="O41" i="4"/>
  <c r="Q226" i="2" s="1"/>
  <c r="O40" i="4"/>
  <c r="Q223" i="2" s="1"/>
  <c r="O39" i="4"/>
  <c r="Q222" i="2" s="1"/>
  <c r="O38" i="4"/>
  <c r="Q214" i="2" s="1"/>
  <c r="O37" i="4"/>
  <c r="Q190" i="2" s="1"/>
  <c r="O36" i="4"/>
  <c r="Q184" i="2" s="1"/>
  <c r="O35" i="4"/>
  <c r="O34" i="4"/>
  <c r="O33" i="4"/>
  <c r="O32" i="4"/>
  <c r="Q167" i="2" s="1"/>
  <c r="O31" i="4"/>
  <c r="Q166" i="2" s="1"/>
  <c r="O30" i="4"/>
  <c r="Q163" i="2" s="1"/>
  <c r="O29" i="4"/>
  <c r="Q159" i="2" s="1"/>
  <c r="O28" i="4"/>
  <c r="Q151" i="2" s="1"/>
  <c r="O27" i="4"/>
  <c r="O26" i="4"/>
  <c r="O25" i="4"/>
  <c r="O24" i="4"/>
  <c r="Q138" i="2" s="1"/>
  <c r="O23" i="4"/>
  <c r="Q136" i="2" s="1"/>
  <c r="O22" i="4"/>
  <c r="Q112" i="2" s="1"/>
  <c r="O21" i="4"/>
  <c r="Q111" i="2" s="1"/>
  <c r="O20" i="4"/>
  <c r="O19" i="4"/>
  <c r="O18" i="4"/>
  <c r="O17" i="4"/>
  <c r="O16" i="4"/>
  <c r="Q182" i="2" s="1"/>
  <c r="O15" i="4"/>
  <c r="Q139" i="2" s="1"/>
  <c r="O14" i="4"/>
  <c r="Q114" i="2" s="1"/>
  <c r="O13" i="4"/>
  <c r="Q109" i="2" s="1"/>
  <c r="O12" i="4"/>
  <c r="O11" i="4"/>
  <c r="O10" i="4"/>
  <c r="O9" i="4"/>
  <c r="O8" i="4"/>
  <c r="Q15" i="2" s="1"/>
  <c r="O291" i="3"/>
  <c r="P289" i="2" s="1"/>
  <c r="O290" i="3"/>
  <c r="P287" i="2" s="1"/>
  <c r="O289" i="3"/>
  <c r="P267" i="2" s="1"/>
  <c r="O288" i="3"/>
  <c r="P218" i="2" s="1"/>
  <c r="O287" i="3"/>
  <c r="O286" i="3"/>
  <c r="O285" i="3"/>
  <c r="P205" i="2" s="1"/>
  <c r="O284" i="3"/>
  <c r="P198" i="2" s="1"/>
  <c r="O283" i="3"/>
  <c r="P189" i="2" s="1"/>
  <c r="O282" i="3"/>
  <c r="P187" i="2" s="1"/>
  <c r="O281" i="3"/>
  <c r="P183" i="2" s="1"/>
  <c r="O280" i="3"/>
  <c r="P182" i="2" s="1"/>
  <c r="O279" i="3"/>
  <c r="O278" i="3"/>
  <c r="O277" i="3"/>
  <c r="O276" i="3"/>
  <c r="P169" i="2" s="1"/>
  <c r="O275" i="3"/>
  <c r="P161" i="2" s="1"/>
  <c r="O274" i="3"/>
  <c r="P160" i="2" s="1"/>
  <c r="O273" i="3"/>
  <c r="P153" i="2" s="1"/>
  <c r="O272" i="3"/>
  <c r="O271" i="3"/>
  <c r="O270" i="3"/>
  <c r="O269" i="3"/>
  <c r="O268" i="3"/>
  <c r="P142" i="2" s="1"/>
  <c r="O267" i="3"/>
  <c r="P135" i="2" s="1"/>
  <c r="O266" i="3"/>
  <c r="P134" i="2" s="1"/>
  <c r="O265" i="3"/>
  <c r="P133" i="2" s="1"/>
  <c r="O264" i="3"/>
  <c r="O263" i="3"/>
  <c r="O262" i="3"/>
  <c r="O261" i="3"/>
  <c r="O260" i="3"/>
  <c r="O259" i="3"/>
  <c r="P124" i="2" s="1"/>
  <c r="O258" i="3"/>
  <c r="P122" i="2" s="1"/>
  <c r="O257" i="3"/>
  <c r="P108" i="2" s="1"/>
  <c r="O256" i="3"/>
  <c r="O255" i="3"/>
  <c r="O254" i="3"/>
  <c r="O253" i="3"/>
  <c r="O252" i="3"/>
  <c r="P98" i="2" s="1"/>
  <c r="O251" i="3"/>
  <c r="P96" i="2" s="1"/>
  <c r="O250" i="3"/>
  <c r="P95" i="2" s="1"/>
  <c r="O249" i="3"/>
  <c r="P94" i="2" s="1"/>
  <c r="O248" i="3"/>
  <c r="O247" i="3"/>
  <c r="O246" i="3"/>
  <c r="O245" i="3"/>
  <c r="O244" i="3"/>
  <c r="P79" i="2" s="1"/>
  <c r="O243" i="3"/>
  <c r="P76" i="2" s="1"/>
  <c r="O242" i="3"/>
  <c r="P71" i="2" s="1"/>
  <c r="O241" i="3"/>
  <c r="P70" i="2" s="1"/>
  <c r="O240" i="3"/>
  <c r="O239" i="3"/>
  <c r="O238" i="3"/>
  <c r="O237" i="3"/>
  <c r="O236" i="3"/>
  <c r="P58" i="2" s="1"/>
  <c r="O235" i="3"/>
  <c r="P55" i="2" s="1"/>
  <c r="O234" i="3"/>
  <c r="P54" i="2" s="1"/>
  <c r="O233" i="3"/>
  <c r="P53" i="2" s="1"/>
  <c r="O232" i="3"/>
  <c r="O231" i="3"/>
  <c r="O230" i="3"/>
  <c r="O229" i="3"/>
  <c r="O228" i="3"/>
  <c r="O227" i="3"/>
  <c r="P37" i="2" s="1"/>
  <c r="O226" i="3"/>
  <c r="P21" i="2" s="1"/>
  <c r="O225" i="3"/>
  <c r="P20" i="2" s="1"/>
  <c r="O224" i="3"/>
  <c r="O223" i="3"/>
  <c r="O222" i="3"/>
  <c r="O221" i="3"/>
  <c r="O220" i="3"/>
  <c r="P9" i="2" s="1"/>
  <c r="O219" i="3"/>
  <c r="P8" i="2" s="1"/>
  <c r="O218" i="3"/>
  <c r="P283" i="2" s="1"/>
  <c r="O217" i="3"/>
  <c r="P270" i="2" s="1"/>
  <c r="O216" i="3"/>
  <c r="P258" i="2" s="1"/>
  <c r="O215" i="3"/>
  <c r="O214" i="3"/>
  <c r="O213" i="3"/>
  <c r="P232" i="2" s="1"/>
  <c r="O212" i="3"/>
  <c r="P195" i="2" s="1"/>
  <c r="O211" i="3"/>
  <c r="P193" i="2" s="1"/>
  <c r="O210" i="3"/>
  <c r="P188" i="2" s="1"/>
  <c r="O209" i="3"/>
  <c r="P171" i="2" s="1"/>
  <c r="O208" i="3"/>
  <c r="O207" i="3"/>
  <c r="O206" i="3"/>
  <c r="O205" i="3"/>
  <c r="O204" i="3"/>
  <c r="P152" i="2" s="1"/>
  <c r="O203" i="3"/>
  <c r="P144" i="2" s="1"/>
  <c r="O202" i="3"/>
  <c r="P141" i="2" s="1"/>
  <c r="O201" i="3"/>
  <c r="P136" i="2" s="1"/>
  <c r="O200" i="3"/>
  <c r="O199" i="3"/>
  <c r="O198" i="3"/>
  <c r="O197" i="3"/>
  <c r="O196" i="3"/>
  <c r="P119" i="2" s="1"/>
  <c r="O195" i="3"/>
  <c r="P118" i="2" s="1"/>
  <c r="O194" i="3"/>
  <c r="P116" i="2" s="1"/>
  <c r="O193" i="3"/>
  <c r="P113" i="2" s="1"/>
  <c r="O192" i="3"/>
  <c r="P112" i="2" s="1"/>
  <c r="O191" i="3"/>
  <c r="O190" i="3"/>
  <c r="O189" i="3"/>
  <c r="O188" i="3"/>
  <c r="P97" i="2" s="1"/>
  <c r="O187" i="3"/>
  <c r="P92" i="2" s="1"/>
  <c r="O186" i="3"/>
  <c r="P91" i="2" s="1"/>
  <c r="O185" i="3"/>
  <c r="P90" i="2" s="1"/>
  <c r="O184" i="3"/>
  <c r="P89" i="2" s="1"/>
  <c r="O183" i="3"/>
  <c r="O182" i="3"/>
  <c r="O181" i="3"/>
  <c r="O180" i="3"/>
  <c r="P81" i="2" s="1"/>
  <c r="O179" i="3"/>
  <c r="P67" i="2" s="1"/>
  <c r="O178" i="3"/>
  <c r="P64" i="2" s="1"/>
  <c r="O177" i="3"/>
  <c r="P62" i="2" s="1"/>
  <c r="O176" i="3"/>
  <c r="O175" i="3"/>
  <c r="O174" i="3"/>
  <c r="O173" i="3"/>
  <c r="O172" i="3"/>
  <c r="P56" i="2" s="1"/>
  <c r="O171" i="3"/>
  <c r="P51" i="2" s="1"/>
  <c r="O170" i="3"/>
  <c r="P50" i="2" s="1"/>
  <c r="O169" i="3"/>
  <c r="P48" i="2" s="1"/>
  <c r="O168" i="3"/>
  <c r="O167" i="3"/>
  <c r="O166" i="3"/>
  <c r="O165" i="3"/>
  <c r="O164" i="3"/>
  <c r="P38" i="2" s="1"/>
  <c r="O163" i="3"/>
  <c r="P36" i="2" s="1"/>
  <c r="O162" i="3"/>
  <c r="P35" i="2" s="1"/>
  <c r="O161" i="3"/>
  <c r="P34" i="2" s="1"/>
  <c r="O160" i="3"/>
  <c r="O159" i="3"/>
  <c r="O158" i="3"/>
  <c r="O157" i="3"/>
  <c r="O156" i="3"/>
  <c r="O155" i="3"/>
  <c r="P27" i="2" s="1"/>
  <c r="O154" i="3"/>
  <c r="P25" i="2" s="1"/>
  <c r="O153" i="3"/>
  <c r="P23" i="2" s="1"/>
  <c r="O152" i="3"/>
  <c r="O151" i="3"/>
  <c r="O150" i="3"/>
  <c r="O149" i="3"/>
  <c r="O148" i="3"/>
  <c r="O147" i="3"/>
  <c r="P291" i="2" s="1"/>
  <c r="O146" i="3"/>
  <c r="P290" i="2" s="1"/>
  <c r="O145" i="3"/>
  <c r="P288" i="2" s="1"/>
  <c r="O144" i="3"/>
  <c r="P286" i="2" s="1"/>
  <c r="O143" i="3"/>
  <c r="O142" i="3"/>
  <c r="O141" i="3"/>
  <c r="P281" i="2" s="1"/>
  <c r="O140" i="3"/>
  <c r="P280" i="2" s="1"/>
  <c r="O139" i="3"/>
  <c r="P279" i="2" s="1"/>
  <c r="O138" i="3"/>
  <c r="P278" i="2" s="1"/>
  <c r="O137" i="3"/>
  <c r="P277" i="2" s="1"/>
  <c r="O136" i="3"/>
  <c r="P276" i="2" s="1"/>
  <c r="O135" i="3"/>
  <c r="O134" i="3"/>
  <c r="O133" i="3"/>
  <c r="P273" i="2" s="1"/>
  <c r="O132" i="3"/>
  <c r="P272" i="2" s="1"/>
  <c r="O131" i="3"/>
  <c r="P271" i="2" s="1"/>
  <c r="O130" i="3"/>
  <c r="P269" i="2" s="1"/>
  <c r="O129" i="3"/>
  <c r="P268" i="2" s="1"/>
  <c r="O128" i="3"/>
  <c r="P266" i="2" s="1"/>
  <c r="O127" i="3"/>
  <c r="O126" i="3"/>
  <c r="O125" i="3"/>
  <c r="P263" i="2" s="1"/>
  <c r="O124" i="3"/>
  <c r="P262" i="2" s="1"/>
  <c r="O123" i="3"/>
  <c r="P261" i="2" s="1"/>
  <c r="O122" i="3"/>
  <c r="P260" i="2" s="1"/>
  <c r="O121" i="3"/>
  <c r="P259" i="2" s="1"/>
  <c r="O120" i="3"/>
  <c r="P257" i="2" s="1"/>
  <c r="O119" i="3"/>
  <c r="O118" i="3"/>
  <c r="O117" i="3"/>
  <c r="P254" i="2" s="1"/>
  <c r="O116" i="3"/>
  <c r="P253" i="2" s="1"/>
  <c r="O115" i="3"/>
  <c r="P252" i="2" s="1"/>
  <c r="O114" i="3"/>
  <c r="P250" i="2" s="1"/>
  <c r="O113" i="3"/>
  <c r="P249" i="2" s="1"/>
  <c r="O112" i="3"/>
  <c r="P248" i="2" s="1"/>
  <c r="O111" i="3"/>
  <c r="O110" i="3"/>
  <c r="O109" i="3"/>
  <c r="P245" i="2" s="1"/>
  <c r="O108" i="3"/>
  <c r="P244" i="2" s="1"/>
  <c r="O107" i="3"/>
  <c r="P243" i="2" s="1"/>
  <c r="O106" i="3"/>
  <c r="P242" i="2" s="1"/>
  <c r="O105" i="3"/>
  <c r="P241" i="2" s="1"/>
  <c r="O104" i="3"/>
  <c r="P240" i="2" s="1"/>
  <c r="O103" i="3"/>
  <c r="O102" i="3"/>
  <c r="O101" i="3"/>
  <c r="P237" i="2" s="1"/>
  <c r="O100" i="3"/>
  <c r="P236" i="2" s="1"/>
  <c r="O99" i="3"/>
  <c r="P235" i="2" s="1"/>
  <c r="O98" i="3"/>
  <c r="P233" i="2" s="1"/>
  <c r="O97" i="3"/>
  <c r="P231" i="2" s="1"/>
  <c r="O96" i="3"/>
  <c r="P230" i="2" s="1"/>
  <c r="O95" i="3"/>
  <c r="O94" i="3"/>
  <c r="O93" i="3"/>
  <c r="P227" i="2" s="1"/>
  <c r="O92" i="3"/>
  <c r="P226" i="2" s="1"/>
  <c r="O91" i="3"/>
  <c r="P225" i="2" s="1"/>
  <c r="O90" i="3"/>
  <c r="P224" i="2" s="1"/>
  <c r="O89" i="3"/>
  <c r="P223" i="2" s="1"/>
  <c r="O88" i="3"/>
  <c r="P222" i="2" s="1"/>
  <c r="O87" i="3"/>
  <c r="O86" i="3"/>
  <c r="O85" i="3"/>
  <c r="P219" i="2" s="1"/>
  <c r="O84" i="3"/>
  <c r="P217" i="2" s="1"/>
  <c r="O83" i="3"/>
  <c r="P214" i="2" s="1"/>
  <c r="O82" i="3"/>
  <c r="P213" i="2" s="1"/>
  <c r="O81" i="3"/>
  <c r="P212" i="2" s="1"/>
  <c r="O80" i="3"/>
  <c r="P211" i="2" s="1"/>
  <c r="O79" i="3"/>
  <c r="O78" i="3"/>
  <c r="O77" i="3"/>
  <c r="P208" i="2" s="1"/>
  <c r="O76" i="3"/>
  <c r="P207" i="2" s="1"/>
  <c r="O75" i="3"/>
  <c r="P206" i="2" s="1"/>
  <c r="O74" i="3"/>
  <c r="P204" i="2" s="1"/>
  <c r="O73" i="3"/>
  <c r="P203" i="2" s="1"/>
  <c r="O72" i="3"/>
  <c r="P202" i="2" s="1"/>
  <c r="O71" i="3"/>
  <c r="O70" i="3"/>
  <c r="O69" i="3"/>
  <c r="P199" i="2" s="1"/>
  <c r="O68" i="3"/>
  <c r="P197" i="2" s="1"/>
  <c r="O67" i="3"/>
  <c r="P196" i="2" s="1"/>
  <c r="O66" i="3"/>
  <c r="P194" i="2" s="1"/>
  <c r="O65" i="3"/>
  <c r="P192" i="2" s="1"/>
  <c r="O64" i="3"/>
  <c r="P190" i="2" s="1"/>
  <c r="O63" i="3"/>
  <c r="O62" i="3"/>
  <c r="O61" i="3"/>
  <c r="O60" i="3"/>
  <c r="P180" i="2" s="1"/>
  <c r="O59" i="3"/>
  <c r="P179" i="2" s="1"/>
  <c r="O58" i="3"/>
  <c r="P178" i="2" s="1"/>
  <c r="O57" i="3"/>
  <c r="P176" i="2" s="1"/>
  <c r="O56" i="3"/>
  <c r="P175" i="2" s="1"/>
  <c r="O55" i="3"/>
  <c r="O54" i="3"/>
  <c r="O53" i="3"/>
  <c r="O52" i="3"/>
  <c r="O51" i="3"/>
  <c r="P167" i="2" s="1"/>
  <c r="O50" i="3"/>
  <c r="P166" i="2" s="1"/>
  <c r="O49" i="3"/>
  <c r="P163" i="2" s="1"/>
  <c r="O48" i="3"/>
  <c r="P162" i="2" s="1"/>
  <c r="O47" i="3"/>
  <c r="O46" i="3"/>
  <c r="O45" i="3"/>
  <c r="O44" i="3"/>
  <c r="P154" i="2" s="1"/>
  <c r="O43" i="3"/>
  <c r="P151" i="2" s="1"/>
  <c r="O42" i="3"/>
  <c r="P150" i="2" s="1"/>
  <c r="O41" i="3"/>
  <c r="P149" i="2" s="1"/>
  <c r="O40" i="3"/>
  <c r="O39" i="3"/>
  <c r="O38" i="3"/>
  <c r="O37" i="3"/>
  <c r="O36" i="3"/>
  <c r="P120" i="2" s="1"/>
  <c r="O35" i="3"/>
  <c r="P115" i="2" s="1"/>
  <c r="O34" i="3"/>
  <c r="P114" i="2" s="1"/>
  <c r="O33" i="3"/>
  <c r="P111" i="2" s="1"/>
  <c r="O32" i="3"/>
  <c r="O31" i="3"/>
  <c r="O30" i="3"/>
  <c r="O29" i="3"/>
  <c r="O28" i="3"/>
  <c r="P78" i="2" s="1"/>
  <c r="O27" i="3"/>
  <c r="P75" i="2" s="1"/>
  <c r="O26" i="3"/>
  <c r="P74" i="2" s="1"/>
  <c r="O25" i="3"/>
  <c r="P73" i="2" s="1"/>
  <c r="O24" i="3"/>
  <c r="O23" i="3"/>
  <c r="O22" i="3"/>
  <c r="O21" i="3"/>
  <c r="O20" i="3"/>
  <c r="P14" i="2" s="1"/>
  <c r="O19" i="3"/>
  <c r="P13" i="2" s="1"/>
  <c r="O18" i="3"/>
  <c r="P284" i="2" s="1"/>
  <c r="O17" i="3"/>
  <c r="P191" i="2" s="1"/>
  <c r="O16" i="3"/>
  <c r="P148" i="2" s="1"/>
  <c r="O15" i="3"/>
  <c r="O14" i="3"/>
  <c r="O13" i="3"/>
  <c r="O12" i="3"/>
  <c r="P86" i="2" s="1"/>
  <c r="O11" i="3"/>
  <c r="P77" i="2" s="1"/>
  <c r="O10" i="3"/>
  <c r="P63" i="2" s="1"/>
  <c r="O9" i="3"/>
  <c r="P32" i="2" s="1"/>
  <c r="O8" i="3"/>
  <c r="V291" i="2"/>
  <c r="U291" i="2"/>
  <c r="T291" i="2"/>
  <c r="S291" i="2"/>
  <c r="O291" i="2"/>
  <c r="N291" i="2"/>
  <c r="M291" i="2"/>
  <c r="L291" i="2"/>
  <c r="K291" i="2"/>
  <c r="J291" i="2"/>
  <c r="I291" i="2"/>
  <c r="H291" i="2"/>
  <c r="G291" i="2"/>
  <c r="F291" i="2"/>
  <c r="E291" i="2"/>
  <c r="D291" i="2"/>
  <c r="V290" i="2"/>
  <c r="U290" i="2"/>
  <c r="T290" i="2"/>
  <c r="S290" i="2"/>
  <c r="O290" i="2"/>
  <c r="N290" i="2"/>
  <c r="M290" i="2"/>
  <c r="L290" i="2"/>
  <c r="K290" i="2"/>
  <c r="J290" i="2"/>
  <c r="I290" i="2"/>
  <c r="H290" i="2"/>
  <c r="G290" i="2"/>
  <c r="F290" i="2"/>
  <c r="E290" i="2"/>
  <c r="D290" i="2"/>
  <c r="V289" i="2"/>
  <c r="U289" i="2"/>
  <c r="T289" i="2"/>
  <c r="S289" i="2"/>
  <c r="O289" i="2"/>
  <c r="N289" i="2"/>
  <c r="M289" i="2"/>
  <c r="L289" i="2"/>
  <c r="K289" i="2"/>
  <c r="J289" i="2"/>
  <c r="I289" i="2"/>
  <c r="H289" i="2"/>
  <c r="G289" i="2"/>
  <c r="F289" i="2"/>
  <c r="E289" i="2"/>
  <c r="D289" i="2"/>
  <c r="V288" i="2"/>
  <c r="U288" i="2"/>
  <c r="T288" i="2"/>
  <c r="S288" i="2"/>
  <c r="R288" i="2"/>
  <c r="Q288" i="2"/>
  <c r="O288" i="2"/>
  <c r="N288" i="2"/>
  <c r="M288" i="2"/>
  <c r="L288" i="2"/>
  <c r="K288" i="2"/>
  <c r="J288" i="2"/>
  <c r="I288" i="2"/>
  <c r="H288" i="2"/>
  <c r="G288" i="2"/>
  <c r="F288" i="2"/>
  <c r="E288" i="2"/>
  <c r="D288" i="2"/>
  <c r="V287" i="2"/>
  <c r="U287" i="2"/>
  <c r="T287" i="2"/>
  <c r="S287" i="2"/>
  <c r="Q287" i="2"/>
  <c r="O287" i="2"/>
  <c r="N287" i="2"/>
  <c r="M287" i="2"/>
  <c r="L287" i="2"/>
  <c r="K287" i="2"/>
  <c r="J287" i="2"/>
  <c r="I287" i="2"/>
  <c r="H287" i="2"/>
  <c r="G287" i="2"/>
  <c r="F287" i="2"/>
  <c r="E287" i="2"/>
  <c r="D287" i="2"/>
  <c r="V286" i="2"/>
  <c r="U286" i="2"/>
  <c r="T286" i="2"/>
  <c r="S286" i="2"/>
  <c r="O286" i="2"/>
  <c r="N286" i="2"/>
  <c r="M286" i="2"/>
  <c r="L286" i="2"/>
  <c r="K286" i="2"/>
  <c r="J286" i="2"/>
  <c r="I286" i="2"/>
  <c r="H286" i="2"/>
  <c r="G286" i="2"/>
  <c r="F286" i="2"/>
  <c r="E286" i="2"/>
  <c r="D286" i="2"/>
  <c r="V285" i="2"/>
  <c r="U285" i="2"/>
  <c r="T285" i="2"/>
  <c r="S285" i="2"/>
  <c r="P285" i="2"/>
  <c r="O285" i="2"/>
  <c r="N285" i="2"/>
  <c r="M285" i="2"/>
  <c r="L285" i="2"/>
  <c r="K285" i="2"/>
  <c r="J285" i="2"/>
  <c r="I285" i="2"/>
  <c r="H285" i="2"/>
  <c r="G285" i="2"/>
  <c r="F285" i="2"/>
  <c r="E285" i="2"/>
  <c r="D285" i="2"/>
  <c r="W284" i="2"/>
  <c r="V284" i="2"/>
  <c r="U284" i="2"/>
  <c r="T284" i="2"/>
  <c r="S284" i="2"/>
  <c r="O284" i="2"/>
  <c r="N284" i="2"/>
  <c r="M284" i="2"/>
  <c r="L284" i="2"/>
  <c r="K284" i="2"/>
  <c r="J284" i="2"/>
  <c r="I284" i="2"/>
  <c r="H284" i="2"/>
  <c r="G284" i="2"/>
  <c r="F284" i="2"/>
  <c r="E284" i="2"/>
  <c r="D284" i="2"/>
  <c r="V283" i="2"/>
  <c r="U283" i="2"/>
  <c r="T283" i="2"/>
  <c r="S283" i="2"/>
  <c r="O283" i="2"/>
  <c r="N283" i="2"/>
  <c r="M283" i="2"/>
  <c r="L283" i="2"/>
  <c r="K283" i="2"/>
  <c r="J283" i="2"/>
  <c r="I283" i="2"/>
  <c r="H283" i="2"/>
  <c r="G283" i="2"/>
  <c r="F283" i="2"/>
  <c r="E283" i="2"/>
  <c r="D283" i="2"/>
  <c r="V282" i="2"/>
  <c r="U282" i="2"/>
  <c r="T282" i="2"/>
  <c r="S282" i="2"/>
  <c r="R282" i="2"/>
  <c r="P282" i="2"/>
  <c r="O282" i="2"/>
  <c r="N282" i="2"/>
  <c r="M282" i="2"/>
  <c r="L282" i="2"/>
  <c r="K282" i="2"/>
  <c r="J282" i="2"/>
  <c r="I282" i="2"/>
  <c r="H282" i="2"/>
  <c r="G282" i="2"/>
  <c r="F282" i="2"/>
  <c r="E282" i="2"/>
  <c r="D282" i="2"/>
  <c r="W281" i="2"/>
  <c r="V281" i="2"/>
  <c r="U281" i="2"/>
  <c r="T281" i="2"/>
  <c r="S281" i="2"/>
  <c r="R281" i="2"/>
  <c r="O281" i="2"/>
  <c r="N281" i="2"/>
  <c r="M281" i="2"/>
  <c r="L281" i="2"/>
  <c r="K281" i="2"/>
  <c r="J281" i="2"/>
  <c r="I281" i="2"/>
  <c r="H281" i="2"/>
  <c r="G281" i="2"/>
  <c r="F281" i="2"/>
  <c r="E281" i="2"/>
  <c r="D281" i="2"/>
  <c r="W280" i="2"/>
  <c r="V280" i="2"/>
  <c r="U280" i="2"/>
  <c r="T280" i="2"/>
  <c r="S280" i="2"/>
  <c r="R280" i="2"/>
  <c r="O280" i="2"/>
  <c r="N280" i="2"/>
  <c r="M280" i="2"/>
  <c r="L280" i="2"/>
  <c r="K280" i="2"/>
  <c r="J280" i="2"/>
  <c r="I280" i="2"/>
  <c r="H280" i="2"/>
  <c r="G280" i="2"/>
  <c r="F280" i="2"/>
  <c r="E280" i="2"/>
  <c r="D280" i="2"/>
  <c r="V279" i="2"/>
  <c r="U279" i="2"/>
  <c r="T279" i="2"/>
  <c r="S279" i="2"/>
  <c r="O279" i="2"/>
  <c r="N279" i="2"/>
  <c r="M279" i="2"/>
  <c r="L279" i="2"/>
  <c r="K279" i="2"/>
  <c r="J279" i="2"/>
  <c r="I279" i="2"/>
  <c r="H279" i="2"/>
  <c r="G279" i="2"/>
  <c r="F279" i="2"/>
  <c r="E279" i="2"/>
  <c r="D279" i="2"/>
  <c r="V278" i="2"/>
  <c r="U278" i="2"/>
  <c r="T278" i="2"/>
  <c r="S278" i="2"/>
  <c r="O278" i="2"/>
  <c r="N278" i="2"/>
  <c r="M278" i="2"/>
  <c r="L278" i="2"/>
  <c r="K278" i="2"/>
  <c r="J278" i="2"/>
  <c r="I278" i="2"/>
  <c r="H278" i="2"/>
  <c r="G278" i="2"/>
  <c r="F278" i="2"/>
  <c r="E278" i="2"/>
  <c r="D278" i="2"/>
  <c r="V277" i="2"/>
  <c r="U277" i="2"/>
  <c r="T277" i="2"/>
  <c r="S277" i="2"/>
  <c r="R277" i="2"/>
  <c r="O277" i="2"/>
  <c r="N277" i="2"/>
  <c r="M277" i="2"/>
  <c r="L277" i="2"/>
  <c r="K277" i="2"/>
  <c r="J277" i="2"/>
  <c r="I277" i="2"/>
  <c r="H277" i="2"/>
  <c r="G277" i="2"/>
  <c r="F277" i="2"/>
  <c r="E277" i="2"/>
  <c r="D277" i="2"/>
  <c r="V276" i="2"/>
  <c r="U276" i="2"/>
  <c r="T276" i="2"/>
  <c r="S276" i="2"/>
  <c r="Q276" i="2"/>
  <c r="O276" i="2"/>
  <c r="N276" i="2"/>
  <c r="M276" i="2"/>
  <c r="L276" i="2"/>
  <c r="K276" i="2"/>
  <c r="J276" i="2"/>
  <c r="I276" i="2"/>
  <c r="H276" i="2"/>
  <c r="G276" i="2"/>
  <c r="F276" i="2"/>
  <c r="E276" i="2"/>
  <c r="D276" i="2"/>
  <c r="V275" i="2"/>
  <c r="U275" i="2"/>
  <c r="T275" i="2"/>
  <c r="S275" i="2"/>
  <c r="Q275" i="2"/>
  <c r="P275" i="2"/>
  <c r="O275" i="2"/>
  <c r="N275" i="2"/>
  <c r="M275" i="2"/>
  <c r="L275" i="2"/>
  <c r="K275" i="2"/>
  <c r="J275" i="2"/>
  <c r="I275" i="2"/>
  <c r="H275" i="2"/>
  <c r="G275" i="2"/>
  <c r="F275" i="2"/>
  <c r="E275" i="2"/>
  <c r="D275" i="2"/>
  <c r="V274" i="2"/>
  <c r="U274" i="2"/>
  <c r="T274" i="2"/>
  <c r="S274" i="2"/>
  <c r="P274" i="2"/>
  <c r="O274" i="2"/>
  <c r="N274" i="2"/>
  <c r="M274" i="2"/>
  <c r="L274" i="2"/>
  <c r="K274" i="2"/>
  <c r="J274" i="2"/>
  <c r="I274" i="2"/>
  <c r="H274" i="2"/>
  <c r="G274" i="2"/>
  <c r="F274" i="2"/>
  <c r="E274" i="2"/>
  <c r="D274" i="2"/>
  <c r="V273" i="2"/>
  <c r="U273" i="2"/>
  <c r="T273" i="2"/>
  <c r="S273" i="2"/>
  <c r="O273" i="2"/>
  <c r="N273" i="2"/>
  <c r="M273" i="2"/>
  <c r="L273" i="2"/>
  <c r="K273" i="2"/>
  <c r="J273" i="2"/>
  <c r="I273" i="2"/>
  <c r="H273" i="2"/>
  <c r="G273" i="2"/>
  <c r="F273" i="2"/>
  <c r="E273" i="2"/>
  <c r="D273" i="2"/>
  <c r="V272" i="2"/>
  <c r="U272" i="2"/>
  <c r="T272" i="2"/>
  <c r="S272" i="2"/>
  <c r="R272" i="2"/>
  <c r="Q272" i="2"/>
  <c r="O272" i="2"/>
  <c r="N272" i="2"/>
  <c r="M272" i="2"/>
  <c r="L272" i="2"/>
  <c r="K272" i="2"/>
  <c r="J272" i="2"/>
  <c r="I272" i="2"/>
  <c r="H272" i="2"/>
  <c r="G272" i="2"/>
  <c r="F272" i="2"/>
  <c r="E272" i="2"/>
  <c r="D272" i="2"/>
  <c r="V271" i="2"/>
  <c r="U271" i="2"/>
  <c r="T271" i="2"/>
  <c r="S271" i="2"/>
  <c r="O271" i="2"/>
  <c r="N271" i="2"/>
  <c r="M271" i="2"/>
  <c r="L271" i="2"/>
  <c r="K271" i="2"/>
  <c r="J271" i="2"/>
  <c r="I271" i="2"/>
  <c r="H271" i="2"/>
  <c r="G271" i="2"/>
  <c r="F271" i="2"/>
  <c r="E271" i="2"/>
  <c r="D271" i="2"/>
  <c r="W270" i="2"/>
  <c r="V270" i="2"/>
  <c r="U270" i="2"/>
  <c r="T270" i="2"/>
  <c r="S270" i="2"/>
  <c r="Q270" i="2"/>
  <c r="O270" i="2"/>
  <c r="N270" i="2"/>
  <c r="M270" i="2"/>
  <c r="L270" i="2"/>
  <c r="K270" i="2"/>
  <c r="J270" i="2"/>
  <c r="I270" i="2"/>
  <c r="H270" i="2"/>
  <c r="G270" i="2"/>
  <c r="F270" i="2"/>
  <c r="E270" i="2"/>
  <c r="D270" i="2"/>
  <c r="V269" i="2"/>
  <c r="U269" i="2"/>
  <c r="T269" i="2"/>
  <c r="S269" i="2"/>
  <c r="O269" i="2"/>
  <c r="N269" i="2"/>
  <c r="M269" i="2"/>
  <c r="L269" i="2"/>
  <c r="K269" i="2"/>
  <c r="J269" i="2"/>
  <c r="I269" i="2"/>
  <c r="H269" i="2"/>
  <c r="G269" i="2"/>
  <c r="F269" i="2"/>
  <c r="E269" i="2"/>
  <c r="D269" i="2"/>
  <c r="W268" i="2"/>
  <c r="V268" i="2"/>
  <c r="U268" i="2"/>
  <c r="T268" i="2"/>
  <c r="S268" i="2"/>
  <c r="Q268" i="2"/>
  <c r="O268" i="2"/>
  <c r="N268" i="2"/>
  <c r="M268" i="2"/>
  <c r="L268" i="2"/>
  <c r="K268" i="2"/>
  <c r="J268" i="2"/>
  <c r="I268" i="2"/>
  <c r="H268" i="2"/>
  <c r="G268" i="2"/>
  <c r="F268" i="2"/>
  <c r="E268" i="2"/>
  <c r="D268" i="2"/>
  <c r="V267" i="2"/>
  <c r="U267" i="2"/>
  <c r="T267" i="2"/>
  <c r="S267" i="2"/>
  <c r="O267" i="2"/>
  <c r="N267" i="2"/>
  <c r="M267" i="2"/>
  <c r="L267" i="2"/>
  <c r="K267" i="2"/>
  <c r="J267" i="2"/>
  <c r="I267" i="2"/>
  <c r="H267" i="2"/>
  <c r="G267" i="2"/>
  <c r="F267" i="2"/>
  <c r="E267" i="2"/>
  <c r="D267" i="2"/>
  <c r="W266" i="2"/>
  <c r="V266" i="2"/>
  <c r="U266" i="2"/>
  <c r="T266" i="2"/>
  <c r="S266" i="2"/>
  <c r="R266" i="2"/>
  <c r="O266" i="2"/>
  <c r="N266" i="2"/>
  <c r="M266" i="2"/>
  <c r="L266" i="2"/>
  <c r="K266" i="2"/>
  <c r="J266" i="2"/>
  <c r="I266" i="2"/>
  <c r="H266" i="2"/>
  <c r="G266" i="2"/>
  <c r="F266" i="2"/>
  <c r="E266" i="2"/>
  <c r="D266" i="2"/>
  <c r="V265" i="2"/>
  <c r="U265" i="2"/>
  <c r="T265" i="2"/>
  <c r="S265" i="2"/>
  <c r="P265" i="2"/>
  <c r="O265" i="2"/>
  <c r="N265" i="2"/>
  <c r="M265" i="2"/>
  <c r="L265" i="2"/>
  <c r="K265" i="2"/>
  <c r="J265" i="2"/>
  <c r="I265" i="2"/>
  <c r="H265" i="2"/>
  <c r="G265" i="2"/>
  <c r="F265" i="2"/>
  <c r="E265" i="2"/>
  <c r="D265" i="2"/>
  <c r="W264" i="2"/>
  <c r="V264" i="2"/>
  <c r="U264" i="2"/>
  <c r="T264" i="2"/>
  <c r="S264" i="2"/>
  <c r="R264" i="2"/>
  <c r="Q264" i="2"/>
  <c r="P264" i="2"/>
  <c r="O264" i="2"/>
  <c r="N264" i="2"/>
  <c r="M264" i="2"/>
  <c r="L264" i="2"/>
  <c r="K264" i="2"/>
  <c r="J264" i="2"/>
  <c r="I264" i="2"/>
  <c r="H264" i="2"/>
  <c r="G264" i="2"/>
  <c r="F264" i="2"/>
  <c r="E264" i="2"/>
  <c r="D264" i="2"/>
  <c r="V263" i="2"/>
  <c r="U263" i="2"/>
  <c r="T263" i="2"/>
  <c r="S263" i="2"/>
  <c r="O263" i="2"/>
  <c r="N263" i="2"/>
  <c r="M263" i="2"/>
  <c r="L263" i="2"/>
  <c r="K263" i="2"/>
  <c r="J263" i="2"/>
  <c r="I263" i="2"/>
  <c r="H263" i="2"/>
  <c r="G263" i="2"/>
  <c r="F263" i="2"/>
  <c r="E263" i="2"/>
  <c r="D263" i="2"/>
  <c r="W262" i="2"/>
  <c r="V262" i="2"/>
  <c r="U262" i="2"/>
  <c r="T262" i="2"/>
  <c r="S262" i="2"/>
  <c r="O262" i="2"/>
  <c r="N262" i="2"/>
  <c r="M262" i="2"/>
  <c r="L262" i="2"/>
  <c r="K262" i="2"/>
  <c r="J262" i="2"/>
  <c r="I262" i="2"/>
  <c r="H262" i="2"/>
  <c r="G262" i="2"/>
  <c r="F262" i="2"/>
  <c r="E262" i="2"/>
  <c r="D262" i="2"/>
  <c r="V261" i="2"/>
  <c r="U261" i="2"/>
  <c r="T261" i="2"/>
  <c r="S261" i="2"/>
  <c r="R261" i="2"/>
  <c r="O261" i="2"/>
  <c r="N261" i="2"/>
  <c r="M261" i="2"/>
  <c r="L261" i="2"/>
  <c r="K261" i="2"/>
  <c r="J261" i="2"/>
  <c r="I261" i="2"/>
  <c r="H261" i="2"/>
  <c r="G261" i="2"/>
  <c r="F261" i="2"/>
  <c r="E261" i="2"/>
  <c r="D261" i="2"/>
  <c r="V260" i="2"/>
  <c r="U260" i="2"/>
  <c r="T260" i="2"/>
  <c r="S260" i="2"/>
  <c r="O260" i="2"/>
  <c r="N260" i="2"/>
  <c r="M260" i="2"/>
  <c r="L260" i="2"/>
  <c r="K260" i="2"/>
  <c r="J260" i="2"/>
  <c r="I260" i="2"/>
  <c r="H260" i="2"/>
  <c r="G260" i="2"/>
  <c r="F260" i="2"/>
  <c r="E260" i="2"/>
  <c r="D260" i="2"/>
  <c r="V259" i="2"/>
  <c r="U259" i="2"/>
  <c r="T259" i="2"/>
  <c r="S259" i="2"/>
  <c r="R259" i="2"/>
  <c r="Q259" i="2"/>
  <c r="O259" i="2"/>
  <c r="N259" i="2"/>
  <c r="M259" i="2"/>
  <c r="L259" i="2"/>
  <c r="K259" i="2"/>
  <c r="J259" i="2"/>
  <c r="I259" i="2"/>
  <c r="H259" i="2"/>
  <c r="G259" i="2"/>
  <c r="F259" i="2"/>
  <c r="E259" i="2"/>
  <c r="D259" i="2"/>
  <c r="V258" i="2"/>
  <c r="U258" i="2"/>
  <c r="T258" i="2"/>
  <c r="S258" i="2"/>
  <c r="Q258" i="2"/>
  <c r="O258" i="2"/>
  <c r="N258" i="2"/>
  <c r="M258" i="2"/>
  <c r="L258" i="2"/>
  <c r="K258" i="2"/>
  <c r="J258" i="2"/>
  <c r="I258" i="2"/>
  <c r="H258" i="2"/>
  <c r="G258" i="2"/>
  <c r="F258" i="2"/>
  <c r="E258" i="2"/>
  <c r="D258" i="2"/>
  <c r="W257" i="2"/>
  <c r="V257" i="2"/>
  <c r="U257" i="2"/>
  <c r="T257" i="2"/>
  <c r="S257" i="2"/>
  <c r="Q257" i="2"/>
  <c r="O257" i="2"/>
  <c r="N257" i="2"/>
  <c r="M257" i="2"/>
  <c r="L257" i="2"/>
  <c r="K257" i="2"/>
  <c r="J257" i="2"/>
  <c r="I257" i="2"/>
  <c r="H257" i="2"/>
  <c r="G257" i="2"/>
  <c r="F257" i="2"/>
  <c r="E257" i="2"/>
  <c r="D257" i="2"/>
  <c r="V256" i="2"/>
  <c r="U256" i="2"/>
  <c r="T256" i="2"/>
  <c r="S256" i="2"/>
  <c r="P256" i="2"/>
  <c r="O256" i="2"/>
  <c r="N256" i="2"/>
  <c r="M256" i="2"/>
  <c r="L256" i="2"/>
  <c r="K256" i="2"/>
  <c r="J256" i="2"/>
  <c r="I256" i="2"/>
  <c r="H256" i="2"/>
  <c r="G256" i="2"/>
  <c r="F256" i="2"/>
  <c r="E256" i="2"/>
  <c r="D256" i="2"/>
  <c r="V255" i="2"/>
  <c r="U255" i="2"/>
  <c r="T255" i="2"/>
  <c r="S255" i="2"/>
  <c r="R255" i="2"/>
  <c r="P255" i="2"/>
  <c r="O255" i="2"/>
  <c r="N255" i="2"/>
  <c r="M255" i="2"/>
  <c r="L255" i="2"/>
  <c r="K255" i="2"/>
  <c r="J255" i="2"/>
  <c r="I255" i="2"/>
  <c r="H255" i="2"/>
  <c r="G255" i="2"/>
  <c r="F255" i="2"/>
  <c r="E255" i="2"/>
  <c r="D255" i="2"/>
  <c r="W254" i="2"/>
  <c r="V254" i="2"/>
  <c r="U254" i="2"/>
  <c r="T254" i="2"/>
  <c r="S254" i="2"/>
  <c r="O254" i="2"/>
  <c r="N254" i="2"/>
  <c r="M254" i="2"/>
  <c r="L254" i="2"/>
  <c r="K254" i="2"/>
  <c r="J254" i="2"/>
  <c r="I254" i="2"/>
  <c r="H254" i="2"/>
  <c r="G254" i="2"/>
  <c r="F254" i="2"/>
  <c r="E254" i="2"/>
  <c r="D254" i="2"/>
  <c r="V253" i="2"/>
  <c r="U253" i="2"/>
  <c r="T253" i="2"/>
  <c r="S253" i="2"/>
  <c r="O253" i="2"/>
  <c r="N253" i="2"/>
  <c r="M253" i="2"/>
  <c r="L253" i="2"/>
  <c r="K253" i="2"/>
  <c r="J253" i="2"/>
  <c r="I253" i="2"/>
  <c r="H253" i="2"/>
  <c r="G253" i="2"/>
  <c r="F253" i="2"/>
  <c r="E253" i="2"/>
  <c r="D253" i="2"/>
  <c r="W252" i="2"/>
  <c r="V252" i="2"/>
  <c r="U252" i="2"/>
  <c r="T252" i="2"/>
  <c r="S252" i="2"/>
  <c r="O252" i="2"/>
  <c r="N252" i="2"/>
  <c r="M252" i="2"/>
  <c r="L252" i="2"/>
  <c r="K252" i="2"/>
  <c r="J252" i="2"/>
  <c r="I252" i="2"/>
  <c r="H252" i="2"/>
  <c r="G252" i="2"/>
  <c r="F252" i="2"/>
  <c r="E252" i="2"/>
  <c r="D252" i="2"/>
  <c r="W251" i="2"/>
  <c r="V251" i="2"/>
  <c r="U251" i="2"/>
  <c r="T251" i="2"/>
  <c r="S251" i="2"/>
  <c r="P251" i="2"/>
  <c r="O251" i="2"/>
  <c r="N251" i="2"/>
  <c r="M251" i="2"/>
  <c r="L251" i="2"/>
  <c r="K251" i="2"/>
  <c r="J251" i="2"/>
  <c r="I251" i="2"/>
  <c r="H251" i="2"/>
  <c r="G251" i="2"/>
  <c r="F251" i="2"/>
  <c r="E251" i="2"/>
  <c r="D251" i="2"/>
  <c r="V250" i="2"/>
  <c r="U250" i="2"/>
  <c r="T250" i="2"/>
  <c r="S250" i="2"/>
  <c r="Q250" i="2"/>
  <c r="O250" i="2"/>
  <c r="N250" i="2"/>
  <c r="M250" i="2"/>
  <c r="L250" i="2"/>
  <c r="K250" i="2"/>
  <c r="J250" i="2"/>
  <c r="I250" i="2"/>
  <c r="H250" i="2"/>
  <c r="G250" i="2"/>
  <c r="F250" i="2"/>
  <c r="E250" i="2"/>
  <c r="D250" i="2"/>
  <c r="V249" i="2"/>
  <c r="U249" i="2"/>
  <c r="T249" i="2"/>
  <c r="S249" i="2"/>
  <c r="Q249" i="2"/>
  <c r="O249" i="2"/>
  <c r="N249" i="2"/>
  <c r="M249" i="2"/>
  <c r="L249" i="2"/>
  <c r="K249" i="2"/>
  <c r="J249" i="2"/>
  <c r="I249" i="2"/>
  <c r="H249" i="2"/>
  <c r="G249" i="2"/>
  <c r="F249" i="2"/>
  <c r="E249" i="2"/>
  <c r="D249" i="2"/>
  <c r="V248" i="2"/>
  <c r="U248" i="2"/>
  <c r="T248" i="2"/>
  <c r="S248" i="2"/>
  <c r="R248" i="2"/>
  <c r="O248" i="2"/>
  <c r="N248" i="2"/>
  <c r="M248" i="2"/>
  <c r="L248" i="2"/>
  <c r="K248" i="2"/>
  <c r="J248" i="2"/>
  <c r="I248" i="2"/>
  <c r="H248" i="2"/>
  <c r="G248" i="2"/>
  <c r="F248" i="2"/>
  <c r="E248" i="2"/>
  <c r="D248" i="2"/>
  <c r="V247" i="2"/>
  <c r="U247" i="2"/>
  <c r="T247" i="2"/>
  <c r="S247" i="2"/>
  <c r="Q247" i="2"/>
  <c r="P247" i="2"/>
  <c r="O247" i="2"/>
  <c r="N247" i="2"/>
  <c r="M247" i="2"/>
  <c r="L247" i="2"/>
  <c r="K247" i="2"/>
  <c r="J247" i="2"/>
  <c r="I247" i="2"/>
  <c r="H247" i="2"/>
  <c r="G247" i="2"/>
  <c r="F247" i="2"/>
  <c r="E247" i="2"/>
  <c r="D247" i="2"/>
  <c r="V246" i="2"/>
  <c r="U246" i="2"/>
  <c r="T246" i="2"/>
  <c r="S246" i="2"/>
  <c r="R246" i="2"/>
  <c r="P246" i="2"/>
  <c r="O246" i="2"/>
  <c r="N246" i="2"/>
  <c r="M246" i="2"/>
  <c r="L246" i="2"/>
  <c r="K246" i="2"/>
  <c r="J246" i="2"/>
  <c r="I246" i="2"/>
  <c r="H246" i="2"/>
  <c r="G246" i="2"/>
  <c r="F246" i="2"/>
  <c r="E246" i="2"/>
  <c r="D246" i="2"/>
  <c r="V245" i="2"/>
  <c r="U245" i="2"/>
  <c r="T245" i="2"/>
  <c r="S245" i="2"/>
  <c r="R245" i="2"/>
  <c r="O245" i="2"/>
  <c r="N245" i="2"/>
  <c r="M245" i="2"/>
  <c r="L245" i="2"/>
  <c r="K245" i="2"/>
  <c r="J245" i="2"/>
  <c r="I245" i="2"/>
  <c r="H245" i="2"/>
  <c r="G245" i="2"/>
  <c r="F245" i="2"/>
  <c r="E245" i="2"/>
  <c r="D245" i="2"/>
  <c r="V244" i="2"/>
  <c r="U244" i="2"/>
  <c r="T244" i="2"/>
  <c r="S244" i="2"/>
  <c r="O244" i="2"/>
  <c r="N244" i="2"/>
  <c r="M244" i="2"/>
  <c r="L244" i="2"/>
  <c r="K244" i="2"/>
  <c r="J244" i="2"/>
  <c r="I244" i="2"/>
  <c r="H244" i="2"/>
  <c r="G244" i="2"/>
  <c r="F244" i="2"/>
  <c r="E244" i="2"/>
  <c r="D244" i="2"/>
  <c r="V243" i="2"/>
  <c r="U243" i="2"/>
  <c r="T243" i="2"/>
  <c r="S243" i="2"/>
  <c r="R243" i="2"/>
  <c r="O243" i="2"/>
  <c r="N243" i="2"/>
  <c r="M243" i="2"/>
  <c r="L243" i="2"/>
  <c r="K243" i="2"/>
  <c r="J243" i="2"/>
  <c r="I243" i="2"/>
  <c r="H243" i="2"/>
  <c r="G243" i="2"/>
  <c r="F243" i="2"/>
  <c r="E243" i="2"/>
  <c r="D243" i="2"/>
  <c r="V242" i="2"/>
  <c r="U242" i="2"/>
  <c r="T242" i="2"/>
  <c r="S242" i="2"/>
  <c r="O242" i="2"/>
  <c r="N242" i="2"/>
  <c r="M242" i="2"/>
  <c r="L242" i="2"/>
  <c r="K242" i="2"/>
  <c r="J242" i="2"/>
  <c r="I242" i="2"/>
  <c r="H242" i="2"/>
  <c r="G242" i="2"/>
  <c r="F242" i="2"/>
  <c r="E242" i="2"/>
  <c r="D242" i="2"/>
  <c r="W241" i="2"/>
  <c r="V241" i="2"/>
  <c r="U241" i="2"/>
  <c r="T241" i="2"/>
  <c r="S241" i="2"/>
  <c r="O241" i="2"/>
  <c r="N241" i="2"/>
  <c r="M241" i="2"/>
  <c r="L241" i="2"/>
  <c r="K241" i="2"/>
  <c r="J241" i="2"/>
  <c r="I241" i="2"/>
  <c r="H241" i="2"/>
  <c r="G241" i="2"/>
  <c r="F241" i="2"/>
  <c r="E241" i="2"/>
  <c r="D241" i="2"/>
  <c r="V240" i="2"/>
  <c r="U240" i="2"/>
  <c r="T240" i="2"/>
  <c r="S240" i="2"/>
  <c r="O240" i="2"/>
  <c r="N240" i="2"/>
  <c r="M240" i="2"/>
  <c r="L240" i="2"/>
  <c r="K240" i="2"/>
  <c r="J240" i="2"/>
  <c r="I240" i="2"/>
  <c r="H240" i="2"/>
  <c r="G240" i="2"/>
  <c r="F240" i="2"/>
  <c r="E240" i="2"/>
  <c r="D240" i="2"/>
  <c r="W239" i="2"/>
  <c r="V239" i="2"/>
  <c r="U239" i="2"/>
  <c r="T239" i="2"/>
  <c r="S239" i="2"/>
  <c r="R239" i="2"/>
  <c r="P239" i="2"/>
  <c r="O239" i="2"/>
  <c r="N239" i="2"/>
  <c r="M239" i="2"/>
  <c r="L239" i="2"/>
  <c r="K239" i="2"/>
  <c r="J239" i="2"/>
  <c r="I239" i="2"/>
  <c r="H239" i="2"/>
  <c r="G239" i="2"/>
  <c r="F239" i="2"/>
  <c r="E239" i="2"/>
  <c r="D239" i="2"/>
  <c r="W238" i="2"/>
  <c r="V238" i="2"/>
  <c r="U238" i="2"/>
  <c r="T238" i="2"/>
  <c r="S238" i="2"/>
  <c r="R238" i="2"/>
  <c r="P238" i="2"/>
  <c r="O238" i="2"/>
  <c r="N238" i="2"/>
  <c r="M238" i="2"/>
  <c r="L238" i="2"/>
  <c r="K238" i="2"/>
  <c r="J238" i="2"/>
  <c r="I238" i="2"/>
  <c r="H238" i="2"/>
  <c r="G238" i="2"/>
  <c r="F238" i="2"/>
  <c r="E238" i="2"/>
  <c r="D238" i="2"/>
  <c r="W237" i="2"/>
  <c r="V237" i="2"/>
  <c r="U237" i="2"/>
  <c r="T237" i="2"/>
  <c r="S237" i="2"/>
  <c r="O237" i="2"/>
  <c r="N237" i="2"/>
  <c r="M237" i="2"/>
  <c r="L237" i="2"/>
  <c r="K237" i="2"/>
  <c r="J237" i="2"/>
  <c r="I237" i="2"/>
  <c r="H237" i="2"/>
  <c r="G237" i="2"/>
  <c r="F237" i="2"/>
  <c r="E237" i="2"/>
  <c r="D237" i="2"/>
  <c r="W236" i="2"/>
  <c r="V236" i="2"/>
  <c r="U236" i="2"/>
  <c r="T236" i="2"/>
  <c r="S236" i="2"/>
  <c r="O236" i="2"/>
  <c r="N236" i="2"/>
  <c r="M236" i="2"/>
  <c r="L236" i="2"/>
  <c r="K236" i="2"/>
  <c r="J236" i="2"/>
  <c r="I236" i="2"/>
  <c r="H236" i="2"/>
  <c r="G236" i="2"/>
  <c r="F236" i="2"/>
  <c r="E236" i="2"/>
  <c r="D236" i="2"/>
  <c r="V235" i="2"/>
  <c r="U235" i="2"/>
  <c r="T235" i="2"/>
  <c r="S235" i="2"/>
  <c r="Q235" i="2"/>
  <c r="O235" i="2"/>
  <c r="N235" i="2"/>
  <c r="M235" i="2"/>
  <c r="L235" i="2"/>
  <c r="K235" i="2"/>
  <c r="J235" i="2"/>
  <c r="I235" i="2"/>
  <c r="H235" i="2"/>
  <c r="G235" i="2"/>
  <c r="F235" i="2"/>
  <c r="E235" i="2"/>
  <c r="D235" i="2"/>
  <c r="V234" i="2"/>
  <c r="U234" i="2"/>
  <c r="T234" i="2"/>
  <c r="S234" i="2"/>
  <c r="Q234" i="2"/>
  <c r="P234" i="2"/>
  <c r="O234" i="2"/>
  <c r="N234" i="2"/>
  <c r="M234" i="2"/>
  <c r="L234" i="2"/>
  <c r="K234" i="2"/>
  <c r="J234" i="2"/>
  <c r="I234" i="2"/>
  <c r="H234" i="2"/>
  <c r="G234" i="2"/>
  <c r="F234" i="2"/>
  <c r="E234" i="2"/>
  <c r="D234" i="2"/>
  <c r="V233" i="2"/>
  <c r="U233" i="2"/>
  <c r="T233" i="2"/>
  <c r="S233" i="2"/>
  <c r="Q233" i="2"/>
  <c r="O233" i="2"/>
  <c r="N233" i="2"/>
  <c r="M233" i="2"/>
  <c r="L233" i="2"/>
  <c r="K233" i="2"/>
  <c r="J233" i="2"/>
  <c r="I233" i="2"/>
  <c r="H233" i="2"/>
  <c r="G233" i="2"/>
  <c r="F233" i="2"/>
  <c r="E233" i="2"/>
  <c r="D233" i="2"/>
  <c r="V232" i="2"/>
  <c r="U232" i="2"/>
  <c r="T232" i="2"/>
  <c r="S232" i="2"/>
  <c r="Q232" i="2"/>
  <c r="O232" i="2"/>
  <c r="N232" i="2"/>
  <c r="M232" i="2"/>
  <c r="L232" i="2"/>
  <c r="K232" i="2"/>
  <c r="J232" i="2"/>
  <c r="I232" i="2"/>
  <c r="H232" i="2"/>
  <c r="G232" i="2"/>
  <c r="F232" i="2"/>
  <c r="E232" i="2"/>
  <c r="D232" i="2"/>
  <c r="V231" i="2"/>
  <c r="U231" i="2"/>
  <c r="T231" i="2"/>
  <c r="S231" i="2"/>
  <c r="O231" i="2"/>
  <c r="N231" i="2"/>
  <c r="M231" i="2"/>
  <c r="L231" i="2"/>
  <c r="K231" i="2"/>
  <c r="J231" i="2"/>
  <c r="I231" i="2"/>
  <c r="H231" i="2"/>
  <c r="G231" i="2"/>
  <c r="F231" i="2"/>
  <c r="E231" i="2"/>
  <c r="D231" i="2"/>
  <c r="V230" i="2"/>
  <c r="U230" i="2"/>
  <c r="T230" i="2"/>
  <c r="S230" i="2"/>
  <c r="R230" i="2"/>
  <c r="Q230" i="2"/>
  <c r="O230" i="2"/>
  <c r="N230" i="2"/>
  <c r="M230" i="2"/>
  <c r="L230" i="2"/>
  <c r="K230" i="2"/>
  <c r="J230" i="2"/>
  <c r="I230" i="2"/>
  <c r="H230" i="2"/>
  <c r="G230" i="2"/>
  <c r="F230" i="2"/>
  <c r="E230" i="2"/>
  <c r="D230" i="2"/>
  <c r="V229" i="2"/>
  <c r="U229" i="2"/>
  <c r="T229" i="2"/>
  <c r="S229" i="2"/>
  <c r="P229" i="2"/>
  <c r="O229" i="2"/>
  <c r="N229" i="2"/>
  <c r="M229" i="2"/>
  <c r="L229" i="2"/>
  <c r="K229" i="2"/>
  <c r="J229" i="2"/>
  <c r="I229" i="2"/>
  <c r="H229" i="2"/>
  <c r="G229" i="2"/>
  <c r="F229" i="2"/>
  <c r="E229" i="2"/>
  <c r="D229" i="2"/>
  <c r="V228" i="2"/>
  <c r="U228" i="2"/>
  <c r="T228" i="2"/>
  <c r="S228" i="2"/>
  <c r="R228" i="2"/>
  <c r="P228" i="2"/>
  <c r="O228" i="2"/>
  <c r="N228" i="2"/>
  <c r="M228" i="2"/>
  <c r="L228" i="2"/>
  <c r="K228" i="2"/>
  <c r="J228" i="2"/>
  <c r="I228" i="2"/>
  <c r="H228" i="2"/>
  <c r="G228" i="2"/>
  <c r="F228" i="2"/>
  <c r="E228" i="2"/>
  <c r="D228" i="2"/>
  <c r="V227" i="2"/>
  <c r="U227" i="2"/>
  <c r="T227" i="2"/>
  <c r="S227" i="2"/>
  <c r="O227" i="2"/>
  <c r="N227" i="2"/>
  <c r="M227" i="2"/>
  <c r="L227" i="2"/>
  <c r="K227" i="2"/>
  <c r="J227" i="2"/>
  <c r="I227" i="2"/>
  <c r="H227" i="2"/>
  <c r="G227" i="2"/>
  <c r="F227" i="2"/>
  <c r="E227" i="2"/>
  <c r="D227" i="2"/>
  <c r="W226" i="2"/>
  <c r="V226" i="2"/>
  <c r="U226" i="2"/>
  <c r="T226" i="2"/>
  <c r="S226" i="2"/>
  <c r="R226" i="2"/>
  <c r="O226" i="2"/>
  <c r="N226" i="2"/>
  <c r="M226" i="2"/>
  <c r="L226" i="2"/>
  <c r="K226" i="2"/>
  <c r="J226" i="2"/>
  <c r="I226" i="2"/>
  <c r="H226" i="2"/>
  <c r="G226" i="2"/>
  <c r="F226" i="2"/>
  <c r="E226" i="2"/>
  <c r="D226" i="2"/>
  <c r="V225" i="2"/>
  <c r="U225" i="2"/>
  <c r="T225" i="2"/>
  <c r="S225" i="2"/>
  <c r="O225" i="2"/>
  <c r="N225" i="2"/>
  <c r="M225" i="2"/>
  <c r="L225" i="2"/>
  <c r="K225" i="2"/>
  <c r="J225" i="2"/>
  <c r="I225" i="2"/>
  <c r="H225" i="2"/>
  <c r="G225" i="2"/>
  <c r="F225" i="2"/>
  <c r="E225" i="2"/>
  <c r="D225" i="2"/>
  <c r="V224" i="2"/>
  <c r="U224" i="2"/>
  <c r="T224" i="2"/>
  <c r="S224" i="2"/>
  <c r="Q224" i="2"/>
  <c r="O224" i="2"/>
  <c r="N224" i="2"/>
  <c r="M224" i="2"/>
  <c r="L224" i="2"/>
  <c r="K224" i="2"/>
  <c r="J224" i="2"/>
  <c r="I224" i="2"/>
  <c r="H224" i="2"/>
  <c r="G224" i="2"/>
  <c r="F224" i="2"/>
  <c r="E224" i="2"/>
  <c r="D224" i="2"/>
  <c r="V223" i="2"/>
  <c r="U223" i="2"/>
  <c r="T223" i="2"/>
  <c r="S223" i="2"/>
  <c r="O223" i="2"/>
  <c r="N223" i="2"/>
  <c r="M223" i="2"/>
  <c r="L223" i="2"/>
  <c r="K223" i="2"/>
  <c r="J223" i="2"/>
  <c r="I223" i="2"/>
  <c r="H223" i="2"/>
  <c r="G223" i="2"/>
  <c r="F223" i="2"/>
  <c r="E223" i="2"/>
  <c r="D223" i="2"/>
  <c r="W222" i="2"/>
  <c r="V222" i="2"/>
  <c r="U222" i="2"/>
  <c r="T222" i="2"/>
  <c r="S222" i="2"/>
  <c r="R222" i="2"/>
  <c r="O222" i="2"/>
  <c r="N222" i="2"/>
  <c r="M222" i="2"/>
  <c r="L222" i="2"/>
  <c r="K222" i="2"/>
  <c r="J222" i="2"/>
  <c r="I222" i="2"/>
  <c r="H222" i="2"/>
  <c r="G222" i="2"/>
  <c r="F222" i="2"/>
  <c r="E222" i="2"/>
  <c r="D222" i="2"/>
  <c r="V221" i="2"/>
  <c r="U221" i="2"/>
  <c r="T221" i="2"/>
  <c r="S221" i="2"/>
  <c r="R221" i="2"/>
  <c r="Q221" i="2"/>
  <c r="P221" i="2"/>
  <c r="O221" i="2"/>
  <c r="N221" i="2"/>
  <c r="M221" i="2"/>
  <c r="L221" i="2"/>
  <c r="K221" i="2"/>
  <c r="J221" i="2"/>
  <c r="I221" i="2"/>
  <c r="H221" i="2"/>
  <c r="G221" i="2"/>
  <c r="F221" i="2"/>
  <c r="E221" i="2"/>
  <c r="D221" i="2"/>
  <c r="V220" i="2"/>
  <c r="U220" i="2"/>
  <c r="T220" i="2"/>
  <c r="S220" i="2"/>
  <c r="P220" i="2"/>
  <c r="O220" i="2"/>
  <c r="N220" i="2"/>
  <c r="M220" i="2"/>
  <c r="L220" i="2"/>
  <c r="K220" i="2"/>
  <c r="J220" i="2"/>
  <c r="I220" i="2"/>
  <c r="H220" i="2"/>
  <c r="G220" i="2"/>
  <c r="F220" i="2"/>
  <c r="E220" i="2"/>
  <c r="D220" i="2"/>
  <c r="W219" i="2"/>
  <c r="V219" i="2"/>
  <c r="U219" i="2"/>
  <c r="T219" i="2"/>
  <c r="S219" i="2"/>
  <c r="O219" i="2"/>
  <c r="N219" i="2"/>
  <c r="M219" i="2"/>
  <c r="L219" i="2"/>
  <c r="K219" i="2"/>
  <c r="J219" i="2"/>
  <c r="I219" i="2"/>
  <c r="H219" i="2"/>
  <c r="G219" i="2"/>
  <c r="F219" i="2"/>
  <c r="E219" i="2"/>
  <c r="D219" i="2"/>
  <c r="W218" i="2"/>
  <c r="V218" i="2"/>
  <c r="U218" i="2"/>
  <c r="T218" i="2"/>
  <c r="S218" i="2"/>
  <c r="O218" i="2"/>
  <c r="N218" i="2"/>
  <c r="M218" i="2"/>
  <c r="L218" i="2"/>
  <c r="K218" i="2"/>
  <c r="J218" i="2"/>
  <c r="I218" i="2"/>
  <c r="H218" i="2"/>
  <c r="G218" i="2"/>
  <c r="F218" i="2"/>
  <c r="E218" i="2"/>
  <c r="D218" i="2"/>
  <c r="V217" i="2"/>
  <c r="U217" i="2"/>
  <c r="T217" i="2"/>
  <c r="S217" i="2"/>
  <c r="O217" i="2"/>
  <c r="N217" i="2"/>
  <c r="M217" i="2"/>
  <c r="L217" i="2"/>
  <c r="K217" i="2"/>
  <c r="J217" i="2"/>
  <c r="I217" i="2"/>
  <c r="H217" i="2"/>
  <c r="G217" i="2"/>
  <c r="F217" i="2"/>
  <c r="E217" i="2"/>
  <c r="D217" i="2"/>
  <c r="V216" i="2"/>
  <c r="U216" i="2"/>
  <c r="T216" i="2"/>
  <c r="S216" i="2"/>
  <c r="Q216" i="2"/>
  <c r="P216" i="2"/>
  <c r="O216" i="2"/>
  <c r="N216" i="2"/>
  <c r="M216" i="2"/>
  <c r="L216" i="2"/>
  <c r="K216" i="2"/>
  <c r="J216" i="2"/>
  <c r="I216" i="2"/>
  <c r="H216" i="2"/>
  <c r="G216" i="2"/>
  <c r="F216" i="2"/>
  <c r="E216" i="2"/>
  <c r="D216" i="2"/>
  <c r="V215" i="2"/>
  <c r="U215" i="2"/>
  <c r="T215" i="2"/>
  <c r="S215" i="2"/>
  <c r="P215" i="2"/>
  <c r="O215" i="2"/>
  <c r="N215" i="2"/>
  <c r="M215" i="2"/>
  <c r="L215" i="2"/>
  <c r="K215" i="2"/>
  <c r="J215" i="2"/>
  <c r="I215" i="2"/>
  <c r="H215" i="2"/>
  <c r="G215" i="2"/>
  <c r="F215" i="2"/>
  <c r="E215" i="2"/>
  <c r="D215" i="2"/>
  <c r="V214" i="2"/>
  <c r="U214" i="2"/>
  <c r="T214" i="2"/>
  <c r="S214" i="2"/>
  <c r="O214" i="2"/>
  <c r="N214" i="2"/>
  <c r="M214" i="2"/>
  <c r="L214" i="2"/>
  <c r="K214" i="2"/>
  <c r="J214" i="2"/>
  <c r="I214" i="2"/>
  <c r="H214" i="2"/>
  <c r="G214" i="2"/>
  <c r="F214" i="2"/>
  <c r="E214" i="2"/>
  <c r="D214" i="2"/>
  <c r="V213" i="2"/>
  <c r="U213" i="2"/>
  <c r="T213" i="2"/>
  <c r="S213" i="2"/>
  <c r="O213" i="2"/>
  <c r="N213" i="2"/>
  <c r="M213" i="2"/>
  <c r="L213" i="2"/>
  <c r="K213" i="2"/>
  <c r="J213" i="2"/>
  <c r="I213" i="2"/>
  <c r="H213" i="2"/>
  <c r="G213" i="2"/>
  <c r="F213" i="2"/>
  <c r="E213" i="2"/>
  <c r="D213" i="2"/>
  <c r="W212" i="2"/>
  <c r="V212" i="2"/>
  <c r="U212" i="2"/>
  <c r="T212" i="2"/>
  <c r="S212" i="2"/>
  <c r="Q212" i="2"/>
  <c r="O212" i="2"/>
  <c r="N212" i="2"/>
  <c r="M212" i="2"/>
  <c r="L212" i="2"/>
  <c r="K212" i="2"/>
  <c r="J212" i="2"/>
  <c r="I212" i="2"/>
  <c r="H212" i="2"/>
  <c r="G212" i="2"/>
  <c r="F212" i="2"/>
  <c r="E212" i="2"/>
  <c r="D212" i="2"/>
  <c r="V211" i="2"/>
  <c r="U211" i="2"/>
  <c r="T211" i="2"/>
  <c r="S211" i="2"/>
  <c r="R211" i="2"/>
  <c r="Q211" i="2"/>
  <c r="O211" i="2"/>
  <c r="N211" i="2"/>
  <c r="M211" i="2"/>
  <c r="L211" i="2"/>
  <c r="K211" i="2"/>
  <c r="J211" i="2"/>
  <c r="I211" i="2"/>
  <c r="H211" i="2"/>
  <c r="G211" i="2"/>
  <c r="F211" i="2"/>
  <c r="E211" i="2"/>
  <c r="D211" i="2"/>
  <c r="V210" i="2"/>
  <c r="U210" i="2"/>
  <c r="T210" i="2"/>
  <c r="S210" i="2"/>
  <c r="R210" i="2"/>
  <c r="Q210" i="2"/>
  <c r="P210" i="2"/>
  <c r="O210" i="2"/>
  <c r="N210" i="2"/>
  <c r="M210" i="2"/>
  <c r="L210" i="2"/>
  <c r="K210" i="2"/>
  <c r="J210" i="2"/>
  <c r="I210" i="2"/>
  <c r="H210" i="2"/>
  <c r="G210" i="2"/>
  <c r="F210" i="2"/>
  <c r="E210" i="2"/>
  <c r="D210" i="2"/>
  <c r="W209" i="2"/>
  <c r="V209" i="2"/>
  <c r="U209" i="2"/>
  <c r="T209" i="2"/>
  <c r="S209" i="2"/>
  <c r="P209" i="2"/>
  <c r="O209" i="2"/>
  <c r="N209" i="2"/>
  <c r="M209" i="2"/>
  <c r="L209" i="2"/>
  <c r="K209" i="2"/>
  <c r="J209" i="2"/>
  <c r="I209" i="2"/>
  <c r="H209" i="2"/>
  <c r="G209" i="2"/>
  <c r="F209" i="2"/>
  <c r="E209" i="2"/>
  <c r="D209" i="2"/>
  <c r="W208" i="2"/>
  <c r="V208" i="2"/>
  <c r="U208" i="2"/>
  <c r="T208" i="2"/>
  <c r="S208" i="2"/>
  <c r="R208" i="2"/>
  <c r="O208" i="2"/>
  <c r="N208" i="2"/>
  <c r="M208" i="2"/>
  <c r="L208" i="2"/>
  <c r="K208" i="2"/>
  <c r="J208" i="2"/>
  <c r="I208" i="2"/>
  <c r="H208" i="2"/>
  <c r="G208" i="2"/>
  <c r="F208" i="2"/>
  <c r="E208" i="2"/>
  <c r="D208" i="2"/>
  <c r="V207" i="2"/>
  <c r="U207" i="2"/>
  <c r="T207" i="2"/>
  <c r="S207" i="2"/>
  <c r="R207" i="2"/>
  <c r="O207" i="2"/>
  <c r="N207" i="2"/>
  <c r="M207" i="2"/>
  <c r="L207" i="2"/>
  <c r="K207" i="2"/>
  <c r="J207" i="2"/>
  <c r="I207" i="2"/>
  <c r="H207" i="2"/>
  <c r="G207" i="2"/>
  <c r="F207" i="2"/>
  <c r="E207" i="2"/>
  <c r="D207" i="2"/>
  <c r="V206" i="2"/>
  <c r="U206" i="2"/>
  <c r="T206" i="2"/>
  <c r="S206" i="2"/>
  <c r="O206" i="2"/>
  <c r="N206" i="2"/>
  <c r="M206" i="2"/>
  <c r="L206" i="2"/>
  <c r="K206" i="2"/>
  <c r="J206" i="2"/>
  <c r="I206" i="2"/>
  <c r="H206" i="2"/>
  <c r="G206" i="2"/>
  <c r="F206" i="2"/>
  <c r="E206" i="2"/>
  <c r="D206" i="2"/>
  <c r="V205" i="2"/>
  <c r="U205" i="2"/>
  <c r="T205" i="2"/>
  <c r="S205" i="2"/>
  <c r="R205" i="2"/>
  <c r="O205" i="2"/>
  <c r="N205" i="2"/>
  <c r="M205" i="2"/>
  <c r="L205" i="2"/>
  <c r="K205" i="2"/>
  <c r="J205" i="2"/>
  <c r="I205" i="2"/>
  <c r="H205" i="2"/>
  <c r="G205" i="2"/>
  <c r="F205" i="2"/>
  <c r="E205" i="2"/>
  <c r="D205" i="2"/>
  <c r="W204" i="2"/>
  <c r="V204" i="2"/>
  <c r="U204" i="2"/>
  <c r="T204" i="2"/>
  <c r="S204" i="2"/>
  <c r="O204" i="2"/>
  <c r="N204" i="2"/>
  <c r="M204" i="2"/>
  <c r="L204" i="2"/>
  <c r="K204" i="2"/>
  <c r="J204" i="2"/>
  <c r="I204" i="2"/>
  <c r="H204" i="2"/>
  <c r="G204" i="2"/>
  <c r="F204" i="2"/>
  <c r="E204" i="2"/>
  <c r="D204" i="2"/>
  <c r="V203" i="2"/>
  <c r="U203" i="2"/>
  <c r="T203" i="2"/>
  <c r="S203" i="2"/>
  <c r="R203" i="2"/>
  <c r="Q203" i="2"/>
  <c r="O203" i="2"/>
  <c r="N203" i="2"/>
  <c r="M203" i="2"/>
  <c r="L203" i="2"/>
  <c r="K203" i="2"/>
  <c r="J203" i="2"/>
  <c r="I203" i="2"/>
  <c r="H203" i="2"/>
  <c r="G203" i="2"/>
  <c r="F203" i="2"/>
  <c r="E203" i="2"/>
  <c r="D203" i="2"/>
  <c r="V202" i="2"/>
  <c r="U202" i="2"/>
  <c r="T202" i="2"/>
  <c r="S202" i="2"/>
  <c r="Q202" i="2"/>
  <c r="O202" i="2"/>
  <c r="N202" i="2"/>
  <c r="M202" i="2"/>
  <c r="L202" i="2"/>
  <c r="K202" i="2"/>
  <c r="J202" i="2"/>
  <c r="I202" i="2"/>
  <c r="H202" i="2"/>
  <c r="G202" i="2"/>
  <c r="F202" i="2"/>
  <c r="E202" i="2"/>
  <c r="D202" i="2"/>
  <c r="W201" i="2"/>
  <c r="V201" i="2"/>
  <c r="U201" i="2"/>
  <c r="T201" i="2"/>
  <c r="S201" i="2"/>
  <c r="Q201" i="2"/>
  <c r="P201" i="2"/>
  <c r="O201" i="2"/>
  <c r="N201" i="2"/>
  <c r="M201" i="2"/>
  <c r="L201" i="2"/>
  <c r="K201" i="2"/>
  <c r="J201" i="2"/>
  <c r="I201" i="2"/>
  <c r="H201" i="2"/>
  <c r="G201" i="2"/>
  <c r="F201" i="2"/>
  <c r="E201" i="2"/>
  <c r="D201" i="2"/>
  <c r="W200" i="2"/>
  <c r="V200" i="2"/>
  <c r="U200" i="2"/>
  <c r="T200" i="2"/>
  <c r="S200" i="2"/>
  <c r="P200" i="2"/>
  <c r="O200" i="2"/>
  <c r="N200" i="2"/>
  <c r="M200" i="2"/>
  <c r="L200" i="2"/>
  <c r="K200" i="2"/>
  <c r="J200" i="2"/>
  <c r="I200" i="2"/>
  <c r="H200" i="2"/>
  <c r="G200" i="2"/>
  <c r="F200" i="2"/>
  <c r="E200" i="2"/>
  <c r="D200" i="2"/>
  <c r="W199" i="2"/>
  <c r="V199" i="2"/>
  <c r="U199" i="2"/>
  <c r="T199" i="2"/>
  <c r="S199" i="2"/>
  <c r="O199" i="2"/>
  <c r="N199" i="2"/>
  <c r="M199" i="2"/>
  <c r="L199" i="2"/>
  <c r="K199" i="2"/>
  <c r="J199" i="2"/>
  <c r="I199" i="2"/>
  <c r="H199" i="2"/>
  <c r="G199" i="2"/>
  <c r="F199" i="2"/>
  <c r="E199" i="2"/>
  <c r="D199" i="2"/>
  <c r="W198" i="2"/>
  <c r="V198" i="2"/>
  <c r="U198" i="2"/>
  <c r="T198" i="2"/>
  <c r="S198" i="2"/>
  <c r="O198" i="2"/>
  <c r="N198" i="2"/>
  <c r="M198" i="2"/>
  <c r="L198" i="2"/>
  <c r="K198" i="2"/>
  <c r="J198" i="2"/>
  <c r="I198" i="2"/>
  <c r="H198" i="2"/>
  <c r="G198" i="2"/>
  <c r="F198" i="2"/>
  <c r="E198" i="2"/>
  <c r="D198" i="2"/>
  <c r="W197" i="2"/>
  <c r="V197" i="2"/>
  <c r="U197" i="2"/>
  <c r="T197" i="2"/>
  <c r="S197" i="2"/>
  <c r="O197" i="2"/>
  <c r="N197" i="2"/>
  <c r="M197" i="2"/>
  <c r="L197" i="2"/>
  <c r="K197" i="2"/>
  <c r="J197" i="2"/>
  <c r="I197" i="2"/>
  <c r="H197" i="2"/>
  <c r="G197" i="2"/>
  <c r="F197" i="2"/>
  <c r="E197" i="2"/>
  <c r="D197" i="2"/>
  <c r="V196" i="2"/>
  <c r="U196" i="2"/>
  <c r="T196" i="2"/>
  <c r="S196" i="2"/>
  <c r="R196" i="2"/>
  <c r="O196" i="2"/>
  <c r="N196" i="2"/>
  <c r="M196" i="2"/>
  <c r="L196" i="2"/>
  <c r="K196" i="2"/>
  <c r="J196" i="2"/>
  <c r="I196" i="2"/>
  <c r="H196" i="2"/>
  <c r="G196" i="2"/>
  <c r="F196" i="2"/>
  <c r="E196" i="2"/>
  <c r="D196" i="2"/>
  <c r="V195" i="2"/>
  <c r="U195" i="2"/>
  <c r="T195" i="2"/>
  <c r="S195" i="2"/>
  <c r="R195" i="2"/>
  <c r="Q195" i="2"/>
  <c r="O195" i="2"/>
  <c r="N195" i="2"/>
  <c r="M195" i="2"/>
  <c r="L195" i="2"/>
  <c r="K195" i="2"/>
  <c r="J195" i="2"/>
  <c r="I195" i="2"/>
  <c r="H195" i="2"/>
  <c r="G195" i="2"/>
  <c r="F195" i="2"/>
  <c r="E195" i="2"/>
  <c r="D195" i="2"/>
  <c r="V194" i="2"/>
  <c r="U194" i="2"/>
  <c r="T194" i="2"/>
  <c r="S194" i="2"/>
  <c r="R194" i="2"/>
  <c r="Q194" i="2"/>
  <c r="O194" i="2"/>
  <c r="N194" i="2"/>
  <c r="M194" i="2"/>
  <c r="L194" i="2"/>
  <c r="K194" i="2"/>
  <c r="J194" i="2"/>
  <c r="I194" i="2"/>
  <c r="H194" i="2"/>
  <c r="G194" i="2"/>
  <c r="F194" i="2"/>
  <c r="E194" i="2"/>
  <c r="D194" i="2"/>
  <c r="W193" i="2"/>
  <c r="V193" i="2"/>
  <c r="U193" i="2"/>
  <c r="T193" i="2"/>
  <c r="S193" i="2"/>
  <c r="Q193" i="2"/>
  <c r="O193" i="2"/>
  <c r="N193" i="2"/>
  <c r="M193" i="2"/>
  <c r="L193" i="2"/>
  <c r="K193" i="2"/>
  <c r="J193" i="2"/>
  <c r="I193" i="2"/>
  <c r="H193" i="2"/>
  <c r="G193" i="2"/>
  <c r="F193" i="2"/>
  <c r="E193" i="2"/>
  <c r="D193" i="2"/>
  <c r="V192" i="2"/>
  <c r="U192" i="2"/>
  <c r="T192" i="2"/>
  <c r="S192" i="2"/>
  <c r="Q192" i="2"/>
  <c r="O192" i="2"/>
  <c r="N192" i="2"/>
  <c r="M192" i="2"/>
  <c r="L192" i="2"/>
  <c r="K192" i="2"/>
  <c r="J192" i="2"/>
  <c r="I192" i="2"/>
  <c r="H192" i="2"/>
  <c r="G192" i="2"/>
  <c r="F192" i="2"/>
  <c r="E192" i="2"/>
  <c r="D192" i="2"/>
  <c r="V191" i="2"/>
  <c r="U191" i="2"/>
  <c r="T191" i="2"/>
  <c r="S191" i="2"/>
  <c r="O191" i="2"/>
  <c r="N191" i="2"/>
  <c r="M191" i="2"/>
  <c r="L191" i="2"/>
  <c r="K191" i="2"/>
  <c r="J191" i="2"/>
  <c r="I191" i="2"/>
  <c r="H191" i="2"/>
  <c r="G191" i="2"/>
  <c r="F191" i="2"/>
  <c r="E191" i="2"/>
  <c r="D191" i="2"/>
  <c r="V190" i="2"/>
  <c r="U190" i="2"/>
  <c r="T190" i="2"/>
  <c r="S190" i="2"/>
  <c r="R190" i="2"/>
  <c r="O190" i="2"/>
  <c r="N190" i="2"/>
  <c r="M190" i="2"/>
  <c r="L190" i="2"/>
  <c r="K190" i="2"/>
  <c r="J190" i="2"/>
  <c r="I190" i="2"/>
  <c r="H190" i="2"/>
  <c r="G190" i="2"/>
  <c r="F190" i="2"/>
  <c r="E190" i="2"/>
  <c r="D190" i="2"/>
  <c r="V189" i="2"/>
  <c r="U189" i="2"/>
  <c r="T189" i="2"/>
  <c r="S189" i="2"/>
  <c r="O189" i="2"/>
  <c r="N189" i="2"/>
  <c r="M189" i="2"/>
  <c r="L189" i="2"/>
  <c r="K189" i="2"/>
  <c r="J189" i="2"/>
  <c r="I189" i="2"/>
  <c r="H189" i="2"/>
  <c r="G189" i="2"/>
  <c r="F189" i="2"/>
  <c r="E189" i="2"/>
  <c r="D189" i="2"/>
  <c r="V188" i="2"/>
  <c r="U188" i="2"/>
  <c r="T188" i="2"/>
  <c r="S188" i="2"/>
  <c r="O188" i="2"/>
  <c r="N188" i="2"/>
  <c r="M188" i="2"/>
  <c r="L188" i="2"/>
  <c r="K188" i="2"/>
  <c r="J188" i="2"/>
  <c r="I188" i="2"/>
  <c r="H188" i="2"/>
  <c r="G188" i="2"/>
  <c r="F188" i="2"/>
  <c r="E188" i="2"/>
  <c r="D188" i="2"/>
  <c r="W187" i="2"/>
  <c r="V187" i="2"/>
  <c r="U187" i="2"/>
  <c r="T187" i="2"/>
  <c r="S187" i="2"/>
  <c r="O187" i="2"/>
  <c r="N187" i="2"/>
  <c r="M187" i="2"/>
  <c r="L187" i="2"/>
  <c r="K187" i="2"/>
  <c r="J187" i="2"/>
  <c r="I187" i="2"/>
  <c r="H187" i="2"/>
  <c r="G187" i="2"/>
  <c r="F187" i="2"/>
  <c r="E187" i="2"/>
  <c r="D187" i="2"/>
  <c r="W186" i="2"/>
  <c r="V186" i="2"/>
  <c r="U186" i="2"/>
  <c r="T186" i="2"/>
  <c r="S186" i="2"/>
  <c r="R186" i="2"/>
  <c r="Q186" i="2"/>
  <c r="P186" i="2"/>
  <c r="O186" i="2"/>
  <c r="N186" i="2"/>
  <c r="M186" i="2"/>
  <c r="L186" i="2"/>
  <c r="K186" i="2"/>
  <c r="J186" i="2"/>
  <c r="I186" i="2"/>
  <c r="H186" i="2"/>
  <c r="G186" i="2"/>
  <c r="F186" i="2"/>
  <c r="E186" i="2"/>
  <c r="D186" i="2"/>
  <c r="W185" i="2"/>
  <c r="V185" i="2"/>
  <c r="U185" i="2"/>
  <c r="T185" i="2"/>
  <c r="S185" i="2"/>
  <c r="R185" i="2"/>
  <c r="Q185" i="2"/>
  <c r="P185" i="2"/>
  <c r="O185" i="2"/>
  <c r="N185" i="2"/>
  <c r="M185" i="2"/>
  <c r="L185" i="2"/>
  <c r="K185" i="2"/>
  <c r="J185" i="2"/>
  <c r="I185" i="2"/>
  <c r="H185" i="2"/>
  <c r="G185" i="2"/>
  <c r="F185" i="2"/>
  <c r="E185" i="2"/>
  <c r="D185" i="2"/>
  <c r="V184" i="2"/>
  <c r="U184" i="2"/>
  <c r="T184" i="2"/>
  <c r="S184" i="2"/>
  <c r="R184" i="2"/>
  <c r="P184" i="2"/>
  <c r="O184" i="2"/>
  <c r="N184" i="2"/>
  <c r="M184" i="2"/>
  <c r="L184" i="2"/>
  <c r="K184" i="2"/>
  <c r="J184" i="2"/>
  <c r="I184" i="2"/>
  <c r="H184" i="2"/>
  <c r="G184" i="2"/>
  <c r="F184" i="2"/>
  <c r="E184" i="2"/>
  <c r="D184" i="2"/>
  <c r="W183" i="2"/>
  <c r="V183" i="2"/>
  <c r="U183" i="2"/>
  <c r="T183" i="2"/>
  <c r="S183" i="2"/>
  <c r="Q183" i="2"/>
  <c r="O183" i="2"/>
  <c r="N183" i="2"/>
  <c r="M183" i="2"/>
  <c r="L183" i="2"/>
  <c r="K183" i="2"/>
  <c r="J183" i="2"/>
  <c r="I183" i="2"/>
  <c r="H183" i="2"/>
  <c r="G183" i="2"/>
  <c r="F183" i="2"/>
  <c r="E183" i="2"/>
  <c r="D183" i="2"/>
  <c r="V182" i="2"/>
  <c r="U182" i="2"/>
  <c r="T182" i="2"/>
  <c r="S182" i="2"/>
  <c r="R182" i="2"/>
  <c r="O182" i="2"/>
  <c r="N182" i="2"/>
  <c r="M182" i="2"/>
  <c r="L182" i="2"/>
  <c r="K182" i="2"/>
  <c r="J182" i="2"/>
  <c r="I182" i="2"/>
  <c r="H182" i="2"/>
  <c r="G182" i="2"/>
  <c r="F182" i="2"/>
  <c r="E182" i="2"/>
  <c r="D182" i="2"/>
  <c r="V181" i="2"/>
  <c r="U181" i="2"/>
  <c r="T181" i="2"/>
  <c r="S181" i="2"/>
  <c r="Q181" i="2"/>
  <c r="P181" i="2"/>
  <c r="O181" i="2"/>
  <c r="N181" i="2"/>
  <c r="M181" i="2"/>
  <c r="L181" i="2"/>
  <c r="K181" i="2"/>
  <c r="J181" i="2"/>
  <c r="I181" i="2"/>
  <c r="H181" i="2"/>
  <c r="G181" i="2"/>
  <c r="F181" i="2"/>
  <c r="E181" i="2"/>
  <c r="D181" i="2"/>
  <c r="V180" i="2"/>
  <c r="U180" i="2"/>
  <c r="T180" i="2"/>
  <c r="S180" i="2"/>
  <c r="O180" i="2"/>
  <c r="N180" i="2"/>
  <c r="M180" i="2"/>
  <c r="L180" i="2"/>
  <c r="K180" i="2"/>
  <c r="J180" i="2"/>
  <c r="I180" i="2"/>
  <c r="H180" i="2"/>
  <c r="G180" i="2"/>
  <c r="F180" i="2"/>
  <c r="E180" i="2"/>
  <c r="D180" i="2"/>
  <c r="V179" i="2"/>
  <c r="U179" i="2"/>
  <c r="T179" i="2"/>
  <c r="S179" i="2"/>
  <c r="R179" i="2"/>
  <c r="Q179" i="2"/>
  <c r="O179" i="2"/>
  <c r="N179" i="2"/>
  <c r="M179" i="2"/>
  <c r="L179" i="2"/>
  <c r="K179" i="2"/>
  <c r="J179" i="2"/>
  <c r="I179" i="2"/>
  <c r="H179" i="2"/>
  <c r="G179" i="2"/>
  <c r="F179" i="2"/>
  <c r="E179" i="2"/>
  <c r="D179" i="2"/>
  <c r="V178" i="2"/>
  <c r="U178" i="2"/>
  <c r="T178" i="2"/>
  <c r="S178" i="2"/>
  <c r="O178" i="2"/>
  <c r="N178" i="2"/>
  <c r="M178" i="2"/>
  <c r="L178" i="2"/>
  <c r="K178" i="2"/>
  <c r="J178" i="2"/>
  <c r="I178" i="2"/>
  <c r="H178" i="2"/>
  <c r="G178" i="2"/>
  <c r="F178" i="2"/>
  <c r="E178" i="2"/>
  <c r="D178" i="2"/>
  <c r="W177" i="2"/>
  <c r="V177" i="2"/>
  <c r="U177" i="2"/>
  <c r="T177" i="2"/>
  <c r="S177" i="2"/>
  <c r="R177" i="2"/>
  <c r="P177" i="2"/>
  <c r="O177" i="2"/>
  <c r="N177" i="2"/>
  <c r="M177" i="2"/>
  <c r="L177" i="2"/>
  <c r="K177" i="2"/>
  <c r="J177" i="2"/>
  <c r="I177" i="2"/>
  <c r="H177" i="2"/>
  <c r="G177" i="2"/>
  <c r="F177" i="2"/>
  <c r="E177" i="2"/>
  <c r="D177" i="2"/>
  <c r="V176" i="2"/>
  <c r="U176" i="2"/>
  <c r="T176" i="2"/>
  <c r="S176" i="2"/>
  <c r="R176" i="2"/>
  <c r="O176" i="2"/>
  <c r="N176" i="2"/>
  <c r="M176" i="2"/>
  <c r="L176" i="2"/>
  <c r="K176" i="2"/>
  <c r="J176" i="2"/>
  <c r="I176" i="2"/>
  <c r="H176" i="2"/>
  <c r="G176" i="2"/>
  <c r="F176" i="2"/>
  <c r="E176" i="2"/>
  <c r="D176" i="2"/>
  <c r="W175" i="2"/>
  <c r="V175" i="2"/>
  <c r="U175" i="2"/>
  <c r="T175" i="2"/>
  <c r="S175" i="2"/>
  <c r="O175" i="2"/>
  <c r="N175" i="2"/>
  <c r="M175" i="2"/>
  <c r="L175" i="2"/>
  <c r="K175" i="2"/>
  <c r="J175" i="2"/>
  <c r="I175" i="2"/>
  <c r="H175" i="2"/>
  <c r="G175" i="2"/>
  <c r="F175" i="2"/>
  <c r="E175" i="2"/>
  <c r="D175" i="2"/>
  <c r="W174" i="2"/>
  <c r="V174" i="2"/>
  <c r="U174" i="2"/>
  <c r="T174" i="2"/>
  <c r="S174" i="2"/>
  <c r="P174" i="2"/>
  <c r="O174" i="2"/>
  <c r="N174" i="2"/>
  <c r="M174" i="2"/>
  <c r="L174" i="2"/>
  <c r="K174" i="2"/>
  <c r="J174" i="2"/>
  <c r="I174" i="2"/>
  <c r="H174" i="2"/>
  <c r="G174" i="2"/>
  <c r="F174" i="2"/>
  <c r="E174" i="2"/>
  <c r="D174" i="2"/>
  <c r="V173" i="2"/>
  <c r="U173" i="2"/>
  <c r="T173" i="2"/>
  <c r="S173" i="2"/>
  <c r="Q173" i="2"/>
  <c r="P173" i="2"/>
  <c r="O173" i="2"/>
  <c r="N173" i="2"/>
  <c r="M173" i="2"/>
  <c r="L173" i="2"/>
  <c r="K173" i="2"/>
  <c r="J173" i="2"/>
  <c r="I173" i="2"/>
  <c r="H173" i="2"/>
  <c r="G173" i="2"/>
  <c r="F173" i="2"/>
  <c r="E173" i="2"/>
  <c r="D173" i="2"/>
  <c r="V172" i="2"/>
  <c r="U172" i="2"/>
  <c r="T172" i="2"/>
  <c r="S172" i="2"/>
  <c r="R172" i="2"/>
  <c r="P172" i="2"/>
  <c r="O172" i="2"/>
  <c r="N172" i="2"/>
  <c r="M172" i="2"/>
  <c r="L172" i="2"/>
  <c r="K172" i="2"/>
  <c r="J172" i="2"/>
  <c r="I172" i="2"/>
  <c r="H172" i="2"/>
  <c r="G172" i="2"/>
  <c r="F172" i="2"/>
  <c r="E172" i="2"/>
  <c r="D172" i="2"/>
  <c r="V171" i="2"/>
  <c r="U171" i="2"/>
  <c r="T171" i="2"/>
  <c r="S171" i="2"/>
  <c r="Q171" i="2"/>
  <c r="O171" i="2"/>
  <c r="N171" i="2"/>
  <c r="M171" i="2"/>
  <c r="L171" i="2"/>
  <c r="K171" i="2"/>
  <c r="J171" i="2"/>
  <c r="I171" i="2"/>
  <c r="H171" i="2"/>
  <c r="G171" i="2"/>
  <c r="F171" i="2"/>
  <c r="E171" i="2"/>
  <c r="D171" i="2"/>
  <c r="W170" i="2"/>
  <c r="V170" i="2"/>
  <c r="U170" i="2"/>
  <c r="T170" i="2"/>
  <c r="S170" i="2"/>
  <c r="P170" i="2"/>
  <c r="O170" i="2"/>
  <c r="N170" i="2"/>
  <c r="M170" i="2"/>
  <c r="L170" i="2"/>
  <c r="K170" i="2"/>
  <c r="J170" i="2"/>
  <c r="I170" i="2"/>
  <c r="H170" i="2"/>
  <c r="G170" i="2"/>
  <c r="F170" i="2"/>
  <c r="E170" i="2"/>
  <c r="D170" i="2"/>
  <c r="V169" i="2"/>
  <c r="U169" i="2"/>
  <c r="T169" i="2"/>
  <c r="S169" i="2"/>
  <c r="R169" i="2"/>
  <c r="Q169" i="2"/>
  <c r="O169" i="2"/>
  <c r="N169" i="2"/>
  <c r="M169" i="2"/>
  <c r="L169" i="2"/>
  <c r="K169" i="2"/>
  <c r="J169" i="2"/>
  <c r="I169" i="2"/>
  <c r="H169" i="2"/>
  <c r="G169" i="2"/>
  <c r="F169" i="2"/>
  <c r="E169" i="2"/>
  <c r="D169" i="2"/>
  <c r="W168" i="2"/>
  <c r="V168" i="2"/>
  <c r="U168" i="2"/>
  <c r="T168" i="2"/>
  <c r="S168" i="2"/>
  <c r="R168" i="2"/>
  <c r="Q168" i="2"/>
  <c r="P168" i="2"/>
  <c r="O168" i="2"/>
  <c r="N168" i="2"/>
  <c r="M168" i="2"/>
  <c r="L168" i="2"/>
  <c r="K168" i="2"/>
  <c r="J168" i="2"/>
  <c r="I168" i="2"/>
  <c r="H168" i="2"/>
  <c r="G168" i="2"/>
  <c r="F168" i="2"/>
  <c r="E168" i="2"/>
  <c r="D168" i="2"/>
  <c r="V167" i="2"/>
  <c r="U167" i="2"/>
  <c r="T167" i="2"/>
  <c r="S167" i="2"/>
  <c r="O167" i="2"/>
  <c r="N167" i="2"/>
  <c r="M167" i="2"/>
  <c r="L167" i="2"/>
  <c r="K167" i="2"/>
  <c r="J167" i="2"/>
  <c r="I167" i="2"/>
  <c r="H167" i="2"/>
  <c r="G167" i="2"/>
  <c r="F167" i="2"/>
  <c r="E167" i="2"/>
  <c r="D167" i="2"/>
  <c r="V166" i="2"/>
  <c r="U166" i="2"/>
  <c r="T166" i="2"/>
  <c r="S166" i="2"/>
  <c r="O166" i="2"/>
  <c r="N166" i="2"/>
  <c r="M166" i="2"/>
  <c r="L166" i="2"/>
  <c r="K166" i="2"/>
  <c r="J166" i="2"/>
  <c r="I166" i="2"/>
  <c r="H166" i="2"/>
  <c r="G166" i="2"/>
  <c r="F166" i="2"/>
  <c r="E166" i="2"/>
  <c r="D166" i="2"/>
  <c r="W165" i="2"/>
  <c r="V165" i="2"/>
  <c r="U165" i="2"/>
  <c r="T165" i="2"/>
  <c r="S165" i="2"/>
  <c r="Q165" i="2"/>
  <c r="P165" i="2"/>
  <c r="O165" i="2"/>
  <c r="N165" i="2"/>
  <c r="M165" i="2"/>
  <c r="L165" i="2"/>
  <c r="K165" i="2"/>
  <c r="J165" i="2"/>
  <c r="I165" i="2"/>
  <c r="H165" i="2"/>
  <c r="G165" i="2"/>
  <c r="F165" i="2"/>
  <c r="E165" i="2"/>
  <c r="D165" i="2"/>
  <c r="W164" i="2"/>
  <c r="V164" i="2"/>
  <c r="U164" i="2"/>
  <c r="T164" i="2"/>
  <c r="S164" i="2"/>
  <c r="Q164" i="2"/>
  <c r="P164" i="2"/>
  <c r="O164" i="2"/>
  <c r="N164" i="2"/>
  <c r="M164" i="2"/>
  <c r="L164" i="2"/>
  <c r="K164" i="2"/>
  <c r="J164" i="2"/>
  <c r="I164" i="2"/>
  <c r="H164" i="2"/>
  <c r="G164" i="2"/>
  <c r="F164" i="2"/>
  <c r="E164" i="2"/>
  <c r="D164" i="2"/>
  <c r="W163" i="2"/>
  <c r="V163" i="2"/>
  <c r="U163" i="2"/>
  <c r="T163" i="2"/>
  <c r="S163" i="2"/>
  <c r="O163" i="2"/>
  <c r="N163" i="2"/>
  <c r="M163" i="2"/>
  <c r="L163" i="2"/>
  <c r="K163" i="2"/>
  <c r="J163" i="2"/>
  <c r="I163" i="2"/>
  <c r="H163" i="2"/>
  <c r="G163" i="2"/>
  <c r="F163" i="2"/>
  <c r="E163" i="2"/>
  <c r="D163" i="2"/>
  <c r="W162" i="2"/>
  <c r="V162" i="2"/>
  <c r="U162" i="2"/>
  <c r="T162" i="2"/>
  <c r="S162" i="2"/>
  <c r="Q162" i="2"/>
  <c r="O162" i="2"/>
  <c r="N162" i="2"/>
  <c r="M162" i="2"/>
  <c r="L162" i="2"/>
  <c r="K162" i="2"/>
  <c r="J162" i="2"/>
  <c r="I162" i="2"/>
  <c r="H162" i="2"/>
  <c r="G162" i="2"/>
  <c r="F162" i="2"/>
  <c r="E162" i="2"/>
  <c r="D162" i="2"/>
  <c r="V161" i="2"/>
  <c r="U161" i="2"/>
  <c r="T161" i="2"/>
  <c r="S161" i="2"/>
  <c r="Q161" i="2"/>
  <c r="O161" i="2"/>
  <c r="N161" i="2"/>
  <c r="M161" i="2"/>
  <c r="L161" i="2"/>
  <c r="K161" i="2"/>
  <c r="J161" i="2"/>
  <c r="I161" i="2"/>
  <c r="H161" i="2"/>
  <c r="G161" i="2"/>
  <c r="F161" i="2"/>
  <c r="E161" i="2"/>
  <c r="D161" i="2"/>
  <c r="V160" i="2"/>
  <c r="U160" i="2"/>
  <c r="T160" i="2"/>
  <c r="S160" i="2"/>
  <c r="Q160" i="2"/>
  <c r="O160" i="2"/>
  <c r="N160" i="2"/>
  <c r="M160" i="2"/>
  <c r="L160" i="2"/>
  <c r="K160" i="2"/>
  <c r="J160" i="2"/>
  <c r="I160" i="2"/>
  <c r="H160" i="2"/>
  <c r="G160" i="2"/>
  <c r="F160" i="2"/>
  <c r="E160" i="2"/>
  <c r="D160" i="2"/>
  <c r="W159" i="2"/>
  <c r="V159" i="2"/>
  <c r="U159" i="2"/>
  <c r="T159" i="2"/>
  <c r="S159" i="2"/>
  <c r="R159" i="2"/>
  <c r="P159" i="2"/>
  <c r="O159" i="2"/>
  <c r="N159" i="2"/>
  <c r="M159" i="2"/>
  <c r="L159" i="2"/>
  <c r="K159" i="2"/>
  <c r="J159" i="2"/>
  <c r="I159" i="2"/>
  <c r="H159" i="2"/>
  <c r="G159" i="2"/>
  <c r="F159" i="2"/>
  <c r="E159" i="2"/>
  <c r="D159" i="2"/>
  <c r="V158" i="2"/>
  <c r="U158" i="2"/>
  <c r="T158" i="2"/>
  <c r="S158" i="2"/>
  <c r="P158" i="2"/>
  <c r="O158" i="2"/>
  <c r="N158" i="2"/>
  <c r="M158" i="2"/>
  <c r="L158" i="2"/>
  <c r="K158" i="2"/>
  <c r="J158" i="2"/>
  <c r="I158" i="2"/>
  <c r="H158" i="2"/>
  <c r="G158" i="2"/>
  <c r="F158" i="2"/>
  <c r="E158" i="2"/>
  <c r="D158" i="2"/>
  <c r="W157" i="2"/>
  <c r="V157" i="2"/>
  <c r="U157" i="2"/>
  <c r="T157" i="2"/>
  <c r="S157" i="2"/>
  <c r="R157" i="2"/>
  <c r="P157" i="2"/>
  <c r="O157" i="2"/>
  <c r="N157" i="2"/>
  <c r="M157" i="2"/>
  <c r="L157" i="2"/>
  <c r="K157" i="2"/>
  <c r="J157" i="2"/>
  <c r="I157" i="2"/>
  <c r="H157" i="2"/>
  <c r="G157" i="2"/>
  <c r="F157" i="2"/>
  <c r="E157" i="2"/>
  <c r="D157" i="2"/>
  <c r="V156" i="2"/>
  <c r="U156" i="2"/>
  <c r="T156" i="2"/>
  <c r="S156" i="2"/>
  <c r="R156" i="2"/>
  <c r="Q156" i="2"/>
  <c r="P156" i="2"/>
  <c r="O156" i="2"/>
  <c r="N156" i="2"/>
  <c r="M156" i="2"/>
  <c r="L156" i="2"/>
  <c r="K156" i="2"/>
  <c r="J156" i="2"/>
  <c r="I156" i="2"/>
  <c r="H156" i="2"/>
  <c r="G156" i="2"/>
  <c r="F156" i="2"/>
  <c r="E156" i="2"/>
  <c r="D156" i="2"/>
  <c r="V155" i="2"/>
  <c r="U155" i="2"/>
  <c r="T155" i="2"/>
  <c r="S155" i="2"/>
  <c r="R155" i="2"/>
  <c r="P155" i="2"/>
  <c r="O155" i="2"/>
  <c r="N155" i="2"/>
  <c r="M155" i="2"/>
  <c r="L155" i="2"/>
  <c r="K155" i="2"/>
  <c r="J155" i="2"/>
  <c r="I155" i="2"/>
  <c r="H155" i="2"/>
  <c r="G155" i="2"/>
  <c r="F155" i="2"/>
  <c r="E155" i="2"/>
  <c r="D155" i="2"/>
  <c r="V154" i="2"/>
  <c r="U154" i="2"/>
  <c r="T154" i="2"/>
  <c r="S154" i="2"/>
  <c r="R154" i="2"/>
  <c r="O154" i="2"/>
  <c r="N154" i="2"/>
  <c r="M154" i="2"/>
  <c r="L154" i="2"/>
  <c r="K154" i="2"/>
  <c r="J154" i="2"/>
  <c r="I154" i="2"/>
  <c r="H154" i="2"/>
  <c r="G154" i="2"/>
  <c r="F154" i="2"/>
  <c r="E154" i="2"/>
  <c r="D154" i="2"/>
  <c r="V153" i="2"/>
  <c r="U153" i="2"/>
  <c r="T153" i="2"/>
  <c r="S153" i="2"/>
  <c r="R153" i="2"/>
  <c r="Q153" i="2"/>
  <c r="O153" i="2"/>
  <c r="N153" i="2"/>
  <c r="M153" i="2"/>
  <c r="L153" i="2"/>
  <c r="K153" i="2"/>
  <c r="J153" i="2"/>
  <c r="I153" i="2"/>
  <c r="H153" i="2"/>
  <c r="G153" i="2"/>
  <c r="F153" i="2"/>
  <c r="E153" i="2"/>
  <c r="D153" i="2"/>
  <c r="W152" i="2"/>
  <c r="V152" i="2"/>
  <c r="U152" i="2"/>
  <c r="T152" i="2"/>
  <c r="S152" i="2"/>
  <c r="R152" i="2"/>
  <c r="O152" i="2"/>
  <c r="N152" i="2"/>
  <c r="M152" i="2"/>
  <c r="L152" i="2"/>
  <c r="K152" i="2"/>
  <c r="J152" i="2"/>
  <c r="I152" i="2"/>
  <c r="H152" i="2"/>
  <c r="G152" i="2"/>
  <c r="F152" i="2"/>
  <c r="E152" i="2"/>
  <c r="D152" i="2"/>
  <c r="W151" i="2"/>
  <c r="V151" i="2"/>
  <c r="U151" i="2"/>
  <c r="T151" i="2"/>
  <c r="S151" i="2"/>
  <c r="R151" i="2"/>
  <c r="O151" i="2"/>
  <c r="N151" i="2"/>
  <c r="M151" i="2"/>
  <c r="L151" i="2"/>
  <c r="K151" i="2"/>
  <c r="J151" i="2"/>
  <c r="I151" i="2"/>
  <c r="H151" i="2"/>
  <c r="G151" i="2"/>
  <c r="F151" i="2"/>
  <c r="E151" i="2"/>
  <c r="D151" i="2"/>
  <c r="W150" i="2"/>
  <c r="V150" i="2"/>
  <c r="U150" i="2"/>
  <c r="T150" i="2"/>
  <c r="S150" i="2"/>
  <c r="R150" i="2"/>
  <c r="Q150" i="2"/>
  <c r="O150" i="2"/>
  <c r="N150" i="2"/>
  <c r="M150" i="2"/>
  <c r="L150" i="2"/>
  <c r="K150" i="2"/>
  <c r="J150" i="2"/>
  <c r="I150" i="2"/>
  <c r="H150" i="2"/>
  <c r="G150" i="2"/>
  <c r="F150" i="2"/>
  <c r="E150" i="2"/>
  <c r="D150" i="2"/>
  <c r="W149" i="2"/>
  <c r="V149" i="2"/>
  <c r="U149" i="2"/>
  <c r="T149" i="2"/>
  <c r="S149" i="2"/>
  <c r="Q149" i="2"/>
  <c r="O149" i="2"/>
  <c r="N149" i="2"/>
  <c r="M149" i="2"/>
  <c r="L149" i="2"/>
  <c r="K149" i="2"/>
  <c r="J149" i="2"/>
  <c r="I149" i="2"/>
  <c r="H149" i="2"/>
  <c r="G149" i="2"/>
  <c r="F149" i="2"/>
  <c r="E149" i="2"/>
  <c r="D149" i="2"/>
  <c r="V148" i="2"/>
  <c r="U148" i="2"/>
  <c r="T148" i="2"/>
  <c r="S148" i="2"/>
  <c r="Q148" i="2"/>
  <c r="O148" i="2"/>
  <c r="N148" i="2"/>
  <c r="M148" i="2"/>
  <c r="L148" i="2"/>
  <c r="K148" i="2"/>
  <c r="J148" i="2"/>
  <c r="I148" i="2"/>
  <c r="H148" i="2"/>
  <c r="G148" i="2"/>
  <c r="F148" i="2"/>
  <c r="E148" i="2"/>
  <c r="D148" i="2"/>
  <c r="V147" i="2"/>
  <c r="U147" i="2"/>
  <c r="T147" i="2"/>
  <c r="S147" i="2"/>
  <c r="R147" i="2"/>
  <c r="P147" i="2"/>
  <c r="O147" i="2"/>
  <c r="N147" i="2"/>
  <c r="M147" i="2"/>
  <c r="L147" i="2"/>
  <c r="K147" i="2"/>
  <c r="J147" i="2"/>
  <c r="I147" i="2"/>
  <c r="H147" i="2"/>
  <c r="G147" i="2"/>
  <c r="F147" i="2"/>
  <c r="E147" i="2"/>
  <c r="D147" i="2"/>
  <c r="V146" i="2"/>
  <c r="U146" i="2"/>
  <c r="T146" i="2"/>
  <c r="S146" i="2"/>
  <c r="P146" i="2"/>
  <c r="O146" i="2"/>
  <c r="N146" i="2"/>
  <c r="M146" i="2"/>
  <c r="L146" i="2"/>
  <c r="K146" i="2"/>
  <c r="J146" i="2"/>
  <c r="I146" i="2"/>
  <c r="H146" i="2"/>
  <c r="G146" i="2"/>
  <c r="F146" i="2"/>
  <c r="E146" i="2"/>
  <c r="D146" i="2"/>
  <c r="V145" i="2"/>
  <c r="U145" i="2"/>
  <c r="T145" i="2"/>
  <c r="S145" i="2"/>
  <c r="P145" i="2"/>
  <c r="O145" i="2"/>
  <c r="N145" i="2"/>
  <c r="M145" i="2"/>
  <c r="L145" i="2"/>
  <c r="K145" i="2"/>
  <c r="J145" i="2"/>
  <c r="I145" i="2"/>
  <c r="H145" i="2"/>
  <c r="G145" i="2"/>
  <c r="F145" i="2"/>
  <c r="E145" i="2"/>
  <c r="D145" i="2"/>
  <c r="W144" i="2"/>
  <c r="V144" i="2"/>
  <c r="U144" i="2"/>
  <c r="T144" i="2"/>
  <c r="S144" i="2"/>
  <c r="O144" i="2"/>
  <c r="N144" i="2"/>
  <c r="M144" i="2"/>
  <c r="L144" i="2"/>
  <c r="K144" i="2"/>
  <c r="J144" i="2"/>
  <c r="I144" i="2"/>
  <c r="H144" i="2"/>
  <c r="G144" i="2"/>
  <c r="F144" i="2"/>
  <c r="E144" i="2"/>
  <c r="D144" i="2"/>
  <c r="W143" i="2"/>
  <c r="V143" i="2"/>
  <c r="U143" i="2"/>
  <c r="T143" i="2"/>
  <c r="S143" i="2"/>
  <c r="R143" i="2"/>
  <c r="Q143" i="2"/>
  <c r="P143" i="2"/>
  <c r="O143" i="2"/>
  <c r="N143" i="2"/>
  <c r="M143" i="2"/>
  <c r="L143" i="2"/>
  <c r="K143" i="2"/>
  <c r="J143" i="2"/>
  <c r="I143" i="2"/>
  <c r="H143" i="2"/>
  <c r="G143" i="2"/>
  <c r="F143" i="2"/>
  <c r="E143" i="2"/>
  <c r="D143" i="2"/>
  <c r="W142" i="2"/>
  <c r="V142" i="2"/>
  <c r="U142" i="2"/>
  <c r="T142" i="2"/>
  <c r="S142" i="2"/>
  <c r="R142" i="2"/>
  <c r="Q142" i="2"/>
  <c r="O142" i="2"/>
  <c r="N142" i="2"/>
  <c r="M142" i="2"/>
  <c r="L142" i="2"/>
  <c r="K142" i="2"/>
  <c r="J142" i="2"/>
  <c r="I142" i="2"/>
  <c r="H142" i="2"/>
  <c r="G142" i="2"/>
  <c r="F142" i="2"/>
  <c r="E142" i="2"/>
  <c r="D142" i="2"/>
  <c r="W141" i="2"/>
  <c r="V141" i="2"/>
  <c r="U141" i="2"/>
  <c r="T141" i="2"/>
  <c r="S141" i="2"/>
  <c r="R141" i="2"/>
  <c r="Q141" i="2"/>
  <c r="O141" i="2"/>
  <c r="N141" i="2"/>
  <c r="M141" i="2"/>
  <c r="L141" i="2"/>
  <c r="K141" i="2"/>
  <c r="J141" i="2"/>
  <c r="I141" i="2"/>
  <c r="H141" i="2"/>
  <c r="G141" i="2"/>
  <c r="F141" i="2"/>
  <c r="E141" i="2"/>
  <c r="D141" i="2"/>
  <c r="V140" i="2"/>
  <c r="U140" i="2"/>
  <c r="T140" i="2"/>
  <c r="S140" i="2"/>
  <c r="R140" i="2"/>
  <c r="Q140" i="2"/>
  <c r="P140" i="2"/>
  <c r="O140" i="2"/>
  <c r="N140" i="2"/>
  <c r="M140" i="2"/>
  <c r="L140" i="2"/>
  <c r="K140" i="2"/>
  <c r="J140" i="2"/>
  <c r="I140" i="2"/>
  <c r="H140" i="2"/>
  <c r="G140" i="2"/>
  <c r="F140" i="2"/>
  <c r="E140" i="2"/>
  <c r="D140" i="2"/>
  <c r="V139" i="2"/>
  <c r="U139" i="2"/>
  <c r="T139" i="2"/>
  <c r="S139" i="2"/>
  <c r="R139" i="2"/>
  <c r="P139" i="2"/>
  <c r="O139" i="2"/>
  <c r="N139" i="2"/>
  <c r="M139" i="2"/>
  <c r="L139" i="2"/>
  <c r="K139" i="2"/>
  <c r="J139" i="2"/>
  <c r="I139" i="2"/>
  <c r="H139" i="2"/>
  <c r="G139" i="2"/>
  <c r="F139" i="2"/>
  <c r="E139" i="2"/>
  <c r="D139" i="2"/>
  <c r="V138" i="2"/>
  <c r="U138" i="2"/>
  <c r="T138" i="2"/>
  <c r="S138" i="2"/>
  <c r="P138" i="2"/>
  <c r="O138" i="2"/>
  <c r="N138" i="2"/>
  <c r="M138" i="2"/>
  <c r="L138" i="2"/>
  <c r="K138" i="2"/>
  <c r="J138" i="2"/>
  <c r="I138" i="2"/>
  <c r="H138" i="2"/>
  <c r="G138" i="2"/>
  <c r="F138" i="2"/>
  <c r="E138" i="2"/>
  <c r="D138" i="2"/>
  <c r="V137" i="2"/>
  <c r="U137" i="2"/>
  <c r="T137" i="2"/>
  <c r="S137" i="2"/>
  <c r="Q137" i="2"/>
  <c r="P137" i="2"/>
  <c r="O137" i="2"/>
  <c r="N137" i="2"/>
  <c r="M137" i="2"/>
  <c r="L137" i="2"/>
  <c r="K137" i="2"/>
  <c r="J137" i="2"/>
  <c r="I137" i="2"/>
  <c r="H137" i="2"/>
  <c r="G137" i="2"/>
  <c r="F137" i="2"/>
  <c r="E137" i="2"/>
  <c r="D137" i="2"/>
  <c r="V136" i="2"/>
  <c r="U136" i="2"/>
  <c r="T136" i="2"/>
  <c r="S136" i="2"/>
  <c r="O136" i="2"/>
  <c r="N136" i="2"/>
  <c r="M136" i="2"/>
  <c r="L136" i="2"/>
  <c r="K136" i="2"/>
  <c r="J136" i="2"/>
  <c r="I136" i="2"/>
  <c r="H136" i="2"/>
  <c r="G136" i="2"/>
  <c r="F136" i="2"/>
  <c r="E136" i="2"/>
  <c r="D136" i="2"/>
  <c r="V135" i="2"/>
  <c r="U135" i="2"/>
  <c r="T135" i="2"/>
  <c r="S135" i="2"/>
  <c r="O135" i="2"/>
  <c r="N135" i="2"/>
  <c r="M135" i="2"/>
  <c r="L135" i="2"/>
  <c r="K135" i="2"/>
  <c r="J135" i="2"/>
  <c r="I135" i="2"/>
  <c r="H135" i="2"/>
  <c r="G135" i="2"/>
  <c r="F135" i="2"/>
  <c r="E135" i="2"/>
  <c r="D135" i="2"/>
  <c r="W134" i="2"/>
  <c r="V134" i="2"/>
  <c r="U134" i="2"/>
  <c r="T134" i="2"/>
  <c r="S134" i="2"/>
  <c r="Q134" i="2"/>
  <c r="O134" i="2"/>
  <c r="N134" i="2"/>
  <c r="M134" i="2"/>
  <c r="L134" i="2"/>
  <c r="K134" i="2"/>
  <c r="J134" i="2"/>
  <c r="I134" i="2"/>
  <c r="H134" i="2"/>
  <c r="G134" i="2"/>
  <c r="F134" i="2"/>
  <c r="E134" i="2"/>
  <c r="D134" i="2"/>
  <c r="W133" i="2"/>
  <c r="V133" i="2"/>
  <c r="U133" i="2"/>
  <c r="T133" i="2"/>
  <c r="S133" i="2"/>
  <c r="R133" i="2"/>
  <c r="O133" i="2"/>
  <c r="N133" i="2"/>
  <c r="M133" i="2"/>
  <c r="L133" i="2"/>
  <c r="K133" i="2"/>
  <c r="J133" i="2"/>
  <c r="I133" i="2"/>
  <c r="H133" i="2"/>
  <c r="G133" i="2"/>
  <c r="F133" i="2"/>
  <c r="E133" i="2"/>
  <c r="D133" i="2"/>
  <c r="W132" i="2"/>
  <c r="V132" i="2"/>
  <c r="U132" i="2"/>
  <c r="T132" i="2"/>
  <c r="S132" i="2"/>
  <c r="R132" i="2"/>
  <c r="P132" i="2"/>
  <c r="O132" i="2"/>
  <c r="N132" i="2"/>
  <c r="M132" i="2"/>
  <c r="L132" i="2"/>
  <c r="K132" i="2"/>
  <c r="J132" i="2"/>
  <c r="I132" i="2"/>
  <c r="H132" i="2"/>
  <c r="G132" i="2"/>
  <c r="F132" i="2"/>
  <c r="E132" i="2"/>
  <c r="D132" i="2"/>
  <c r="V131" i="2"/>
  <c r="U131" i="2"/>
  <c r="T131" i="2"/>
  <c r="S131" i="2"/>
  <c r="R131" i="2"/>
  <c r="P131" i="2"/>
  <c r="O131" i="2"/>
  <c r="N131" i="2"/>
  <c r="M131" i="2"/>
  <c r="L131" i="2"/>
  <c r="K131" i="2"/>
  <c r="J131" i="2"/>
  <c r="I131" i="2"/>
  <c r="H131" i="2"/>
  <c r="G131" i="2"/>
  <c r="F131" i="2"/>
  <c r="E131" i="2"/>
  <c r="D131" i="2"/>
  <c r="W130" i="2"/>
  <c r="V130" i="2"/>
  <c r="U130" i="2"/>
  <c r="T130" i="2"/>
  <c r="S130" i="2"/>
  <c r="Q130" i="2"/>
  <c r="P130" i="2"/>
  <c r="O130" i="2"/>
  <c r="N130" i="2"/>
  <c r="M130" i="2"/>
  <c r="L130" i="2"/>
  <c r="K130" i="2"/>
  <c r="J130" i="2"/>
  <c r="I130" i="2"/>
  <c r="H130" i="2"/>
  <c r="G130" i="2"/>
  <c r="F130" i="2"/>
  <c r="E130" i="2"/>
  <c r="D130" i="2"/>
  <c r="V129" i="2"/>
  <c r="U129" i="2"/>
  <c r="T129" i="2"/>
  <c r="S129" i="2"/>
  <c r="P129" i="2"/>
  <c r="O129" i="2"/>
  <c r="N129" i="2"/>
  <c r="M129" i="2"/>
  <c r="L129" i="2"/>
  <c r="K129" i="2"/>
  <c r="J129" i="2"/>
  <c r="I129" i="2"/>
  <c r="H129" i="2"/>
  <c r="G129" i="2"/>
  <c r="F129" i="2"/>
  <c r="E129" i="2"/>
  <c r="D129" i="2"/>
  <c r="V128" i="2"/>
  <c r="U128" i="2"/>
  <c r="T128" i="2"/>
  <c r="S128" i="2"/>
  <c r="R128" i="2"/>
  <c r="P128" i="2"/>
  <c r="O128" i="2"/>
  <c r="N128" i="2"/>
  <c r="M128" i="2"/>
  <c r="L128" i="2"/>
  <c r="K128" i="2"/>
  <c r="J128" i="2"/>
  <c r="I128" i="2"/>
  <c r="H128" i="2"/>
  <c r="G128" i="2"/>
  <c r="F128" i="2"/>
  <c r="E128" i="2"/>
  <c r="D128" i="2"/>
  <c r="V127" i="2"/>
  <c r="U127" i="2"/>
  <c r="T127" i="2"/>
  <c r="S127" i="2"/>
  <c r="Q127" i="2"/>
  <c r="P127" i="2"/>
  <c r="O127" i="2"/>
  <c r="N127" i="2"/>
  <c r="M127" i="2"/>
  <c r="L127" i="2"/>
  <c r="K127" i="2"/>
  <c r="J127" i="2"/>
  <c r="I127" i="2"/>
  <c r="H127" i="2"/>
  <c r="G127" i="2"/>
  <c r="F127" i="2"/>
  <c r="E127" i="2"/>
  <c r="D127" i="2"/>
  <c r="W126" i="2"/>
  <c r="V126" i="2"/>
  <c r="U126" i="2"/>
  <c r="T126" i="2"/>
  <c r="S126" i="2"/>
  <c r="R126" i="2"/>
  <c r="P126" i="2"/>
  <c r="O126" i="2"/>
  <c r="N126" i="2"/>
  <c r="M126" i="2"/>
  <c r="L126" i="2"/>
  <c r="K126" i="2"/>
  <c r="J126" i="2"/>
  <c r="I126" i="2"/>
  <c r="H126" i="2"/>
  <c r="G126" i="2"/>
  <c r="F126" i="2"/>
  <c r="E126" i="2"/>
  <c r="D126" i="2"/>
  <c r="V125" i="2"/>
  <c r="U125" i="2"/>
  <c r="T125" i="2"/>
  <c r="S125" i="2"/>
  <c r="R125" i="2"/>
  <c r="P125" i="2"/>
  <c r="O125" i="2"/>
  <c r="N125" i="2"/>
  <c r="M125" i="2"/>
  <c r="L125" i="2"/>
  <c r="K125" i="2"/>
  <c r="J125" i="2"/>
  <c r="I125" i="2"/>
  <c r="H125" i="2"/>
  <c r="G125" i="2"/>
  <c r="F125" i="2"/>
  <c r="E125" i="2"/>
  <c r="D125" i="2"/>
  <c r="V124" i="2"/>
  <c r="U124" i="2"/>
  <c r="T124" i="2"/>
  <c r="S124" i="2"/>
  <c r="O124" i="2"/>
  <c r="N124" i="2"/>
  <c r="M124" i="2"/>
  <c r="L124" i="2"/>
  <c r="K124" i="2"/>
  <c r="J124" i="2"/>
  <c r="I124" i="2"/>
  <c r="H124" i="2"/>
  <c r="G124" i="2"/>
  <c r="F124" i="2"/>
  <c r="E124" i="2"/>
  <c r="D124" i="2"/>
  <c r="V123" i="2"/>
  <c r="U123" i="2"/>
  <c r="T123" i="2"/>
  <c r="S123" i="2"/>
  <c r="R123" i="2"/>
  <c r="Q123" i="2"/>
  <c r="P123" i="2"/>
  <c r="O123" i="2"/>
  <c r="N123" i="2"/>
  <c r="M123" i="2"/>
  <c r="L123" i="2"/>
  <c r="K123" i="2"/>
  <c r="J123" i="2"/>
  <c r="I123" i="2"/>
  <c r="H123" i="2"/>
  <c r="G123" i="2"/>
  <c r="F123" i="2"/>
  <c r="E123" i="2"/>
  <c r="D123" i="2"/>
  <c r="V122" i="2"/>
  <c r="U122" i="2"/>
  <c r="T122" i="2"/>
  <c r="S122" i="2"/>
  <c r="Q122" i="2"/>
  <c r="O122" i="2"/>
  <c r="N122" i="2"/>
  <c r="M122" i="2"/>
  <c r="L122" i="2"/>
  <c r="K122" i="2"/>
  <c r="J122" i="2"/>
  <c r="I122" i="2"/>
  <c r="H122" i="2"/>
  <c r="G122" i="2"/>
  <c r="F122" i="2"/>
  <c r="E122" i="2"/>
  <c r="D122" i="2"/>
  <c r="V121" i="2"/>
  <c r="U121" i="2"/>
  <c r="T121" i="2"/>
  <c r="S121" i="2"/>
  <c r="R121" i="2"/>
  <c r="Q121" i="2"/>
  <c r="P121" i="2"/>
  <c r="O121" i="2"/>
  <c r="N121" i="2"/>
  <c r="M121" i="2"/>
  <c r="L121" i="2"/>
  <c r="K121" i="2"/>
  <c r="J121" i="2"/>
  <c r="I121" i="2"/>
  <c r="H121" i="2"/>
  <c r="G121" i="2"/>
  <c r="F121" i="2"/>
  <c r="E121" i="2"/>
  <c r="D121" i="2"/>
  <c r="V120" i="2"/>
  <c r="U120" i="2"/>
  <c r="T120" i="2"/>
  <c r="S120" i="2"/>
  <c r="Q120" i="2"/>
  <c r="O120" i="2"/>
  <c r="N120" i="2"/>
  <c r="M120" i="2"/>
  <c r="L120" i="2"/>
  <c r="K120" i="2"/>
  <c r="J120" i="2"/>
  <c r="I120" i="2"/>
  <c r="H120" i="2"/>
  <c r="G120" i="2"/>
  <c r="F120" i="2"/>
  <c r="E120" i="2"/>
  <c r="D120" i="2"/>
  <c r="W119" i="2"/>
  <c r="V119" i="2"/>
  <c r="U119" i="2"/>
  <c r="T119" i="2"/>
  <c r="S119" i="2"/>
  <c r="R119" i="2"/>
  <c r="Q119" i="2"/>
  <c r="O119" i="2"/>
  <c r="N119" i="2"/>
  <c r="M119" i="2"/>
  <c r="L119" i="2"/>
  <c r="K119" i="2"/>
  <c r="J119" i="2"/>
  <c r="I119" i="2"/>
  <c r="H119" i="2"/>
  <c r="G119" i="2"/>
  <c r="F119" i="2"/>
  <c r="E119" i="2"/>
  <c r="D119" i="2"/>
  <c r="V118" i="2"/>
  <c r="U118" i="2"/>
  <c r="T118" i="2"/>
  <c r="S118" i="2"/>
  <c r="R118" i="2"/>
  <c r="O118" i="2"/>
  <c r="N118" i="2"/>
  <c r="M118" i="2"/>
  <c r="L118" i="2"/>
  <c r="K118" i="2"/>
  <c r="J118" i="2"/>
  <c r="I118" i="2"/>
  <c r="H118" i="2"/>
  <c r="G118" i="2"/>
  <c r="F118" i="2"/>
  <c r="E118" i="2"/>
  <c r="D118" i="2"/>
  <c r="W117" i="2"/>
  <c r="V117" i="2"/>
  <c r="U117" i="2"/>
  <c r="T117" i="2"/>
  <c r="S117" i="2"/>
  <c r="P117" i="2"/>
  <c r="O117" i="2"/>
  <c r="N117" i="2"/>
  <c r="M117" i="2"/>
  <c r="L117" i="2"/>
  <c r="K117" i="2"/>
  <c r="J117" i="2"/>
  <c r="I117" i="2"/>
  <c r="H117" i="2"/>
  <c r="G117" i="2"/>
  <c r="F117" i="2"/>
  <c r="E117" i="2"/>
  <c r="D117" i="2"/>
  <c r="V116" i="2"/>
  <c r="U116" i="2"/>
  <c r="T116" i="2"/>
  <c r="S116" i="2"/>
  <c r="R116" i="2"/>
  <c r="O116" i="2"/>
  <c r="N116" i="2"/>
  <c r="M116" i="2"/>
  <c r="L116" i="2"/>
  <c r="K116" i="2"/>
  <c r="J116" i="2"/>
  <c r="I116" i="2"/>
  <c r="H116" i="2"/>
  <c r="G116" i="2"/>
  <c r="F116" i="2"/>
  <c r="E116" i="2"/>
  <c r="D116" i="2"/>
  <c r="W115" i="2"/>
  <c r="V115" i="2"/>
  <c r="U115" i="2"/>
  <c r="T115" i="2"/>
  <c r="S115" i="2"/>
  <c r="R115" i="2"/>
  <c r="O115" i="2"/>
  <c r="N115" i="2"/>
  <c r="M115" i="2"/>
  <c r="L115" i="2"/>
  <c r="K115" i="2"/>
  <c r="J115" i="2"/>
  <c r="I115" i="2"/>
  <c r="H115" i="2"/>
  <c r="G115" i="2"/>
  <c r="F115" i="2"/>
  <c r="E115" i="2"/>
  <c r="D115" i="2"/>
  <c r="W114" i="2"/>
  <c r="V114" i="2"/>
  <c r="U114" i="2"/>
  <c r="T114" i="2"/>
  <c r="S114" i="2"/>
  <c r="O114" i="2"/>
  <c r="N114" i="2"/>
  <c r="M114" i="2"/>
  <c r="L114" i="2"/>
  <c r="K114" i="2"/>
  <c r="J114" i="2"/>
  <c r="I114" i="2"/>
  <c r="H114" i="2"/>
  <c r="G114" i="2"/>
  <c r="F114" i="2"/>
  <c r="E114" i="2"/>
  <c r="D114" i="2"/>
  <c r="W113" i="2"/>
  <c r="V113" i="2"/>
  <c r="U113" i="2"/>
  <c r="T113" i="2"/>
  <c r="S113" i="2"/>
  <c r="R113" i="2"/>
  <c r="Q113" i="2"/>
  <c r="O113" i="2"/>
  <c r="N113" i="2"/>
  <c r="M113" i="2"/>
  <c r="L113" i="2"/>
  <c r="K113" i="2"/>
  <c r="J113" i="2"/>
  <c r="I113" i="2"/>
  <c r="H113" i="2"/>
  <c r="G113" i="2"/>
  <c r="F113" i="2"/>
  <c r="E113" i="2"/>
  <c r="D113" i="2"/>
  <c r="V112" i="2"/>
  <c r="U112" i="2"/>
  <c r="T112" i="2"/>
  <c r="S112" i="2"/>
  <c r="R112" i="2"/>
  <c r="O112" i="2"/>
  <c r="N112" i="2"/>
  <c r="M112" i="2"/>
  <c r="L112" i="2"/>
  <c r="K112" i="2"/>
  <c r="J112" i="2"/>
  <c r="I112" i="2"/>
  <c r="H112" i="2"/>
  <c r="G112" i="2"/>
  <c r="F112" i="2"/>
  <c r="E112" i="2"/>
  <c r="D112" i="2"/>
  <c r="V111" i="2"/>
  <c r="U111" i="2"/>
  <c r="T111" i="2"/>
  <c r="S111" i="2"/>
  <c r="O111" i="2"/>
  <c r="N111" i="2"/>
  <c r="M111" i="2"/>
  <c r="L111" i="2"/>
  <c r="K111" i="2"/>
  <c r="J111" i="2"/>
  <c r="I111" i="2"/>
  <c r="H111" i="2"/>
  <c r="G111" i="2"/>
  <c r="F111" i="2"/>
  <c r="E111" i="2"/>
  <c r="D111" i="2"/>
  <c r="V110" i="2"/>
  <c r="U110" i="2"/>
  <c r="T110" i="2"/>
  <c r="S110" i="2"/>
  <c r="Q110" i="2"/>
  <c r="P110" i="2"/>
  <c r="O110" i="2"/>
  <c r="N110" i="2"/>
  <c r="M110" i="2"/>
  <c r="L110" i="2"/>
  <c r="K110" i="2"/>
  <c r="J110" i="2"/>
  <c r="I110" i="2"/>
  <c r="H110" i="2"/>
  <c r="G110" i="2"/>
  <c r="F110" i="2"/>
  <c r="E110" i="2"/>
  <c r="D110" i="2"/>
  <c r="W109" i="2"/>
  <c r="V109" i="2"/>
  <c r="U109" i="2"/>
  <c r="T109" i="2"/>
  <c r="S109" i="2"/>
  <c r="P109" i="2"/>
  <c r="O109" i="2"/>
  <c r="N109" i="2"/>
  <c r="M109" i="2"/>
  <c r="L109" i="2"/>
  <c r="K109" i="2"/>
  <c r="J109" i="2"/>
  <c r="I109" i="2"/>
  <c r="H109" i="2"/>
  <c r="G109" i="2"/>
  <c r="F109" i="2"/>
  <c r="E109" i="2"/>
  <c r="D109" i="2"/>
  <c r="V108" i="2"/>
  <c r="U108" i="2"/>
  <c r="T108" i="2"/>
  <c r="S108" i="2"/>
  <c r="Q108" i="2"/>
  <c r="O108" i="2"/>
  <c r="N108" i="2"/>
  <c r="M108" i="2"/>
  <c r="L108" i="2"/>
  <c r="K108" i="2"/>
  <c r="J108" i="2"/>
  <c r="I108" i="2"/>
  <c r="H108" i="2"/>
  <c r="G108" i="2"/>
  <c r="F108" i="2"/>
  <c r="E108" i="2"/>
  <c r="D108" i="2"/>
  <c r="W107" i="2"/>
  <c r="V107" i="2"/>
  <c r="U107" i="2"/>
  <c r="T107" i="2"/>
  <c r="S107" i="2"/>
  <c r="P107" i="2"/>
  <c r="O107" i="2"/>
  <c r="N107" i="2"/>
  <c r="M107" i="2"/>
  <c r="L107" i="2"/>
  <c r="K107" i="2"/>
  <c r="J107" i="2"/>
  <c r="I107" i="2"/>
  <c r="H107" i="2"/>
  <c r="G107" i="2"/>
  <c r="F107" i="2"/>
  <c r="E107" i="2"/>
  <c r="D107" i="2"/>
  <c r="W106" i="2"/>
  <c r="V106" i="2"/>
  <c r="U106" i="2"/>
  <c r="T106" i="2"/>
  <c r="S106" i="2"/>
  <c r="Q106" i="2"/>
  <c r="P106" i="2"/>
  <c r="O106" i="2"/>
  <c r="N106" i="2"/>
  <c r="M106" i="2"/>
  <c r="L106" i="2"/>
  <c r="K106" i="2"/>
  <c r="J106" i="2"/>
  <c r="I106" i="2"/>
  <c r="H106" i="2"/>
  <c r="G106" i="2"/>
  <c r="F106" i="2"/>
  <c r="E106" i="2"/>
  <c r="D106" i="2"/>
  <c r="W105" i="2"/>
  <c r="V105" i="2"/>
  <c r="U105" i="2"/>
  <c r="T105" i="2"/>
  <c r="S105" i="2"/>
  <c r="R105" i="2"/>
  <c r="P105" i="2"/>
  <c r="O105" i="2"/>
  <c r="N105" i="2"/>
  <c r="M105" i="2"/>
  <c r="L105" i="2"/>
  <c r="K105" i="2"/>
  <c r="J105" i="2"/>
  <c r="I105" i="2"/>
  <c r="H105" i="2"/>
  <c r="G105" i="2"/>
  <c r="F105" i="2"/>
  <c r="E105" i="2"/>
  <c r="D105" i="2"/>
  <c r="V104" i="2"/>
  <c r="U104" i="2"/>
  <c r="T104" i="2"/>
  <c r="S104" i="2"/>
  <c r="P104" i="2"/>
  <c r="O104" i="2"/>
  <c r="N104" i="2"/>
  <c r="M104" i="2"/>
  <c r="L104" i="2"/>
  <c r="K104" i="2"/>
  <c r="J104" i="2"/>
  <c r="I104" i="2"/>
  <c r="H104" i="2"/>
  <c r="G104" i="2"/>
  <c r="F104" i="2"/>
  <c r="E104" i="2"/>
  <c r="D104" i="2"/>
  <c r="W103" i="2"/>
  <c r="V103" i="2"/>
  <c r="U103" i="2"/>
  <c r="T103" i="2"/>
  <c r="S103" i="2"/>
  <c r="P103" i="2"/>
  <c r="O103" i="2"/>
  <c r="N103" i="2"/>
  <c r="M103" i="2"/>
  <c r="L103" i="2"/>
  <c r="K103" i="2"/>
  <c r="J103" i="2"/>
  <c r="I103" i="2"/>
  <c r="H103" i="2"/>
  <c r="G103" i="2"/>
  <c r="F103" i="2"/>
  <c r="E103" i="2"/>
  <c r="D103" i="2"/>
  <c r="W102" i="2"/>
  <c r="V102" i="2"/>
  <c r="U102" i="2"/>
  <c r="T102" i="2"/>
  <c r="S102" i="2"/>
  <c r="R102" i="2"/>
  <c r="P102" i="2"/>
  <c r="O102" i="2"/>
  <c r="N102" i="2"/>
  <c r="M102" i="2"/>
  <c r="L102" i="2"/>
  <c r="K102" i="2"/>
  <c r="J102" i="2"/>
  <c r="I102" i="2"/>
  <c r="H102" i="2"/>
  <c r="G102" i="2"/>
  <c r="F102" i="2"/>
  <c r="E102" i="2"/>
  <c r="D102" i="2"/>
  <c r="V101" i="2"/>
  <c r="U101" i="2"/>
  <c r="T101" i="2"/>
  <c r="S101" i="2"/>
  <c r="R101" i="2"/>
  <c r="Q101" i="2"/>
  <c r="P101" i="2"/>
  <c r="O101" i="2"/>
  <c r="N101" i="2"/>
  <c r="M101" i="2"/>
  <c r="L101" i="2"/>
  <c r="K101" i="2"/>
  <c r="J101" i="2"/>
  <c r="I101" i="2"/>
  <c r="H101" i="2"/>
  <c r="G101" i="2"/>
  <c r="F101" i="2"/>
  <c r="E101" i="2"/>
  <c r="D101" i="2"/>
  <c r="V100" i="2"/>
  <c r="U100" i="2"/>
  <c r="T100" i="2"/>
  <c r="S100" i="2"/>
  <c r="R100" i="2"/>
  <c r="P100" i="2"/>
  <c r="O100" i="2"/>
  <c r="N100" i="2"/>
  <c r="M100" i="2"/>
  <c r="L100" i="2"/>
  <c r="K100" i="2"/>
  <c r="J100" i="2"/>
  <c r="I100" i="2"/>
  <c r="H100" i="2"/>
  <c r="G100" i="2"/>
  <c r="F100" i="2"/>
  <c r="E100" i="2"/>
  <c r="D100" i="2"/>
  <c r="W99" i="2"/>
  <c r="V99" i="2"/>
  <c r="U99" i="2"/>
  <c r="T99" i="2"/>
  <c r="S99" i="2"/>
  <c r="R99" i="2"/>
  <c r="Q99" i="2"/>
  <c r="P99" i="2"/>
  <c r="O99" i="2"/>
  <c r="N99" i="2"/>
  <c r="M99" i="2"/>
  <c r="L99" i="2"/>
  <c r="K99" i="2"/>
  <c r="J99" i="2"/>
  <c r="I99" i="2"/>
  <c r="H99" i="2"/>
  <c r="G99" i="2"/>
  <c r="F99" i="2"/>
  <c r="E99" i="2"/>
  <c r="D99" i="2"/>
  <c r="V98" i="2"/>
  <c r="U98" i="2"/>
  <c r="T98" i="2"/>
  <c r="S98" i="2"/>
  <c r="R98" i="2"/>
  <c r="O98" i="2"/>
  <c r="N98" i="2"/>
  <c r="M98" i="2"/>
  <c r="L98" i="2"/>
  <c r="K98" i="2"/>
  <c r="J98" i="2"/>
  <c r="I98" i="2"/>
  <c r="H98" i="2"/>
  <c r="G98" i="2"/>
  <c r="F98" i="2"/>
  <c r="E98" i="2"/>
  <c r="D98" i="2"/>
  <c r="V97" i="2"/>
  <c r="U97" i="2"/>
  <c r="T97" i="2"/>
  <c r="S97" i="2"/>
  <c r="R97" i="2"/>
  <c r="O97" i="2"/>
  <c r="N97" i="2"/>
  <c r="M97" i="2"/>
  <c r="L97" i="2"/>
  <c r="K97" i="2"/>
  <c r="J97" i="2"/>
  <c r="I97" i="2"/>
  <c r="H97" i="2"/>
  <c r="G97" i="2"/>
  <c r="F97" i="2"/>
  <c r="E97" i="2"/>
  <c r="D97" i="2"/>
  <c r="W96" i="2"/>
  <c r="V96" i="2"/>
  <c r="U96" i="2"/>
  <c r="T96" i="2"/>
  <c r="S96" i="2"/>
  <c r="R96" i="2"/>
  <c r="Q96" i="2"/>
  <c r="O96" i="2"/>
  <c r="N96" i="2"/>
  <c r="M96" i="2"/>
  <c r="L96" i="2"/>
  <c r="K96" i="2"/>
  <c r="J96" i="2"/>
  <c r="I96" i="2"/>
  <c r="H96" i="2"/>
  <c r="G96" i="2"/>
  <c r="F96" i="2"/>
  <c r="E96" i="2"/>
  <c r="D96" i="2"/>
  <c r="W95" i="2"/>
  <c r="V95" i="2"/>
  <c r="U95" i="2"/>
  <c r="T95" i="2"/>
  <c r="S95" i="2"/>
  <c r="R95" i="2"/>
  <c r="Q95" i="2"/>
  <c r="O95" i="2"/>
  <c r="N95" i="2"/>
  <c r="M95" i="2"/>
  <c r="L95" i="2"/>
  <c r="K95" i="2"/>
  <c r="J95" i="2"/>
  <c r="I95" i="2"/>
  <c r="H95" i="2"/>
  <c r="G95" i="2"/>
  <c r="F95" i="2"/>
  <c r="E95" i="2"/>
  <c r="D95" i="2"/>
  <c r="W94" i="2"/>
  <c r="V94" i="2"/>
  <c r="U94" i="2"/>
  <c r="T94" i="2"/>
  <c r="S94" i="2"/>
  <c r="Q94" i="2"/>
  <c r="O94" i="2"/>
  <c r="N94" i="2"/>
  <c r="M94" i="2"/>
  <c r="L94" i="2"/>
  <c r="K94" i="2"/>
  <c r="J94" i="2"/>
  <c r="I94" i="2"/>
  <c r="H94" i="2"/>
  <c r="G94" i="2"/>
  <c r="F94" i="2"/>
  <c r="E94" i="2"/>
  <c r="D94" i="2"/>
  <c r="W93" i="2"/>
  <c r="V93" i="2"/>
  <c r="U93" i="2"/>
  <c r="T93" i="2"/>
  <c r="S93" i="2"/>
  <c r="R93" i="2"/>
  <c r="P93" i="2"/>
  <c r="O93" i="2"/>
  <c r="N93" i="2"/>
  <c r="M93" i="2"/>
  <c r="L93" i="2"/>
  <c r="K93" i="2"/>
  <c r="J93" i="2"/>
  <c r="I93" i="2"/>
  <c r="H93" i="2"/>
  <c r="G93" i="2"/>
  <c r="F93" i="2"/>
  <c r="E93" i="2"/>
  <c r="D93" i="2"/>
  <c r="W92" i="2"/>
  <c r="V92" i="2"/>
  <c r="U92" i="2"/>
  <c r="T92" i="2"/>
  <c r="S92" i="2"/>
  <c r="O92" i="2"/>
  <c r="N92" i="2"/>
  <c r="M92" i="2"/>
  <c r="L92" i="2"/>
  <c r="K92" i="2"/>
  <c r="J92" i="2"/>
  <c r="I92" i="2"/>
  <c r="H92" i="2"/>
  <c r="G92" i="2"/>
  <c r="F92" i="2"/>
  <c r="E92" i="2"/>
  <c r="D92" i="2"/>
  <c r="V91" i="2"/>
  <c r="U91" i="2"/>
  <c r="T91" i="2"/>
  <c r="S91" i="2"/>
  <c r="R91" i="2"/>
  <c r="O91" i="2"/>
  <c r="N91" i="2"/>
  <c r="M91" i="2"/>
  <c r="L91" i="2"/>
  <c r="K91" i="2"/>
  <c r="J91" i="2"/>
  <c r="I91" i="2"/>
  <c r="H91" i="2"/>
  <c r="G91" i="2"/>
  <c r="F91" i="2"/>
  <c r="E91" i="2"/>
  <c r="D91" i="2"/>
  <c r="W90" i="2"/>
  <c r="V90" i="2"/>
  <c r="U90" i="2"/>
  <c r="T90" i="2"/>
  <c r="S90" i="2"/>
  <c r="Q90" i="2"/>
  <c r="O90" i="2"/>
  <c r="N90" i="2"/>
  <c r="M90" i="2"/>
  <c r="L90" i="2"/>
  <c r="K90" i="2"/>
  <c r="J90" i="2"/>
  <c r="I90" i="2"/>
  <c r="H90" i="2"/>
  <c r="G90" i="2"/>
  <c r="F90" i="2"/>
  <c r="E90" i="2"/>
  <c r="D90" i="2"/>
  <c r="W89" i="2"/>
  <c r="V89" i="2"/>
  <c r="U89" i="2"/>
  <c r="T89" i="2"/>
  <c r="S89" i="2"/>
  <c r="O89" i="2"/>
  <c r="N89" i="2"/>
  <c r="M89" i="2"/>
  <c r="L89" i="2"/>
  <c r="K89" i="2"/>
  <c r="J89" i="2"/>
  <c r="I89" i="2"/>
  <c r="H89" i="2"/>
  <c r="G89" i="2"/>
  <c r="F89" i="2"/>
  <c r="E89" i="2"/>
  <c r="D89" i="2"/>
  <c r="V88" i="2"/>
  <c r="U88" i="2"/>
  <c r="T88" i="2"/>
  <c r="S88" i="2"/>
  <c r="Q88" i="2"/>
  <c r="P88" i="2"/>
  <c r="O88" i="2"/>
  <c r="N88" i="2"/>
  <c r="M88" i="2"/>
  <c r="L88" i="2"/>
  <c r="K88" i="2"/>
  <c r="J88" i="2"/>
  <c r="I88" i="2"/>
  <c r="H88" i="2"/>
  <c r="G88" i="2"/>
  <c r="F88" i="2"/>
  <c r="E88" i="2"/>
  <c r="D88" i="2"/>
  <c r="V87" i="2"/>
  <c r="U87" i="2"/>
  <c r="T87" i="2"/>
  <c r="S87" i="2"/>
  <c r="R87" i="2"/>
  <c r="Q87" i="2"/>
  <c r="P87" i="2"/>
  <c r="O87" i="2"/>
  <c r="N87" i="2"/>
  <c r="M87" i="2"/>
  <c r="L87" i="2"/>
  <c r="K87" i="2"/>
  <c r="J87" i="2"/>
  <c r="I87" i="2"/>
  <c r="H87" i="2"/>
  <c r="G87" i="2"/>
  <c r="F87" i="2"/>
  <c r="E87" i="2"/>
  <c r="D87" i="2"/>
  <c r="V86" i="2"/>
  <c r="U86" i="2"/>
  <c r="T86" i="2"/>
  <c r="S86" i="2"/>
  <c r="Q86" i="2"/>
  <c r="O86" i="2"/>
  <c r="N86" i="2"/>
  <c r="M86" i="2"/>
  <c r="L86" i="2"/>
  <c r="K86" i="2"/>
  <c r="J86" i="2"/>
  <c r="I86" i="2"/>
  <c r="H86" i="2"/>
  <c r="G86" i="2"/>
  <c r="F86" i="2"/>
  <c r="E86" i="2"/>
  <c r="D86" i="2"/>
  <c r="V85" i="2"/>
  <c r="U85" i="2"/>
  <c r="T85" i="2"/>
  <c r="S85" i="2"/>
  <c r="R85" i="2"/>
  <c r="Q85" i="2"/>
  <c r="P85" i="2"/>
  <c r="O85" i="2"/>
  <c r="N85" i="2"/>
  <c r="M85" i="2"/>
  <c r="L85" i="2"/>
  <c r="K85" i="2"/>
  <c r="J85" i="2"/>
  <c r="I85" i="2"/>
  <c r="H85" i="2"/>
  <c r="G85" i="2"/>
  <c r="F85" i="2"/>
  <c r="E85" i="2"/>
  <c r="D85" i="2"/>
  <c r="V84" i="2"/>
  <c r="U84" i="2"/>
  <c r="T84" i="2"/>
  <c r="S84" i="2"/>
  <c r="R84" i="2"/>
  <c r="Q84" i="2"/>
  <c r="P84" i="2"/>
  <c r="O84" i="2"/>
  <c r="N84" i="2"/>
  <c r="M84" i="2"/>
  <c r="L84" i="2"/>
  <c r="K84" i="2"/>
  <c r="J84" i="2"/>
  <c r="I84" i="2"/>
  <c r="H84" i="2"/>
  <c r="G84" i="2"/>
  <c r="F84" i="2"/>
  <c r="E84" i="2"/>
  <c r="D84" i="2"/>
  <c r="W83" i="2"/>
  <c r="V83" i="2"/>
  <c r="U83" i="2"/>
  <c r="T83" i="2"/>
  <c r="S83" i="2"/>
  <c r="R83" i="2"/>
  <c r="P83" i="2"/>
  <c r="O83" i="2"/>
  <c r="N83" i="2"/>
  <c r="M83" i="2"/>
  <c r="L83" i="2"/>
  <c r="K83" i="2"/>
  <c r="J83" i="2"/>
  <c r="I83" i="2"/>
  <c r="H83" i="2"/>
  <c r="G83" i="2"/>
  <c r="F83" i="2"/>
  <c r="E83" i="2"/>
  <c r="D83" i="2"/>
  <c r="W82" i="2"/>
  <c r="V82" i="2"/>
  <c r="U82" i="2"/>
  <c r="T82" i="2"/>
  <c r="S82" i="2"/>
  <c r="R82" i="2"/>
  <c r="Q82" i="2"/>
  <c r="P82" i="2"/>
  <c r="O82" i="2"/>
  <c r="N82" i="2"/>
  <c r="M82" i="2"/>
  <c r="L82" i="2"/>
  <c r="K82" i="2"/>
  <c r="J82" i="2"/>
  <c r="I82" i="2"/>
  <c r="H82" i="2"/>
  <c r="G82" i="2"/>
  <c r="F82" i="2"/>
  <c r="E82" i="2"/>
  <c r="D82" i="2"/>
  <c r="W81" i="2"/>
  <c r="V81" i="2"/>
  <c r="U81" i="2"/>
  <c r="T81" i="2"/>
  <c r="S81" i="2"/>
  <c r="O81" i="2"/>
  <c r="N81" i="2"/>
  <c r="M81" i="2"/>
  <c r="L81" i="2"/>
  <c r="K81" i="2"/>
  <c r="J81" i="2"/>
  <c r="I81" i="2"/>
  <c r="H81" i="2"/>
  <c r="G81" i="2"/>
  <c r="F81" i="2"/>
  <c r="E81" i="2"/>
  <c r="D81" i="2"/>
  <c r="V80" i="2"/>
  <c r="U80" i="2"/>
  <c r="T80" i="2"/>
  <c r="S80" i="2"/>
  <c r="P80" i="2"/>
  <c r="O80" i="2"/>
  <c r="N80" i="2"/>
  <c r="M80" i="2"/>
  <c r="L80" i="2"/>
  <c r="K80" i="2"/>
  <c r="J80" i="2"/>
  <c r="I80" i="2"/>
  <c r="H80" i="2"/>
  <c r="G80" i="2"/>
  <c r="F80" i="2"/>
  <c r="E80" i="2"/>
  <c r="D80" i="2"/>
  <c r="W79" i="2"/>
  <c r="V79" i="2"/>
  <c r="U79" i="2"/>
  <c r="T79" i="2"/>
  <c r="S79" i="2"/>
  <c r="R79" i="2"/>
  <c r="Q79" i="2"/>
  <c r="O79" i="2"/>
  <c r="N79" i="2"/>
  <c r="M79" i="2"/>
  <c r="L79" i="2"/>
  <c r="K79" i="2"/>
  <c r="J79" i="2"/>
  <c r="I79" i="2"/>
  <c r="H79" i="2"/>
  <c r="G79" i="2"/>
  <c r="F79" i="2"/>
  <c r="E79" i="2"/>
  <c r="D79" i="2"/>
  <c r="V78" i="2"/>
  <c r="U78" i="2"/>
  <c r="T78" i="2"/>
  <c r="S78" i="2"/>
  <c r="O78" i="2"/>
  <c r="N78" i="2"/>
  <c r="M78" i="2"/>
  <c r="L78" i="2"/>
  <c r="K78" i="2"/>
  <c r="J78" i="2"/>
  <c r="I78" i="2"/>
  <c r="H78" i="2"/>
  <c r="G78" i="2"/>
  <c r="F78" i="2"/>
  <c r="E78" i="2"/>
  <c r="D78" i="2"/>
  <c r="V77" i="2"/>
  <c r="U77" i="2"/>
  <c r="T77" i="2"/>
  <c r="S77" i="2"/>
  <c r="O77" i="2"/>
  <c r="N77" i="2"/>
  <c r="M77" i="2"/>
  <c r="L77" i="2"/>
  <c r="K77" i="2"/>
  <c r="J77" i="2"/>
  <c r="I77" i="2"/>
  <c r="H77" i="2"/>
  <c r="G77" i="2"/>
  <c r="F77" i="2"/>
  <c r="E77" i="2"/>
  <c r="D77" i="2"/>
  <c r="V76" i="2"/>
  <c r="U76" i="2"/>
  <c r="T76" i="2"/>
  <c r="S76" i="2"/>
  <c r="R76" i="2"/>
  <c r="Q76" i="2"/>
  <c r="O76" i="2"/>
  <c r="N76" i="2"/>
  <c r="M76" i="2"/>
  <c r="L76" i="2"/>
  <c r="K76" i="2"/>
  <c r="J76" i="2"/>
  <c r="I76" i="2"/>
  <c r="H76" i="2"/>
  <c r="G76" i="2"/>
  <c r="F76" i="2"/>
  <c r="E76" i="2"/>
  <c r="D76" i="2"/>
  <c r="V75" i="2"/>
  <c r="U75" i="2"/>
  <c r="T75" i="2"/>
  <c r="S75" i="2"/>
  <c r="Q75" i="2"/>
  <c r="O75" i="2"/>
  <c r="N75" i="2"/>
  <c r="M75" i="2"/>
  <c r="L75" i="2"/>
  <c r="K75" i="2"/>
  <c r="J75" i="2"/>
  <c r="I75" i="2"/>
  <c r="H75" i="2"/>
  <c r="G75" i="2"/>
  <c r="F75" i="2"/>
  <c r="E75" i="2"/>
  <c r="D75" i="2"/>
  <c r="V74" i="2"/>
  <c r="U74" i="2"/>
  <c r="T74" i="2"/>
  <c r="S74" i="2"/>
  <c r="Q74" i="2"/>
  <c r="O74" i="2"/>
  <c r="N74" i="2"/>
  <c r="M74" i="2"/>
  <c r="L74" i="2"/>
  <c r="K74" i="2"/>
  <c r="J74" i="2"/>
  <c r="I74" i="2"/>
  <c r="H74" i="2"/>
  <c r="G74" i="2"/>
  <c r="F74" i="2"/>
  <c r="E74" i="2"/>
  <c r="D74" i="2"/>
  <c r="W73" i="2"/>
  <c r="V73" i="2"/>
  <c r="U73" i="2"/>
  <c r="T73" i="2"/>
  <c r="S73" i="2"/>
  <c r="R73" i="2"/>
  <c r="O73" i="2"/>
  <c r="N73" i="2"/>
  <c r="M73" i="2"/>
  <c r="L73" i="2"/>
  <c r="K73" i="2"/>
  <c r="J73" i="2"/>
  <c r="I73" i="2"/>
  <c r="H73" i="2"/>
  <c r="G73" i="2"/>
  <c r="F73" i="2"/>
  <c r="E73" i="2"/>
  <c r="D73" i="2"/>
  <c r="W72" i="2"/>
  <c r="V72" i="2"/>
  <c r="U72" i="2"/>
  <c r="T72" i="2"/>
  <c r="S72" i="2"/>
  <c r="R72" i="2"/>
  <c r="P72" i="2"/>
  <c r="O72" i="2"/>
  <c r="N72" i="2"/>
  <c r="M72" i="2"/>
  <c r="L72" i="2"/>
  <c r="K72" i="2"/>
  <c r="J72" i="2"/>
  <c r="I72" i="2"/>
  <c r="H72" i="2"/>
  <c r="G72" i="2"/>
  <c r="F72" i="2"/>
  <c r="E72" i="2"/>
  <c r="D72" i="2"/>
  <c r="W71" i="2"/>
  <c r="V71" i="2"/>
  <c r="U71" i="2"/>
  <c r="T71" i="2"/>
  <c r="S71" i="2"/>
  <c r="O71" i="2"/>
  <c r="N71" i="2"/>
  <c r="M71" i="2"/>
  <c r="L71" i="2"/>
  <c r="K71" i="2"/>
  <c r="J71" i="2"/>
  <c r="I71" i="2"/>
  <c r="H71" i="2"/>
  <c r="G71" i="2"/>
  <c r="F71" i="2"/>
  <c r="E71" i="2"/>
  <c r="D71" i="2"/>
  <c r="W70" i="2"/>
  <c r="V70" i="2"/>
  <c r="U70" i="2"/>
  <c r="T70" i="2"/>
  <c r="S70" i="2"/>
  <c r="R70" i="2"/>
  <c r="Q70" i="2"/>
  <c r="O70" i="2"/>
  <c r="N70" i="2"/>
  <c r="M70" i="2"/>
  <c r="L70" i="2"/>
  <c r="K70" i="2"/>
  <c r="J70" i="2"/>
  <c r="I70" i="2"/>
  <c r="H70" i="2"/>
  <c r="G70" i="2"/>
  <c r="F70" i="2"/>
  <c r="E70" i="2"/>
  <c r="D70" i="2"/>
  <c r="V69" i="2"/>
  <c r="U69" i="2"/>
  <c r="T69" i="2"/>
  <c r="S69" i="2"/>
  <c r="R69" i="2"/>
  <c r="Q69" i="2"/>
  <c r="P69" i="2"/>
  <c r="O69" i="2"/>
  <c r="N69" i="2"/>
  <c r="M69" i="2"/>
  <c r="L69" i="2"/>
  <c r="K69" i="2"/>
  <c r="J69" i="2"/>
  <c r="I69" i="2"/>
  <c r="H69" i="2"/>
  <c r="G69" i="2"/>
  <c r="F69" i="2"/>
  <c r="E69" i="2"/>
  <c r="D69" i="2"/>
  <c r="V68" i="2"/>
  <c r="U68" i="2"/>
  <c r="T68" i="2"/>
  <c r="S68" i="2"/>
  <c r="R68" i="2"/>
  <c r="Q68" i="2"/>
  <c r="P68" i="2"/>
  <c r="O68" i="2"/>
  <c r="N68" i="2"/>
  <c r="M68" i="2"/>
  <c r="L68" i="2"/>
  <c r="K68" i="2"/>
  <c r="J68" i="2"/>
  <c r="I68" i="2"/>
  <c r="H68" i="2"/>
  <c r="G68" i="2"/>
  <c r="F68" i="2"/>
  <c r="E68" i="2"/>
  <c r="D68" i="2"/>
  <c r="V67" i="2"/>
  <c r="U67" i="2"/>
  <c r="T67" i="2"/>
  <c r="S67" i="2"/>
  <c r="R67" i="2"/>
  <c r="Q67" i="2"/>
  <c r="O67" i="2"/>
  <c r="N67" i="2"/>
  <c r="M67" i="2"/>
  <c r="L67" i="2"/>
  <c r="K67" i="2"/>
  <c r="J67" i="2"/>
  <c r="I67" i="2"/>
  <c r="H67" i="2"/>
  <c r="G67" i="2"/>
  <c r="F67" i="2"/>
  <c r="E67" i="2"/>
  <c r="D67" i="2"/>
  <c r="V66" i="2"/>
  <c r="U66" i="2"/>
  <c r="T66" i="2"/>
  <c r="S66" i="2"/>
  <c r="R66" i="2"/>
  <c r="Q66" i="2"/>
  <c r="P66" i="2"/>
  <c r="O66" i="2"/>
  <c r="N66" i="2"/>
  <c r="M66" i="2"/>
  <c r="L66" i="2"/>
  <c r="K66" i="2"/>
  <c r="J66" i="2"/>
  <c r="I66" i="2"/>
  <c r="H66" i="2"/>
  <c r="G66" i="2"/>
  <c r="F66" i="2"/>
  <c r="E66" i="2"/>
  <c r="D66" i="2"/>
  <c r="V65" i="2"/>
  <c r="U65" i="2"/>
  <c r="T65" i="2"/>
  <c r="S65" i="2"/>
  <c r="Q65" i="2"/>
  <c r="P65" i="2"/>
  <c r="O65" i="2"/>
  <c r="N65" i="2"/>
  <c r="M65" i="2"/>
  <c r="L65" i="2"/>
  <c r="K65" i="2"/>
  <c r="J65" i="2"/>
  <c r="I65" i="2"/>
  <c r="H65" i="2"/>
  <c r="G65" i="2"/>
  <c r="F65" i="2"/>
  <c r="E65" i="2"/>
  <c r="D65" i="2"/>
  <c r="W64" i="2"/>
  <c r="V64" i="2"/>
  <c r="U64" i="2"/>
  <c r="T64" i="2"/>
  <c r="S64" i="2"/>
  <c r="Q64" i="2"/>
  <c r="O64" i="2"/>
  <c r="N64" i="2"/>
  <c r="M64" i="2"/>
  <c r="L64" i="2"/>
  <c r="K64" i="2"/>
  <c r="J64" i="2"/>
  <c r="I64" i="2"/>
  <c r="H64" i="2"/>
  <c r="G64" i="2"/>
  <c r="F64" i="2"/>
  <c r="E64" i="2"/>
  <c r="D64" i="2"/>
  <c r="W63" i="2"/>
  <c r="V63" i="2"/>
  <c r="U63" i="2"/>
  <c r="T63" i="2"/>
  <c r="S63" i="2"/>
  <c r="Q63" i="2"/>
  <c r="O63" i="2"/>
  <c r="N63" i="2"/>
  <c r="M63" i="2"/>
  <c r="L63" i="2"/>
  <c r="K63" i="2"/>
  <c r="J63" i="2"/>
  <c r="I63" i="2"/>
  <c r="H63" i="2"/>
  <c r="G63" i="2"/>
  <c r="F63" i="2"/>
  <c r="E63" i="2"/>
  <c r="D63" i="2"/>
  <c r="W62" i="2"/>
  <c r="V62" i="2"/>
  <c r="U62" i="2"/>
  <c r="T62" i="2"/>
  <c r="S62" i="2"/>
  <c r="Q62" i="2"/>
  <c r="O62" i="2"/>
  <c r="N62" i="2"/>
  <c r="M62" i="2"/>
  <c r="L62" i="2"/>
  <c r="K62" i="2"/>
  <c r="J62" i="2"/>
  <c r="I62" i="2"/>
  <c r="H62" i="2"/>
  <c r="G62" i="2"/>
  <c r="F62" i="2"/>
  <c r="E62" i="2"/>
  <c r="D62" i="2"/>
  <c r="W61" i="2"/>
  <c r="V61" i="2"/>
  <c r="U61" i="2"/>
  <c r="T61" i="2"/>
  <c r="S61" i="2"/>
  <c r="R61" i="2"/>
  <c r="P61" i="2"/>
  <c r="O61" i="2"/>
  <c r="N61" i="2"/>
  <c r="M61" i="2"/>
  <c r="L61" i="2"/>
  <c r="K61" i="2"/>
  <c r="J61" i="2"/>
  <c r="I61" i="2"/>
  <c r="H61" i="2"/>
  <c r="G61" i="2"/>
  <c r="F61" i="2"/>
  <c r="E61" i="2"/>
  <c r="D61" i="2"/>
  <c r="W60" i="2"/>
  <c r="V60" i="2"/>
  <c r="U60" i="2"/>
  <c r="T60" i="2"/>
  <c r="S60" i="2"/>
  <c r="R60" i="2"/>
  <c r="P60" i="2"/>
  <c r="O60" i="2"/>
  <c r="N60" i="2"/>
  <c r="M60" i="2"/>
  <c r="L60" i="2"/>
  <c r="K60" i="2"/>
  <c r="J60" i="2"/>
  <c r="I60" i="2"/>
  <c r="H60" i="2"/>
  <c r="G60" i="2"/>
  <c r="F60" i="2"/>
  <c r="E60" i="2"/>
  <c r="D60" i="2"/>
  <c r="W59" i="2"/>
  <c r="V59" i="2"/>
  <c r="U59" i="2"/>
  <c r="T59" i="2"/>
  <c r="S59" i="2"/>
  <c r="R59" i="2"/>
  <c r="P59" i="2"/>
  <c r="O59" i="2"/>
  <c r="N59" i="2"/>
  <c r="M59" i="2"/>
  <c r="L59" i="2"/>
  <c r="K59" i="2"/>
  <c r="J59" i="2"/>
  <c r="I59" i="2"/>
  <c r="H59" i="2"/>
  <c r="G59" i="2"/>
  <c r="F59" i="2"/>
  <c r="E59" i="2"/>
  <c r="D59" i="2"/>
  <c r="V58" i="2"/>
  <c r="U58" i="2"/>
  <c r="T58" i="2"/>
  <c r="S58" i="2"/>
  <c r="R58" i="2"/>
  <c r="O58" i="2"/>
  <c r="N58" i="2"/>
  <c r="M58" i="2"/>
  <c r="L58" i="2"/>
  <c r="K58" i="2"/>
  <c r="J58" i="2"/>
  <c r="I58" i="2"/>
  <c r="H58" i="2"/>
  <c r="G58" i="2"/>
  <c r="F58" i="2"/>
  <c r="E58" i="2"/>
  <c r="D58" i="2"/>
  <c r="W57" i="2"/>
  <c r="V57" i="2"/>
  <c r="U57" i="2"/>
  <c r="T57" i="2"/>
  <c r="S57" i="2"/>
  <c r="R57" i="2"/>
  <c r="P57" i="2"/>
  <c r="O57" i="2"/>
  <c r="N57" i="2"/>
  <c r="M57" i="2"/>
  <c r="L57" i="2"/>
  <c r="K57" i="2"/>
  <c r="J57" i="2"/>
  <c r="I57" i="2"/>
  <c r="H57" i="2"/>
  <c r="G57" i="2"/>
  <c r="F57" i="2"/>
  <c r="E57" i="2"/>
  <c r="D57" i="2"/>
  <c r="V56" i="2"/>
  <c r="U56" i="2"/>
  <c r="T56" i="2"/>
  <c r="S56" i="2"/>
  <c r="R56" i="2"/>
  <c r="O56" i="2"/>
  <c r="N56" i="2"/>
  <c r="M56" i="2"/>
  <c r="L56" i="2"/>
  <c r="K56" i="2"/>
  <c r="J56" i="2"/>
  <c r="I56" i="2"/>
  <c r="H56" i="2"/>
  <c r="G56" i="2"/>
  <c r="F56" i="2"/>
  <c r="E56" i="2"/>
  <c r="D56" i="2"/>
  <c r="W55" i="2"/>
  <c r="V55" i="2"/>
  <c r="U55" i="2"/>
  <c r="T55" i="2"/>
  <c r="S55" i="2"/>
  <c r="R55" i="2"/>
  <c r="Q55" i="2"/>
  <c r="O55" i="2"/>
  <c r="N55" i="2"/>
  <c r="M55" i="2"/>
  <c r="L55" i="2"/>
  <c r="K55" i="2"/>
  <c r="J55" i="2"/>
  <c r="I55" i="2"/>
  <c r="H55" i="2"/>
  <c r="G55" i="2"/>
  <c r="F55" i="2"/>
  <c r="E55" i="2"/>
  <c r="D55" i="2"/>
  <c r="W54" i="2"/>
  <c r="V54" i="2"/>
  <c r="U54" i="2"/>
  <c r="T54" i="2"/>
  <c r="S54" i="2"/>
  <c r="R54" i="2"/>
  <c r="Q54" i="2"/>
  <c r="O54" i="2"/>
  <c r="N54" i="2"/>
  <c r="M54" i="2"/>
  <c r="L54" i="2"/>
  <c r="K54" i="2"/>
  <c r="J54" i="2"/>
  <c r="I54" i="2"/>
  <c r="H54" i="2"/>
  <c r="G54" i="2"/>
  <c r="F54" i="2"/>
  <c r="E54" i="2"/>
  <c r="D54" i="2"/>
  <c r="V53" i="2"/>
  <c r="U53" i="2"/>
  <c r="T53" i="2"/>
  <c r="S53" i="2"/>
  <c r="R53" i="2"/>
  <c r="Q53" i="2"/>
  <c r="O53" i="2"/>
  <c r="N53" i="2"/>
  <c r="M53" i="2"/>
  <c r="L53" i="2"/>
  <c r="K53" i="2"/>
  <c r="J53" i="2"/>
  <c r="I53" i="2"/>
  <c r="H53" i="2"/>
  <c r="G53" i="2"/>
  <c r="F53" i="2"/>
  <c r="E53" i="2"/>
  <c r="D53" i="2"/>
  <c r="V52" i="2"/>
  <c r="U52" i="2"/>
  <c r="T52" i="2"/>
  <c r="S52" i="2"/>
  <c r="Q52" i="2"/>
  <c r="P52" i="2"/>
  <c r="O52" i="2"/>
  <c r="N52" i="2"/>
  <c r="M52" i="2"/>
  <c r="L52" i="2"/>
  <c r="K52" i="2"/>
  <c r="J52" i="2"/>
  <c r="I52" i="2"/>
  <c r="H52" i="2"/>
  <c r="G52" i="2"/>
  <c r="F52" i="2"/>
  <c r="E52" i="2"/>
  <c r="D52" i="2"/>
  <c r="V51" i="2"/>
  <c r="U51" i="2"/>
  <c r="T51" i="2"/>
  <c r="S51" i="2"/>
  <c r="R51" i="2"/>
  <c r="O51" i="2"/>
  <c r="N51" i="2"/>
  <c r="M51" i="2"/>
  <c r="L51" i="2"/>
  <c r="K51" i="2"/>
  <c r="J51" i="2"/>
  <c r="I51" i="2"/>
  <c r="H51" i="2"/>
  <c r="G51" i="2"/>
  <c r="F51" i="2"/>
  <c r="E51" i="2"/>
  <c r="D51" i="2"/>
  <c r="V50" i="2"/>
  <c r="U50" i="2"/>
  <c r="T50" i="2"/>
  <c r="S50" i="2"/>
  <c r="R50" i="2"/>
  <c r="O50" i="2"/>
  <c r="N50" i="2"/>
  <c r="M50" i="2"/>
  <c r="L50" i="2"/>
  <c r="K50" i="2"/>
  <c r="J50" i="2"/>
  <c r="I50" i="2"/>
  <c r="H50" i="2"/>
  <c r="G50" i="2"/>
  <c r="F50" i="2"/>
  <c r="E50" i="2"/>
  <c r="D50" i="2"/>
  <c r="V49" i="2"/>
  <c r="U49" i="2"/>
  <c r="T49" i="2"/>
  <c r="S49" i="2"/>
  <c r="P49" i="2"/>
  <c r="O49" i="2"/>
  <c r="N49" i="2"/>
  <c r="M49" i="2"/>
  <c r="L49" i="2"/>
  <c r="K49" i="2"/>
  <c r="J49" i="2"/>
  <c r="I49" i="2"/>
  <c r="H49" i="2"/>
  <c r="G49" i="2"/>
  <c r="F49" i="2"/>
  <c r="E49" i="2"/>
  <c r="D49" i="2"/>
  <c r="V48" i="2"/>
  <c r="U48" i="2"/>
  <c r="T48" i="2"/>
  <c r="S48" i="2"/>
  <c r="O48" i="2"/>
  <c r="N48" i="2"/>
  <c r="M48" i="2"/>
  <c r="L48" i="2"/>
  <c r="K48" i="2"/>
  <c r="J48" i="2"/>
  <c r="I48" i="2"/>
  <c r="H48" i="2"/>
  <c r="G48" i="2"/>
  <c r="F48" i="2"/>
  <c r="E48" i="2"/>
  <c r="D48" i="2"/>
  <c r="V47" i="2"/>
  <c r="U47" i="2"/>
  <c r="T47" i="2"/>
  <c r="S47" i="2"/>
  <c r="P47" i="2"/>
  <c r="O47" i="2"/>
  <c r="N47" i="2"/>
  <c r="M47" i="2"/>
  <c r="L47" i="2"/>
  <c r="K47" i="2"/>
  <c r="J47" i="2"/>
  <c r="I47" i="2"/>
  <c r="H47" i="2"/>
  <c r="G47" i="2"/>
  <c r="F47" i="2"/>
  <c r="E47" i="2"/>
  <c r="D47" i="2"/>
  <c r="W46" i="2"/>
  <c r="V46" i="2"/>
  <c r="U46" i="2"/>
  <c r="T46" i="2"/>
  <c r="S46" i="2"/>
  <c r="P46" i="2"/>
  <c r="O46" i="2"/>
  <c r="N46" i="2"/>
  <c r="M46" i="2"/>
  <c r="L46" i="2"/>
  <c r="K46" i="2"/>
  <c r="J46" i="2"/>
  <c r="I46" i="2"/>
  <c r="H46" i="2"/>
  <c r="G46" i="2"/>
  <c r="F46" i="2"/>
  <c r="E46" i="2"/>
  <c r="D46" i="2"/>
  <c r="W45" i="2"/>
  <c r="V45" i="2"/>
  <c r="U45" i="2"/>
  <c r="T45" i="2"/>
  <c r="S45" i="2"/>
  <c r="R45" i="2"/>
  <c r="Q45" i="2"/>
  <c r="P45" i="2"/>
  <c r="O45" i="2"/>
  <c r="N45" i="2"/>
  <c r="M45" i="2"/>
  <c r="L45" i="2"/>
  <c r="K45" i="2"/>
  <c r="J45" i="2"/>
  <c r="I45" i="2"/>
  <c r="H45" i="2"/>
  <c r="G45" i="2"/>
  <c r="F45" i="2"/>
  <c r="E45" i="2"/>
  <c r="D45" i="2"/>
  <c r="W44" i="2"/>
  <c r="V44" i="2"/>
  <c r="U44" i="2"/>
  <c r="T44" i="2"/>
  <c r="S44" i="2"/>
  <c r="Q44" i="2"/>
  <c r="P44" i="2"/>
  <c r="O44" i="2"/>
  <c r="N44" i="2"/>
  <c r="M44" i="2"/>
  <c r="L44" i="2"/>
  <c r="K44" i="2"/>
  <c r="J44" i="2"/>
  <c r="I44" i="2"/>
  <c r="H44" i="2"/>
  <c r="G44" i="2"/>
  <c r="F44" i="2"/>
  <c r="E44" i="2"/>
  <c r="D44" i="2"/>
  <c r="W43" i="2"/>
  <c r="V43" i="2"/>
  <c r="U43" i="2"/>
  <c r="T43" i="2"/>
  <c r="S43" i="2"/>
  <c r="R43" i="2"/>
  <c r="Q43" i="2"/>
  <c r="P43" i="2"/>
  <c r="O43" i="2"/>
  <c r="N43" i="2"/>
  <c r="M43" i="2"/>
  <c r="L43" i="2"/>
  <c r="K43" i="2"/>
  <c r="J43" i="2"/>
  <c r="I43" i="2"/>
  <c r="H43" i="2"/>
  <c r="G43" i="2"/>
  <c r="F43" i="2"/>
  <c r="E43" i="2"/>
  <c r="D43" i="2"/>
  <c r="V42" i="2"/>
  <c r="U42" i="2"/>
  <c r="T42" i="2"/>
  <c r="S42" i="2"/>
  <c r="Q42" i="2"/>
  <c r="P42" i="2"/>
  <c r="O42" i="2"/>
  <c r="N42" i="2"/>
  <c r="M42" i="2"/>
  <c r="L42" i="2"/>
  <c r="K42" i="2"/>
  <c r="J42" i="2"/>
  <c r="I42" i="2"/>
  <c r="H42" i="2"/>
  <c r="G42" i="2"/>
  <c r="F42" i="2"/>
  <c r="E42" i="2"/>
  <c r="D42" i="2"/>
  <c r="V41" i="2"/>
  <c r="U41" i="2"/>
  <c r="T41" i="2"/>
  <c r="S41" i="2"/>
  <c r="Q41" i="2"/>
  <c r="P41" i="2"/>
  <c r="O41" i="2"/>
  <c r="N41" i="2"/>
  <c r="M41" i="2"/>
  <c r="L41" i="2"/>
  <c r="K41" i="2"/>
  <c r="J41" i="2"/>
  <c r="I41" i="2"/>
  <c r="H41" i="2"/>
  <c r="G41" i="2"/>
  <c r="F41" i="2"/>
  <c r="E41" i="2"/>
  <c r="D41" i="2"/>
  <c r="W40" i="2"/>
  <c r="V40" i="2"/>
  <c r="U40" i="2"/>
  <c r="T40" i="2"/>
  <c r="S40" i="2"/>
  <c r="R40" i="2"/>
  <c r="Q40" i="2"/>
  <c r="P40" i="2"/>
  <c r="O40" i="2"/>
  <c r="N40" i="2"/>
  <c r="M40" i="2"/>
  <c r="L40" i="2"/>
  <c r="K40" i="2"/>
  <c r="J40" i="2"/>
  <c r="I40" i="2"/>
  <c r="H40" i="2"/>
  <c r="G40" i="2"/>
  <c r="F40" i="2"/>
  <c r="E40" i="2"/>
  <c r="D40" i="2"/>
  <c r="V39" i="2"/>
  <c r="U39" i="2"/>
  <c r="T39" i="2"/>
  <c r="S39" i="2"/>
  <c r="R39" i="2"/>
  <c r="Q39" i="2"/>
  <c r="P39" i="2"/>
  <c r="O39" i="2"/>
  <c r="N39" i="2"/>
  <c r="M39" i="2"/>
  <c r="L39" i="2"/>
  <c r="K39" i="2"/>
  <c r="J39" i="2"/>
  <c r="I39" i="2"/>
  <c r="H39" i="2"/>
  <c r="G39" i="2"/>
  <c r="F39" i="2"/>
  <c r="E39" i="2"/>
  <c r="D39" i="2"/>
  <c r="V38" i="2"/>
  <c r="U38" i="2"/>
  <c r="T38" i="2"/>
  <c r="S38" i="2"/>
  <c r="O38" i="2"/>
  <c r="N38" i="2"/>
  <c r="M38" i="2"/>
  <c r="L38" i="2"/>
  <c r="K38" i="2"/>
  <c r="J38" i="2"/>
  <c r="I38" i="2"/>
  <c r="H38" i="2"/>
  <c r="G38" i="2"/>
  <c r="F38" i="2"/>
  <c r="E38" i="2"/>
  <c r="D38" i="2"/>
  <c r="W37" i="2"/>
  <c r="V37" i="2"/>
  <c r="U37" i="2"/>
  <c r="T37" i="2"/>
  <c r="S37" i="2"/>
  <c r="O37" i="2"/>
  <c r="N37" i="2"/>
  <c r="M37" i="2"/>
  <c r="L37" i="2"/>
  <c r="K37" i="2"/>
  <c r="J37" i="2"/>
  <c r="I37" i="2"/>
  <c r="H37" i="2"/>
  <c r="G37" i="2"/>
  <c r="F37" i="2"/>
  <c r="E37" i="2"/>
  <c r="D37" i="2"/>
  <c r="V36" i="2"/>
  <c r="U36" i="2"/>
  <c r="T36" i="2"/>
  <c r="S36" i="2"/>
  <c r="Q36" i="2"/>
  <c r="O36" i="2"/>
  <c r="N36" i="2"/>
  <c r="M36" i="2"/>
  <c r="L36" i="2"/>
  <c r="K36" i="2"/>
  <c r="J36" i="2"/>
  <c r="I36" i="2"/>
  <c r="H36" i="2"/>
  <c r="G36" i="2"/>
  <c r="F36" i="2"/>
  <c r="E36" i="2"/>
  <c r="D36" i="2"/>
  <c r="W35" i="2"/>
  <c r="V35" i="2"/>
  <c r="U35" i="2"/>
  <c r="T35" i="2"/>
  <c r="S35" i="2"/>
  <c r="Q35" i="2"/>
  <c r="O35" i="2"/>
  <c r="N35" i="2"/>
  <c r="M35" i="2"/>
  <c r="L35" i="2"/>
  <c r="K35" i="2"/>
  <c r="J35" i="2"/>
  <c r="I35" i="2"/>
  <c r="H35" i="2"/>
  <c r="G35" i="2"/>
  <c r="F35" i="2"/>
  <c r="E35" i="2"/>
  <c r="D35" i="2"/>
  <c r="W34" i="2"/>
  <c r="V34" i="2"/>
  <c r="U34" i="2"/>
  <c r="T34" i="2"/>
  <c r="S34" i="2"/>
  <c r="Q34" i="2"/>
  <c r="O34" i="2"/>
  <c r="N34" i="2"/>
  <c r="M34" i="2"/>
  <c r="L34" i="2"/>
  <c r="K34" i="2"/>
  <c r="J34" i="2"/>
  <c r="I34" i="2"/>
  <c r="H34" i="2"/>
  <c r="G34" i="2"/>
  <c r="F34" i="2"/>
  <c r="E34" i="2"/>
  <c r="D34" i="2"/>
  <c r="W33" i="2"/>
  <c r="V33" i="2"/>
  <c r="U33" i="2"/>
  <c r="T33" i="2"/>
  <c r="S33" i="2"/>
  <c r="P33" i="2"/>
  <c r="O33" i="2"/>
  <c r="N33" i="2"/>
  <c r="M33" i="2"/>
  <c r="L33" i="2"/>
  <c r="K33" i="2"/>
  <c r="J33" i="2"/>
  <c r="I33" i="2"/>
  <c r="H33" i="2"/>
  <c r="G33" i="2"/>
  <c r="F33" i="2"/>
  <c r="E33" i="2"/>
  <c r="D33" i="2"/>
  <c r="W32" i="2"/>
  <c r="V32" i="2"/>
  <c r="U32" i="2"/>
  <c r="T32" i="2"/>
  <c r="S32" i="2"/>
  <c r="O32" i="2"/>
  <c r="N32" i="2"/>
  <c r="M32" i="2"/>
  <c r="L32" i="2"/>
  <c r="K32" i="2"/>
  <c r="J32" i="2"/>
  <c r="I32" i="2"/>
  <c r="H32" i="2"/>
  <c r="G32" i="2"/>
  <c r="F32" i="2"/>
  <c r="E32" i="2"/>
  <c r="D32" i="2"/>
  <c r="V31" i="2"/>
  <c r="U31" i="2"/>
  <c r="T31" i="2"/>
  <c r="S31" i="2"/>
  <c r="Q31" i="2"/>
  <c r="P31" i="2"/>
  <c r="O31" i="2"/>
  <c r="N31" i="2"/>
  <c r="M31" i="2"/>
  <c r="L31" i="2"/>
  <c r="K31" i="2"/>
  <c r="J31" i="2"/>
  <c r="I31" i="2"/>
  <c r="H31" i="2"/>
  <c r="G31" i="2"/>
  <c r="F31" i="2"/>
  <c r="E31" i="2"/>
  <c r="D31" i="2"/>
  <c r="W30" i="2"/>
  <c r="V30" i="2"/>
  <c r="U30" i="2"/>
  <c r="T30" i="2"/>
  <c r="S30" i="2"/>
  <c r="R30" i="2"/>
  <c r="Q30" i="2"/>
  <c r="P30" i="2"/>
  <c r="O30" i="2"/>
  <c r="N30" i="2"/>
  <c r="M30" i="2"/>
  <c r="L30" i="2"/>
  <c r="K30" i="2"/>
  <c r="J30" i="2"/>
  <c r="I30" i="2"/>
  <c r="H30" i="2"/>
  <c r="G30" i="2"/>
  <c r="F30" i="2"/>
  <c r="E30" i="2"/>
  <c r="D30" i="2"/>
  <c r="W29" i="2"/>
  <c r="V29" i="2"/>
  <c r="U29" i="2"/>
  <c r="T29" i="2"/>
  <c r="S29" i="2"/>
  <c r="Q29" i="2"/>
  <c r="P29" i="2"/>
  <c r="O29" i="2"/>
  <c r="N29" i="2"/>
  <c r="M29" i="2"/>
  <c r="L29" i="2"/>
  <c r="K29" i="2"/>
  <c r="J29" i="2"/>
  <c r="I29" i="2"/>
  <c r="H29" i="2"/>
  <c r="G29" i="2"/>
  <c r="F29" i="2"/>
  <c r="E29" i="2"/>
  <c r="D29" i="2"/>
  <c r="W28" i="2"/>
  <c r="V28" i="2"/>
  <c r="U28" i="2"/>
  <c r="T28" i="2"/>
  <c r="S28" i="2"/>
  <c r="R28" i="2"/>
  <c r="Q28" i="2"/>
  <c r="P28" i="2"/>
  <c r="O28" i="2"/>
  <c r="N28" i="2"/>
  <c r="M28" i="2"/>
  <c r="L28" i="2"/>
  <c r="K28" i="2"/>
  <c r="J28" i="2"/>
  <c r="I28" i="2"/>
  <c r="H28" i="2"/>
  <c r="G28" i="2"/>
  <c r="F28" i="2"/>
  <c r="E28" i="2"/>
  <c r="D28" i="2"/>
  <c r="W27" i="2"/>
  <c r="V27" i="2"/>
  <c r="U27" i="2"/>
  <c r="T27" i="2"/>
  <c r="S27" i="2"/>
  <c r="R27" i="2"/>
  <c r="O27" i="2"/>
  <c r="N27" i="2"/>
  <c r="M27" i="2"/>
  <c r="L27" i="2"/>
  <c r="K27" i="2"/>
  <c r="J27" i="2"/>
  <c r="I27" i="2"/>
  <c r="H27" i="2"/>
  <c r="G27" i="2"/>
  <c r="F27" i="2"/>
  <c r="E27" i="2"/>
  <c r="D27" i="2"/>
  <c r="V26" i="2"/>
  <c r="U26" i="2"/>
  <c r="T26" i="2"/>
  <c r="S26" i="2"/>
  <c r="R26" i="2"/>
  <c r="P26" i="2"/>
  <c r="O26" i="2"/>
  <c r="N26" i="2"/>
  <c r="M26" i="2"/>
  <c r="L26" i="2"/>
  <c r="K26" i="2"/>
  <c r="J26" i="2"/>
  <c r="I26" i="2"/>
  <c r="H26" i="2"/>
  <c r="G26" i="2"/>
  <c r="F26" i="2"/>
  <c r="E26" i="2"/>
  <c r="D26" i="2"/>
  <c r="V25" i="2"/>
  <c r="U25" i="2"/>
  <c r="T25" i="2"/>
  <c r="S25" i="2"/>
  <c r="R25" i="2"/>
  <c r="O25" i="2"/>
  <c r="N25" i="2"/>
  <c r="M25" i="2"/>
  <c r="L25" i="2"/>
  <c r="K25" i="2"/>
  <c r="J25" i="2"/>
  <c r="I25" i="2"/>
  <c r="H25" i="2"/>
  <c r="G25" i="2"/>
  <c r="F25" i="2"/>
  <c r="E25" i="2"/>
  <c r="D25" i="2"/>
  <c r="V24" i="2"/>
  <c r="U24" i="2"/>
  <c r="T24" i="2"/>
  <c r="S24" i="2"/>
  <c r="R24" i="2"/>
  <c r="Q24" i="2"/>
  <c r="P24" i="2"/>
  <c r="O24" i="2"/>
  <c r="N24" i="2"/>
  <c r="M24" i="2"/>
  <c r="L24" i="2"/>
  <c r="K24" i="2"/>
  <c r="J24" i="2"/>
  <c r="I24" i="2"/>
  <c r="H24" i="2"/>
  <c r="G24" i="2"/>
  <c r="F24" i="2"/>
  <c r="E24" i="2"/>
  <c r="D24" i="2"/>
  <c r="W23" i="2"/>
  <c r="V23" i="2"/>
  <c r="U23" i="2"/>
  <c r="T23" i="2"/>
  <c r="S23" i="2"/>
  <c r="R23" i="2"/>
  <c r="O23" i="2"/>
  <c r="N23" i="2"/>
  <c r="M23" i="2"/>
  <c r="L23" i="2"/>
  <c r="K23" i="2"/>
  <c r="J23" i="2"/>
  <c r="I23" i="2"/>
  <c r="H23" i="2"/>
  <c r="G23" i="2"/>
  <c r="F23" i="2"/>
  <c r="E23" i="2"/>
  <c r="D23" i="2"/>
  <c r="W22" i="2"/>
  <c r="V22" i="2"/>
  <c r="U22" i="2"/>
  <c r="T22" i="2"/>
  <c r="S22" i="2"/>
  <c r="R22" i="2"/>
  <c r="P22" i="2"/>
  <c r="O22" i="2"/>
  <c r="N22" i="2"/>
  <c r="M22" i="2"/>
  <c r="L22" i="2"/>
  <c r="K22" i="2"/>
  <c r="J22" i="2"/>
  <c r="I22" i="2"/>
  <c r="H22" i="2"/>
  <c r="G22" i="2"/>
  <c r="F22" i="2"/>
  <c r="E22" i="2"/>
  <c r="D22" i="2"/>
  <c r="W21" i="2"/>
  <c r="V21" i="2"/>
  <c r="U21" i="2"/>
  <c r="T21" i="2"/>
  <c r="S21" i="2"/>
  <c r="R21" i="2"/>
  <c r="O21" i="2"/>
  <c r="N21" i="2"/>
  <c r="M21" i="2"/>
  <c r="L21" i="2"/>
  <c r="K21" i="2"/>
  <c r="J21" i="2"/>
  <c r="I21" i="2"/>
  <c r="H21" i="2"/>
  <c r="G21" i="2"/>
  <c r="F21" i="2"/>
  <c r="E21" i="2"/>
  <c r="D21" i="2"/>
  <c r="W20" i="2"/>
  <c r="V20" i="2"/>
  <c r="U20" i="2"/>
  <c r="T20" i="2"/>
  <c r="S20" i="2"/>
  <c r="Q20" i="2"/>
  <c r="O20" i="2"/>
  <c r="N20" i="2"/>
  <c r="M20" i="2"/>
  <c r="L20" i="2"/>
  <c r="K20" i="2"/>
  <c r="J20" i="2"/>
  <c r="I20" i="2"/>
  <c r="H20" i="2"/>
  <c r="G20" i="2"/>
  <c r="F20" i="2"/>
  <c r="E20" i="2"/>
  <c r="D20" i="2"/>
  <c r="W19" i="2"/>
  <c r="V19" i="2"/>
  <c r="U19" i="2"/>
  <c r="T19" i="2"/>
  <c r="S19" i="2"/>
  <c r="R19" i="2"/>
  <c r="Q19" i="2"/>
  <c r="P19" i="2"/>
  <c r="O19" i="2"/>
  <c r="N19" i="2"/>
  <c r="M19" i="2"/>
  <c r="L19" i="2"/>
  <c r="K19" i="2"/>
  <c r="J19" i="2"/>
  <c r="I19" i="2"/>
  <c r="H19" i="2"/>
  <c r="G19" i="2"/>
  <c r="F19" i="2"/>
  <c r="E19" i="2"/>
  <c r="D19" i="2"/>
  <c r="W18" i="2"/>
  <c r="V18" i="2"/>
  <c r="U18" i="2"/>
  <c r="T18" i="2"/>
  <c r="S18" i="2"/>
  <c r="R18" i="2"/>
  <c r="Q18" i="2"/>
  <c r="P18" i="2"/>
  <c r="O18" i="2"/>
  <c r="N18" i="2"/>
  <c r="M18" i="2"/>
  <c r="L18" i="2"/>
  <c r="K18" i="2"/>
  <c r="J18" i="2"/>
  <c r="I18" i="2"/>
  <c r="H18" i="2"/>
  <c r="G18" i="2"/>
  <c r="F18" i="2"/>
  <c r="E18" i="2"/>
  <c r="D18" i="2"/>
  <c r="W17" i="2"/>
  <c r="V17" i="2"/>
  <c r="U17" i="2"/>
  <c r="T17" i="2"/>
  <c r="S17" i="2"/>
  <c r="Q17" i="2"/>
  <c r="P17" i="2"/>
  <c r="O17" i="2"/>
  <c r="N17" i="2"/>
  <c r="M17" i="2"/>
  <c r="L17" i="2"/>
  <c r="K17" i="2"/>
  <c r="J17" i="2"/>
  <c r="I17" i="2"/>
  <c r="H17" i="2"/>
  <c r="G17" i="2"/>
  <c r="F17" i="2"/>
  <c r="E17" i="2"/>
  <c r="D17" i="2"/>
  <c r="V16" i="2"/>
  <c r="U16" i="2"/>
  <c r="T16" i="2"/>
  <c r="S16" i="2"/>
  <c r="Q16" i="2"/>
  <c r="P16" i="2"/>
  <c r="O16" i="2"/>
  <c r="N16" i="2"/>
  <c r="M16" i="2"/>
  <c r="L16" i="2"/>
  <c r="K16" i="2"/>
  <c r="J16" i="2"/>
  <c r="I16" i="2"/>
  <c r="H16" i="2"/>
  <c r="G16" i="2"/>
  <c r="F16" i="2"/>
  <c r="E16" i="2"/>
  <c r="D16" i="2"/>
  <c r="V15" i="2"/>
  <c r="U15" i="2"/>
  <c r="T15" i="2"/>
  <c r="S15" i="2"/>
  <c r="P15" i="2"/>
  <c r="O15" i="2"/>
  <c r="N15" i="2"/>
  <c r="M15" i="2"/>
  <c r="L15" i="2"/>
  <c r="K15" i="2"/>
  <c r="J15" i="2"/>
  <c r="I15" i="2"/>
  <c r="H15" i="2"/>
  <c r="G15" i="2"/>
  <c r="F15" i="2"/>
  <c r="E15" i="2"/>
  <c r="D15" i="2"/>
  <c r="V14" i="2"/>
  <c r="U14" i="2"/>
  <c r="T14" i="2"/>
  <c r="S14" i="2"/>
  <c r="Q14" i="2"/>
  <c r="O14" i="2"/>
  <c r="N14" i="2"/>
  <c r="M14" i="2"/>
  <c r="L14" i="2"/>
  <c r="K14" i="2"/>
  <c r="J14" i="2"/>
  <c r="I14" i="2"/>
  <c r="H14" i="2"/>
  <c r="G14" i="2"/>
  <c r="F14" i="2"/>
  <c r="E14" i="2"/>
  <c r="D14" i="2"/>
  <c r="V13" i="2"/>
  <c r="U13" i="2"/>
  <c r="T13" i="2"/>
  <c r="S13" i="2"/>
  <c r="R13" i="2"/>
  <c r="Q13" i="2"/>
  <c r="O13" i="2"/>
  <c r="N13" i="2"/>
  <c r="M13" i="2"/>
  <c r="L13" i="2"/>
  <c r="K13" i="2"/>
  <c r="J13" i="2"/>
  <c r="I13" i="2"/>
  <c r="H13" i="2"/>
  <c r="G13" i="2"/>
  <c r="F13" i="2"/>
  <c r="E13" i="2"/>
  <c r="D13" i="2"/>
  <c r="V12" i="2"/>
  <c r="U12" i="2"/>
  <c r="T12" i="2"/>
  <c r="S12" i="2"/>
  <c r="R12" i="2"/>
  <c r="Q12" i="2"/>
  <c r="P12" i="2"/>
  <c r="O12" i="2"/>
  <c r="N12" i="2"/>
  <c r="M12" i="2"/>
  <c r="L12" i="2"/>
  <c r="K12" i="2"/>
  <c r="J12" i="2"/>
  <c r="I12" i="2"/>
  <c r="H12" i="2"/>
  <c r="G12" i="2"/>
  <c r="F12" i="2"/>
  <c r="E12" i="2"/>
  <c r="D12" i="2"/>
  <c r="W11" i="2"/>
  <c r="V11" i="2"/>
  <c r="U11" i="2"/>
  <c r="T11" i="2"/>
  <c r="S11" i="2"/>
  <c r="R11" i="2"/>
  <c r="Q11" i="2"/>
  <c r="P11" i="2"/>
  <c r="O11" i="2"/>
  <c r="N11" i="2"/>
  <c r="M11" i="2"/>
  <c r="L11" i="2"/>
  <c r="K11" i="2"/>
  <c r="J11" i="2"/>
  <c r="I11" i="2"/>
  <c r="H11" i="2"/>
  <c r="G11" i="2"/>
  <c r="F11" i="2"/>
  <c r="E11" i="2"/>
  <c r="D11" i="2"/>
  <c r="W10" i="2"/>
  <c r="V10" i="2"/>
  <c r="U10" i="2"/>
  <c r="T10" i="2"/>
  <c r="S10" i="2"/>
  <c r="R10" i="2"/>
  <c r="Q10" i="2"/>
  <c r="P10" i="2"/>
  <c r="O10" i="2"/>
  <c r="N10" i="2"/>
  <c r="M10" i="2"/>
  <c r="L10" i="2"/>
  <c r="K10" i="2"/>
  <c r="J10" i="2"/>
  <c r="I10" i="2"/>
  <c r="H10" i="2"/>
  <c r="G10" i="2"/>
  <c r="F10" i="2"/>
  <c r="E10" i="2"/>
  <c r="D10" i="2"/>
  <c r="W9" i="2"/>
  <c r="V9" i="2"/>
  <c r="U9" i="2"/>
  <c r="T9" i="2"/>
  <c r="S9" i="2"/>
  <c r="O9" i="2"/>
  <c r="N9" i="2"/>
  <c r="M9" i="2"/>
  <c r="L9" i="2"/>
  <c r="K9" i="2"/>
  <c r="J9" i="2"/>
  <c r="I9" i="2"/>
  <c r="H9" i="2"/>
  <c r="G9" i="2"/>
  <c r="F9" i="2"/>
  <c r="E9" i="2"/>
  <c r="D9" i="2"/>
  <c r="W8" i="2"/>
  <c r="V8" i="2"/>
  <c r="U8" i="2"/>
  <c r="T8" i="2"/>
  <c r="S8" i="2"/>
  <c r="O8" i="2"/>
  <c r="N8" i="2"/>
  <c r="M8" i="2"/>
  <c r="L8" i="2"/>
  <c r="K8" i="2"/>
  <c r="J8" i="2"/>
  <c r="I8" i="2"/>
  <c r="H8" i="2"/>
  <c r="G8" i="2"/>
  <c r="F8" i="2"/>
  <c r="E8" i="2"/>
  <c r="D8" i="2"/>
  <c r="B47" i="1"/>
  <c r="B46" i="1"/>
  <c r="B45" i="1"/>
  <c r="B44" i="1"/>
  <c r="B43" i="1"/>
  <c r="B16" i="1"/>
  <c r="B15" i="1"/>
  <c r="B14" i="1"/>
  <c r="B13" i="1"/>
  <c r="B12" i="1"/>
  <c r="B9" i="1"/>
  <c r="B8" i="1"/>
  <c r="B7" i="1"/>
  <c r="B6" i="1"/>
  <c r="C8" i="1" l="1"/>
  <c r="D8" i="1"/>
  <c r="C6" i="1"/>
  <c r="D6" i="1"/>
  <c r="C9" i="1"/>
  <c r="D9" i="1"/>
  <c r="C7" i="1"/>
  <c r="D7" i="1"/>
  <c r="A4" i="1"/>
  <c r="E8" i="1" l="1"/>
  <c r="E6" i="1"/>
  <c r="E9" i="1"/>
  <c r="E7" i="1"/>
</calcChain>
</file>

<file path=xl/sharedStrings.xml><?xml version="1.0" encoding="utf-8"?>
<sst xmlns="http://schemas.openxmlformats.org/spreadsheetml/2006/main" count="23754" uniqueCount="7940">
  <si>
    <t>Homologación de Farmacia: empezar aquí</t>
  </si>
  <si>
    <t>Neuquén, San Juan y Salta + SAP · 284 ítems únicos del master · incorporación de SAP al 25/09/2026.</t>
  </si>
  <si>
    <t>Base / sistema</t>
  </si>
  <si>
    <t>Ítems del master</t>
  </si>
  <si>
    <t>Homologados</t>
  </si>
  <si>
    <t>Sin equivalente confirmado</t>
  </si>
  <si>
    <t>Pendientes de resolver</t>
  </si>
  <si>
    <t>Neuquén</t>
  </si>
  <si>
    <t>San Juan</t>
  </si>
  <si>
    <t>Salta</t>
  </si>
  <si>
    <t>SAP (cruce único)</t>
  </si>
  <si>
    <t>Resultado del cruce de Salta</t>
  </si>
  <si>
    <t>Cuenta ítems del master, no códigos únicos ni aprobaciones. Un código puede aparecer en más de un componente.</t>
  </si>
  <si>
    <t>Clasificación</t>
  </si>
  <si>
    <t>Cantidad</t>
  </si>
  <si>
    <t>Qué significa</t>
  </si>
  <si>
    <t>Coincidencia</t>
  </si>
  <si>
    <t>Las características explícitas coinciden. La base todavía debe validar.</t>
  </si>
  <si>
    <t>Revisar presentación</t>
  </si>
  <si>
    <t>Mismo ítem o familia, pero cambia dosis, concentración, volumen, forma o calibre.</t>
  </si>
  <si>
    <t>Revisar datos</t>
  </si>
  <si>
    <t>Falta un dato o hay una unidad/denominación ambigua. No se presume que coincida.</t>
  </si>
  <si>
    <t>Revisar grupo</t>
  </si>
  <si>
    <t>El master agrupa variantes o componentes. Hay que confirmar cobertura y códigos.</t>
  </si>
  <si>
    <t>Sin coincidencia</t>
  </si>
  <si>
    <t>No se identificó candidato en este inventario; no prueba ausencia en AVAIN.</t>
  </si>
  <si>
    <t>Cómo usar este archivo</t>
  </si>
  <si>
    <t>Cada base y SAP tienen su revisión independiente. El catálogo enlaza todos los códigos por el ID común.</t>
  </si>
  <si>
    <t>1. Abrí la hoja a revisar</t>
  </si>
  <si>
    <t>Abrí Neuquén, San Juan, Salta o Master vs SAP. D/E: candidatos. F: clasificación. G: confianza. H: detalle de lo que debe revisarse.</t>
  </si>
  <si>
    <t>2. Revisá las diferencias</t>
  </si>
  <si>
    <t>Filtrá F por Revisar presentación para ver las diferencias comprobadas. Revisar datos indica información faltante o ambigua.</t>
  </si>
  <si>
    <t>3. Completá el amarillo</t>
  </si>
  <si>
    <t>I: decisión. J/K: código y nombre confirmados. L/M: validadores de producto y código. N: fecha. En SAP, usar los datos del material SAP.</t>
  </si>
  <si>
    <t>4. Verificá el cierre</t>
  </si>
  <si>
    <t>O indica qué falta. Sin equivalente exige validadores y fecha, con J/K vacíos. En Master vs SAP elegí Sin equivalente en SAP.</t>
  </si>
  <si>
    <t>5. Consultá el catálogo</t>
  </si>
  <si>
    <t>Catálogo común integra las tres bases y SAP: P:R reciben códigos de bases homologados; S:V muestran candidatos SAP; W recibe el SAP homologado.</t>
  </si>
  <si>
    <t>Cómo leer la confianza</t>
  </si>
  <si>
    <t>Describe la evidencia del cruce; no reemplaza la validación del producto y del código.</t>
  </si>
  <si>
    <t>Alta</t>
  </si>
  <si>
    <t>Coincidencia respaldada por la descripción disponible. En Salta y SAP, coinciden los atributos que explicita el ítem del master.</t>
  </si>
  <si>
    <t>Media</t>
  </si>
  <si>
    <t>Candidato plausible, pero falta información, hay variantes agrupadas o una diferencia de volumen/presentación que requiere resolver.</t>
  </si>
  <si>
    <t>Baja / Sin coincidencia</t>
  </si>
  <si>
    <t>Baja: hay una incompatibilidad importante o evidencia débil. Sin coincidencia: no hay candidato respaldado; revisar observaciones.</t>
  </si>
  <si>
    <t>Origen de la confianza</t>
  </si>
  <si>
    <t>Salta/SAP: evaluados en sus respectivos cruces. Neuquén/San Juan: confianza histórica ajustada ante conflictos; se conserva el valor original.</t>
  </si>
  <si>
    <t>Marcas y presentaciones</t>
  </si>
  <si>
    <t>Una marca distinta, con el mismo ítem, sólo va en observaciones. Una diferencia real de presentación se clasifica Revisar presentación.</t>
  </si>
  <si>
    <t>Propuesta de unificación</t>
  </si>
  <si>
    <t>Usar ID Original como ID común e Ítem Original como nombre común. Mantener el vínculo con códigos locales; no fusionar dosis o talles distintos.</t>
  </si>
  <si>
    <t>Ítems agrupados</t>
  </si>
  <si>
    <t>Cuando aparecen varios códigos, D y E mantienen el mismo orden. Confirmar cada variante o componente antes de cerrar el ID agrupado.</t>
  </si>
  <si>
    <t>Universo analizado</t>
  </si>
  <si>
    <t>285 filas originales → 284 IDs únicos. M01-005 está duplicado en origen. Se conserva una fila por base y ambas filas en Datos originales.</t>
  </si>
  <si>
    <t>Tipos incluidos</t>
  </si>
  <si>
    <t>124 medicamentos, 53 descartables, 36 equipos y 71 componentes de kit. El master no presenta filas separadas de bolsos ni kits completos.</t>
  </si>
  <si>
    <t>Costos, en la etapa siguiente</t>
  </si>
  <si>
    <t>Quedan pendientes de importar desde Alfa Beta o Kairos. Primero deben confirmarse los códigos y las presentaciones.</t>
  </si>
  <si>
    <t>Dónde está el respaldo</t>
  </si>
  <si>
    <t>Datos originales: Neuquén/San Juan. Inventario Salta original: 272 registros. SAP original: 2.753 registros de la hoja SAP. H identifica filas fuente.</t>
  </si>
  <si>
    <t>Próximas actualizaciones</t>
  </si>
  <si>
    <t>Salta se analizó el 24/09 y SAP el 25/09/2026. Solicitar un nuevo cruce si cambia un inventario: editar fuentes no recalcula coincidencias.</t>
  </si>
  <si>
    <t>Cómo reutilizar la plantilla</t>
  </si>
  <si>
    <t>Conservá este archivo como referencia y trabajá en una copia por revisión. Completá decisiones en amarillo. Las fuentes originales se conservan.</t>
  </si>
  <si>
    <t>Resultado inicial SAP</t>
  </si>
  <si>
    <t>Un solo cruce contra Ítem que pide el master. No se reutilizan coincidencias de las bases para inferir SAP.</t>
  </si>
  <si>
    <t>Los atributos explícitos coinciden. Los responsables de producto y SAP todavía deben validar.</t>
  </si>
  <si>
    <t>No se identificó candidato en la hoja SAP recibida; no prueba ausencia en todo SAP.</t>
  </si>
  <si>
    <t>Varios materiales SAP</t>
  </si>
  <si>
    <t>Puede haber varios códigos para un ítem: duplicados, marcas o variantes. D/E conservan el mismo orden; H indica qué elegir o confirmar.</t>
  </si>
  <si>
    <t>Trazabilidad completa</t>
  </si>
  <si>
    <t>El catálogo relaciona las cuatro codificaciones por ID común. Un candidato de confianza alta sigue pendiente hasta completar su validación.</t>
  </si>
  <si>
    <t>Catálogo común · Neuquén, San Juan, Salta y SAP</t>
  </si>
  <si>
    <t>Una fila por ID del master. Para revisar, usá la hoja de la provincia o la hoja Master vs SAP.</t>
  </si>
  <si>
    <t>D:O = candidatos de las bases · P:R = códigos de bases homologados · S:V = candidatos SAP · W = código SAP homologado.</t>
  </si>
  <si>
    <t>La clasificación del cruce no equivale a aprobación. Códigos múltiples y nombres se muestran en el mismo orden.</t>
  </si>
  <si>
    <t>Neuquén · cruce inicial</t>
  </si>
  <si>
    <t>San Juan · cruce inicial</t>
  </si>
  <si>
    <t>Salta · cruce inicial</t>
  </si>
  <si>
    <t>Sólo códigos homologados</t>
  </si>
  <si>
    <t>SAP · cruce único con el master</t>
  </si>
  <si>
    <t>Sólo código homologado</t>
  </si>
  <si>
    <t>ID común propuesto</t>
  </si>
  <si>
    <t>Tipo de ítem</t>
  </si>
  <si>
    <t>Nombre común propuesto (master)</t>
  </si>
  <si>
    <t>Códigos Base Neuquén</t>
  </si>
  <si>
    <t>Nomenclatura Base Neuquén</t>
  </si>
  <si>
    <t>Confianza Neuquén</t>
  </si>
  <si>
    <t>Clasificación Neuquén</t>
  </si>
  <si>
    <t>Códigos Base San Juan</t>
  </si>
  <si>
    <t>Nomenclatura Base San Juan</t>
  </si>
  <si>
    <t>Confianza San Juan</t>
  </si>
  <si>
    <t>Clasificación San Juan</t>
  </si>
  <si>
    <t>Códigos Base Salta</t>
  </si>
  <si>
    <t>Nomenclatura Base Salta</t>
  </si>
  <si>
    <t>Confianza Salta</t>
  </si>
  <si>
    <t>Clasificación Salta</t>
  </si>
  <si>
    <t>Código Neuquén confirmado</t>
  </si>
  <si>
    <t>Código San Juan confirmado</t>
  </si>
  <si>
    <t>Código Salta confirmado</t>
  </si>
  <si>
    <t>Códigos SAP</t>
  </si>
  <si>
    <t>Nomenclatura SAP</t>
  </si>
  <si>
    <t>Nivel de confianza SAP</t>
  </si>
  <si>
    <t>Clasificación SAP</t>
  </si>
  <si>
    <t>Código SAP confirmado</t>
  </si>
  <si>
    <t>M01-001</t>
  </si>
  <si>
    <t>Medicación</t>
  </si>
  <si>
    <t>Ácido acetilsalicílico 100 mg</t>
  </si>
  <si>
    <t>M01-002</t>
  </si>
  <si>
    <t>Diclofenac 75 mg comp.</t>
  </si>
  <si>
    <t>M01-003</t>
  </si>
  <si>
    <t>Diclofenac 75 mg/3 ml amp.</t>
  </si>
  <si>
    <t>M01-004</t>
  </si>
  <si>
    <t>Diclofenac + Pridinol comp.</t>
  </si>
  <si>
    <t>M01-005</t>
  </si>
  <si>
    <t>Ibuprofeno 600 mg</t>
  </si>
  <si>
    <t>M01-006</t>
  </si>
  <si>
    <t>Ketorolac 10 mg SL</t>
  </si>
  <si>
    <t>M01-007</t>
  </si>
  <si>
    <t>Ketorolac 30 mg/1 ml amp.</t>
  </si>
  <si>
    <t>M01-008</t>
  </si>
  <si>
    <t>Paracetamol 500 mg</t>
  </si>
  <si>
    <t>M01-009</t>
  </si>
  <si>
    <t>Dipirona 500 mg comp.</t>
  </si>
  <si>
    <t>M01-010</t>
  </si>
  <si>
    <t>Dipirona 1 g/2 ml amp.</t>
  </si>
  <si>
    <t>M01-011</t>
  </si>
  <si>
    <t>Tramadol 100 mg/2 ml amp.</t>
  </si>
  <si>
    <t>M01-012</t>
  </si>
  <si>
    <t>Tramadol + Paracetamol comp.</t>
  </si>
  <si>
    <t>M01-013</t>
  </si>
  <si>
    <t>Meloxicam 15 mg</t>
  </si>
  <si>
    <t>M01-014</t>
  </si>
  <si>
    <t>Colchicina 1 mg</t>
  </si>
  <si>
    <t>M01-015</t>
  </si>
  <si>
    <t>Ergotamina (antimigrañoso)</t>
  </si>
  <si>
    <t>M01-016</t>
  </si>
  <si>
    <t>Bencidamina comp. desleíble</t>
  </si>
  <si>
    <t>M01-017</t>
  </si>
  <si>
    <t>Caramelos con antibiótico</t>
  </si>
  <si>
    <t>M01-018</t>
  </si>
  <si>
    <t>Ketorolac 20 mg comp.</t>
  </si>
  <si>
    <t>M02-001</t>
  </si>
  <si>
    <t>Midazolam 15 mg/3 ml</t>
  </si>
  <si>
    <t>M02-002</t>
  </si>
  <si>
    <t>Fentanilo 250 µg/5 ml</t>
  </si>
  <si>
    <t>M02-003</t>
  </si>
  <si>
    <t>Morfina 10 mg/1 ml</t>
  </si>
  <si>
    <t>M02-004</t>
  </si>
  <si>
    <t>Nalbufina 10 mg/1 ml</t>
  </si>
  <si>
    <t>M02-005</t>
  </si>
  <si>
    <t>Etomidato 20 mg/10 ml</t>
  </si>
  <si>
    <t>M02-006</t>
  </si>
  <si>
    <t>Propofol 200 mg/20 ml</t>
  </si>
  <si>
    <t>M02-007</t>
  </si>
  <si>
    <t>Succinilcolina 100 mg</t>
  </si>
  <si>
    <t>M03-001</t>
  </si>
  <si>
    <t>Adrenalina 1 mg/1 ml</t>
  </si>
  <si>
    <t>M03-002</t>
  </si>
  <si>
    <t>Atropina 1 mg/1 ml</t>
  </si>
  <si>
    <t>M03-003</t>
  </si>
  <si>
    <t>Amiodarona 150 mg/3 ml</t>
  </si>
  <si>
    <t>M03-004</t>
  </si>
  <si>
    <t>Adenosina 6 mg/2 ml</t>
  </si>
  <si>
    <t>M03-005</t>
  </si>
  <si>
    <t>Bicarbonato de sodio 8,4%</t>
  </si>
  <si>
    <t>M03-006</t>
  </si>
  <si>
    <t>Gluconato de calcio 10%</t>
  </si>
  <si>
    <t>M03-007</t>
  </si>
  <si>
    <t>Dopamina 200 mg/5 ml</t>
  </si>
  <si>
    <t>M03-008</t>
  </si>
  <si>
    <t>Noradrenalina 4 mg/4 ml</t>
  </si>
  <si>
    <t>M03-009</t>
  </si>
  <si>
    <t>Dobutamina 250 mg/20 ml</t>
  </si>
  <si>
    <t>M03-010</t>
  </si>
  <si>
    <t>Cloruro de potasio amp.</t>
  </si>
  <si>
    <t>M04-001</t>
  </si>
  <si>
    <t>Clopidogrel 75 mg</t>
  </si>
  <si>
    <t>M04-002</t>
  </si>
  <si>
    <t>Atenolol 50 mg</t>
  </si>
  <si>
    <t>M04-003</t>
  </si>
  <si>
    <t>Enalapril 10 mg</t>
  </si>
  <si>
    <t>M04-004</t>
  </si>
  <si>
    <t>Amlodipina 10 mg</t>
  </si>
  <si>
    <t>M04-005</t>
  </si>
  <si>
    <t>Losartán 50 mg</t>
  </si>
  <si>
    <t>M04-006</t>
  </si>
  <si>
    <t>Isosorbide dinitrato 5 mg SL</t>
  </si>
  <si>
    <t>M04-007</t>
  </si>
  <si>
    <t>Nitroglicerina 25-50 mg amp.</t>
  </si>
  <si>
    <t>M04-008</t>
  </si>
  <si>
    <t>Digoxina 0,25 mg/1 ml</t>
  </si>
  <si>
    <t>M04-009</t>
  </si>
  <si>
    <t>Labetalol 20 mg/4 ml</t>
  </si>
  <si>
    <t>M04-010</t>
  </si>
  <si>
    <t>Nitroprusiato de sodio 50 mg</t>
  </si>
  <si>
    <t>M04-011</t>
  </si>
  <si>
    <t>Atorvastatina 20 mg</t>
  </si>
  <si>
    <t>M04-012</t>
  </si>
  <si>
    <t>Bisoprolol 2,5 mg</t>
  </si>
  <si>
    <t>M04-013</t>
  </si>
  <si>
    <t>Nifedipina 30 mg</t>
  </si>
  <si>
    <t>M04-014</t>
  </si>
  <si>
    <t>Ácido tranexámico 500 mg/5 ml</t>
  </si>
  <si>
    <t>M04-015</t>
  </si>
  <si>
    <t>Sulfato de magnesio 25%</t>
  </si>
  <si>
    <t>M04-016</t>
  </si>
  <si>
    <t>Alteplasa 50 mg</t>
  </si>
  <si>
    <t>M05-001</t>
  </si>
  <si>
    <t>Salbutamol aerosol (puff)</t>
  </si>
  <si>
    <t>M05-002</t>
  </si>
  <si>
    <t>Salbutamol solución p/neb.</t>
  </si>
  <si>
    <t>M05-003</t>
  </si>
  <si>
    <t>Ipratropio bromuro p/neb.</t>
  </si>
  <si>
    <t>M05-004</t>
  </si>
  <si>
    <t>Budesonide aerosol</t>
  </si>
  <si>
    <t>M05-005</t>
  </si>
  <si>
    <t>Solución hipertónica nasal (Hypersol)</t>
  </si>
  <si>
    <t>M06-001</t>
  </si>
  <si>
    <t>Dexametasona 8 mg/2 ml</t>
  </si>
  <si>
    <t>M06-002</t>
  </si>
  <si>
    <t>Dexametasona 4 mg comp.</t>
  </si>
  <si>
    <t>M06-003</t>
  </si>
  <si>
    <t>Hidrocortisona 500 mg</t>
  </si>
  <si>
    <t>M06-004</t>
  </si>
  <si>
    <t>Betametasona retard amp.</t>
  </si>
  <si>
    <t>M07-001</t>
  </si>
  <si>
    <t>Difenhidramina 10 mg/1 ml</t>
  </si>
  <si>
    <t>M07-002</t>
  </si>
  <si>
    <t>Loratadina 10 mg</t>
  </si>
  <si>
    <t>M07-003</t>
  </si>
  <si>
    <t>Dimenhidrinato 50 mg</t>
  </si>
  <si>
    <t>M07-004</t>
  </si>
  <si>
    <t>Caladryl crema/spray</t>
  </si>
  <si>
    <t>M08-001</t>
  </si>
  <si>
    <t>Metoclopramida 10 mg/2 ml</t>
  </si>
  <si>
    <t>M08-002</t>
  </si>
  <si>
    <t>Metoclopramida 10 mg comp./SL</t>
  </si>
  <si>
    <t>M08-003</t>
  </si>
  <si>
    <t>Butilbromuro de hioscina 20 mg amp.</t>
  </si>
  <si>
    <t>M08-004</t>
  </si>
  <si>
    <t>Butilbromuro de hioscina 10 mg comp.</t>
  </si>
  <si>
    <t>M08-005</t>
  </si>
  <si>
    <t>Hioscina + Dipirona amp.</t>
  </si>
  <si>
    <t>M08-006</t>
  </si>
  <si>
    <t>Omeprazol 40 mg fco. amp.</t>
  </si>
  <si>
    <t>M08-007</t>
  </si>
  <si>
    <t>Omeprazol 20 mg comp.</t>
  </si>
  <si>
    <t>M08-008</t>
  </si>
  <si>
    <t>Famotidina 20 mg</t>
  </si>
  <si>
    <t>M08-009</t>
  </si>
  <si>
    <t>Hidróxido Al + Mg masticable</t>
  </si>
  <si>
    <t>M08-010</t>
  </si>
  <si>
    <t>Loperamida 2 mg</t>
  </si>
  <si>
    <t>M08-011</t>
  </si>
  <si>
    <t>Trimebutina + Simeticona</t>
  </si>
  <si>
    <t>M08-012</t>
  </si>
  <si>
    <t>Sales de rehidratación oral</t>
  </si>
  <si>
    <t>M09-001</t>
  </si>
  <si>
    <t>Diazepam 10 mg/2 ml</t>
  </si>
  <si>
    <t>M09-002</t>
  </si>
  <si>
    <t>Fenitoína 100 mg/2 ml</t>
  </si>
  <si>
    <t>M09-003</t>
  </si>
  <si>
    <t>Lorazepam 4 mg/1 ml amp.</t>
  </si>
  <si>
    <t>M09-004</t>
  </si>
  <si>
    <t>Lorazepam 1 mg SL comp.</t>
  </si>
  <si>
    <t>M09-005</t>
  </si>
  <si>
    <t>Haloperidol 5 mg/1 ml</t>
  </si>
  <si>
    <t>M09-006</t>
  </si>
  <si>
    <t>Clonazepam 2 mg</t>
  </si>
  <si>
    <t>M10-001</t>
  </si>
  <si>
    <t>Naloxona 0,4 mg/1 ml</t>
  </si>
  <si>
    <t>M10-002</t>
  </si>
  <si>
    <t>Flumazenil 0,5 mg/5 ml</t>
  </si>
  <si>
    <t>M10-003</t>
  </si>
  <si>
    <t>Carbón activado</t>
  </si>
  <si>
    <t>M10-004</t>
  </si>
  <si>
    <t>Suero antiofídico polivalente</t>
  </si>
  <si>
    <t>M11-001</t>
  </si>
  <si>
    <t>Amoxicilina + Ác. clavulánico 1 g</t>
  </si>
  <si>
    <t>M11-002</t>
  </si>
  <si>
    <t>Cefalexina 500 mg</t>
  </si>
  <si>
    <t>M11-003</t>
  </si>
  <si>
    <t>Azitromicina 500 mg</t>
  </si>
  <si>
    <t>M11-004</t>
  </si>
  <si>
    <t>Ciprofloxacina 500 mg</t>
  </si>
  <si>
    <t>M11-005</t>
  </si>
  <si>
    <t>Levofloxacina 500 mg</t>
  </si>
  <si>
    <t>M11-006</t>
  </si>
  <si>
    <t>Claritromicina 500 mg</t>
  </si>
  <si>
    <t>M11-007</t>
  </si>
  <si>
    <t>Clindamicina 300 mg</t>
  </si>
  <si>
    <t>M11-008</t>
  </si>
  <si>
    <t>Metronidazol 500 mg</t>
  </si>
  <si>
    <t>M11-009</t>
  </si>
  <si>
    <t>TMP-SMX (Bactrin Forte) 800/160</t>
  </si>
  <si>
    <t>M11-010</t>
  </si>
  <si>
    <t>Ceftriaxona 1 g</t>
  </si>
  <si>
    <t>M11-011</t>
  </si>
  <si>
    <t>Ampicilina/Sulbactam 1,5 g</t>
  </si>
  <si>
    <t>M11-012</t>
  </si>
  <si>
    <t>Penicilina benzatínica 2.400.000 UI</t>
  </si>
  <si>
    <t>M11-013</t>
  </si>
  <si>
    <t>Aciclovir 400 mg</t>
  </si>
  <si>
    <t>M12-001</t>
  </si>
  <si>
    <t>Furosemida 20 mg/2 ml</t>
  </si>
  <si>
    <t>M12-002</t>
  </si>
  <si>
    <t>Acetazolamida 250 mg</t>
  </si>
  <si>
    <t>M12-003</t>
  </si>
  <si>
    <t>Hidroclorotiazida 25 mg</t>
  </si>
  <si>
    <t>M12-004</t>
  </si>
  <si>
    <t>Manitol 15%</t>
  </si>
  <si>
    <t>M13-001</t>
  </si>
  <si>
    <t>Solución fisiológica 500 ml</t>
  </si>
  <si>
    <t>M13-002</t>
  </si>
  <si>
    <t>Dextrosa 5% 500 ml</t>
  </si>
  <si>
    <t>M13-003</t>
  </si>
  <si>
    <t>Ringer lactato 500 ml</t>
  </si>
  <si>
    <t>M13-004</t>
  </si>
  <si>
    <t>Dextrosa 25% 500 ml</t>
  </si>
  <si>
    <t>M13-005</t>
  </si>
  <si>
    <t>Glucosado hipertónico 25% amp.</t>
  </si>
  <si>
    <t>M13-006</t>
  </si>
  <si>
    <t>Agua destilada 5 ml amp.</t>
  </si>
  <si>
    <t>M13-007</t>
  </si>
  <si>
    <t>Insulina corriente humana</t>
  </si>
  <si>
    <t>M14-001</t>
  </si>
  <si>
    <t>Ciprofloxacina + Dexametasona gotas</t>
  </si>
  <si>
    <t>M14-002</t>
  </si>
  <si>
    <t>Proparacaína 0,5% gotas</t>
  </si>
  <si>
    <t>M14-003</t>
  </si>
  <si>
    <t>Lágrimas artificiales</t>
  </si>
  <si>
    <t>M14-004</t>
  </si>
  <si>
    <t>Fluoresceína sódica gotas</t>
  </si>
  <si>
    <t>M15-001</t>
  </si>
  <si>
    <t>Lidocaína 2% amp.</t>
  </si>
  <si>
    <t>M15-002</t>
  </si>
  <si>
    <t>Lidocaína con epinefrina</t>
  </si>
  <si>
    <t>M15-003</t>
  </si>
  <si>
    <t>Lidocaína jalea 2%</t>
  </si>
  <si>
    <t>M15-004</t>
  </si>
  <si>
    <t>Sulfadiazina de plata</t>
  </si>
  <si>
    <t>M15-005</t>
  </si>
  <si>
    <t>Ác. fusídico + Betametasona crema</t>
  </si>
  <si>
    <t>M15-006</t>
  </si>
  <si>
    <t>Clotrimazol crema</t>
  </si>
  <si>
    <t>M16-001</t>
  </si>
  <si>
    <t>Vacuna antitetánica</t>
  </si>
  <si>
    <t>M16-002</t>
  </si>
  <si>
    <t>Enoxaparina 40 mg</t>
  </si>
  <si>
    <t>M16-003</t>
  </si>
  <si>
    <t>Vitamina K 10 mg</t>
  </si>
  <si>
    <t>M16-004</t>
  </si>
  <si>
    <t>Rifamicina spray</t>
  </si>
  <si>
    <t>D-125</t>
  </si>
  <si>
    <t>Descartables</t>
  </si>
  <si>
    <t>Abbocath Nº 14</t>
  </si>
  <si>
    <t>D-126</t>
  </si>
  <si>
    <t>Abbocath Nº 16</t>
  </si>
  <si>
    <t>D-127</t>
  </si>
  <si>
    <t>Abbocath Nº 18</t>
  </si>
  <si>
    <t>D-128</t>
  </si>
  <si>
    <t>Abbocath Nº 20</t>
  </si>
  <si>
    <t>D-129</t>
  </si>
  <si>
    <t>Abbocath Nº 22</t>
  </si>
  <si>
    <t>D-130</t>
  </si>
  <si>
    <t>Llave de 3 vías</t>
  </si>
  <si>
    <t>D-131</t>
  </si>
  <si>
    <t>Guía macrogotero</t>
  </si>
  <si>
    <t>D-132</t>
  </si>
  <si>
    <t>Guía microgotero</t>
  </si>
  <si>
    <t>D-133</t>
  </si>
  <si>
    <t>Mariposa (butterfly) Nº 21-23</t>
  </si>
  <si>
    <t>D-134</t>
  </si>
  <si>
    <t>Jeringa 1 cc</t>
  </si>
  <si>
    <t>D-135</t>
  </si>
  <si>
    <t>Jeringa 5 cc</t>
  </si>
  <si>
    <t>D-136</t>
  </si>
  <si>
    <t>Jeringa 10 cc</t>
  </si>
  <si>
    <t>D-137</t>
  </si>
  <si>
    <t>Jeringa 20 cc</t>
  </si>
  <si>
    <t>D-138</t>
  </si>
  <si>
    <t>Aguja 25/8</t>
  </si>
  <si>
    <t>D-139</t>
  </si>
  <si>
    <t>Aguja 40/8</t>
  </si>
  <si>
    <t>D-140</t>
  </si>
  <si>
    <t>Aguja 16/5</t>
  </si>
  <si>
    <t>D-141</t>
  </si>
  <si>
    <t>Gasas estériles 10x10</t>
  </si>
  <si>
    <t>D-142</t>
  </si>
  <si>
    <t>Apósitos estériles 10x20</t>
  </si>
  <si>
    <t>D-143</t>
  </si>
  <si>
    <t>Vendas Cambric 5 cm</t>
  </si>
  <si>
    <t>D-144</t>
  </si>
  <si>
    <t>Vendas Cambric 10 cm</t>
  </si>
  <si>
    <t>D-145</t>
  </si>
  <si>
    <t>Tela adhesiva hipoalergénica 5 cm</t>
  </si>
  <si>
    <t>D-146</t>
  </si>
  <si>
    <t>Curitas</t>
  </si>
  <si>
    <t>D-147</t>
  </si>
  <si>
    <t>Steri-Strip (aprox. cutánea)</t>
  </si>
  <si>
    <t>D-148</t>
  </si>
  <si>
    <t>Hoja de bisturí Nº 20-22</t>
  </si>
  <si>
    <t>D-149</t>
  </si>
  <si>
    <t>Algodón (paquete)</t>
  </si>
  <si>
    <t>D-150</t>
  </si>
  <si>
    <t>Nylon 3-0 / 4-0 / 5-0</t>
  </si>
  <si>
    <t>D-151</t>
  </si>
  <si>
    <t>Ác. poliglicólico (Vicryl) 3-0 / 4-0</t>
  </si>
  <si>
    <t>D-152</t>
  </si>
  <si>
    <t>Guantes de examen (caja)</t>
  </si>
  <si>
    <t>D-153</t>
  </si>
  <si>
    <t>Guantes estériles Nº 7,5 (par)</t>
  </si>
  <si>
    <t>D-154</t>
  </si>
  <si>
    <t>Guantes estériles Nº 8 (par)</t>
  </si>
  <si>
    <t>D-155</t>
  </si>
  <si>
    <t>Barbijo quirúrgico</t>
  </si>
  <si>
    <t>D-156</t>
  </si>
  <si>
    <t>Barbijo N95</t>
  </si>
  <si>
    <t>D-157</t>
  </si>
  <si>
    <t>Descartador corto-punzante</t>
  </si>
  <si>
    <t>D-158</t>
  </si>
  <si>
    <t>Bolsa roja patógenos</t>
  </si>
  <si>
    <t>D-159</t>
  </si>
  <si>
    <t>Máscara O2 c/reservorio</t>
  </si>
  <si>
    <t>D-160</t>
  </si>
  <si>
    <t>Máscara p/nebulizar</t>
  </si>
  <si>
    <t>D-161</t>
  </si>
  <si>
    <t>Cánula nasal O2 (bigotera)</t>
  </si>
  <si>
    <t>D-162</t>
  </si>
  <si>
    <t>Sonda aspiración K30</t>
  </si>
  <si>
    <t>D-163</t>
  </si>
  <si>
    <t>Sonda nasogástrica K10</t>
  </si>
  <si>
    <t>D-164</t>
  </si>
  <si>
    <t>Sonda vesical Foley Nº 16-18</t>
  </si>
  <si>
    <t>D-165</t>
  </si>
  <si>
    <t>Bolsa colectora orina</t>
  </si>
  <si>
    <t>D-166</t>
  </si>
  <si>
    <t>Tubo endotraqueal 7 / 7,5 / 8</t>
  </si>
  <si>
    <t>D-167</t>
  </si>
  <si>
    <t>Cánula orofaríngea (Mayo) 3-4-5</t>
  </si>
  <si>
    <t>D-168</t>
  </si>
  <si>
    <t>Máscara laríngea Nº 4-5</t>
  </si>
  <si>
    <t>D-169</t>
  </si>
  <si>
    <t>Electrodos ECG</t>
  </si>
  <si>
    <t>D-170</t>
  </si>
  <si>
    <t>Tiras reactivas glucemia</t>
  </si>
  <si>
    <t>D-171</t>
  </si>
  <si>
    <t>Lancetas</t>
  </si>
  <si>
    <t>D-172</t>
  </si>
  <si>
    <t>Test troponina</t>
  </si>
  <si>
    <t>D-173</t>
  </si>
  <si>
    <t>Rollo papel ECG</t>
  </si>
  <si>
    <t>D-174</t>
  </si>
  <si>
    <t>Alcohol 96% 1000 ml</t>
  </si>
  <si>
    <t>D-175</t>
  </si>
  <si>
    <t>Iodopovidona 10% 1 L</t>
  </si>
  <si>
    <t>D-176</t>
  </si>
  <si>
    <t>Agua oxigenada 1000 ml</t>
  </si>
  <si>
    <t>D-177</t>
  </si>
  <si>
    <t>Solución fisiológica frasco (lavado)</t>
  </si>
  <si>
    <t>E-178</t>
  </si>
  <si>
    <t>Equipamiento</t>
  </si>
  <si>
    <t>Electrocardiógrafo</t>
  </si>
  <si>
    <t>E-179</t>
  </si>
  <si>
    <t>Monitor multiparamétrico</t>
  </si>
  <si>
    <t>E-180</t>
  </si>
  <si>
    <t>Cardiodesfibrilador c/DEA</t>
  </si>
  <si>
    <t>E-181</t>
  </si>
  <si>
    <t>DEA (desfibrilador externo automático)</t>
  </si>
  <si>
    <t>E-182</t>
  </si>
  <si>
    <t>Glucómetro</t>
  </si>
  <si>
    <t>E-183</t>
  </si>
  <si>
    <t>Saturómetro / Oxímetro de pulso</t>
  </si>
  <si>
    <t>E-184</t>
  </si>
  <si>
    <t>Aspirador de secreciones (eléctrico)</t>
  </si>
  <si>
    <t>E-185</t>
  </si>
  <si>
    <t>Aspirador manual</t>
  </si>
  <si>
    <t>E-186</t>
  </si>
  <si>
    <t>Respirador / ciclador de transporte</t>
  </si>
  <si>
    <t>E-187</t>
  </si>
  <si>
    <t>Bomba de infusión continua</t>
  </si>
  <si>
    <t>E-188</t>
  </si>
  <si>
    <t>Tubo O2 portátil 2 m³ c/manómetro</t>
  </si>
  <si>
    <t>E-189</t>
  </si>
  <si>
    <t>Tubo O2 fijo 7 m³ c/manómetro</t>
  </si>
  <si>
    <t>E-190</t>
  </si>
  <si>
    <t>Tabla larga rígida (7 velcros)</t>
  </si>
  <si>
    <t>E-191</t>
  </si>
  <si>
    <t>Chaleco de extricación (KED)</t>
  </si>
  <si>
    <t>E-192</t>
  </si>
  <si>
    <t>Inmovilizador cervical (head blocks)</t>
  </si>
  <si>
    <t>E-193</t>
  </si>
  <si>
    <t>Collar cervical regulable adulto</t>
  </si>
  <si>
    <t>E-194</t>
  </si>
  <si>
    <t>Set de férulas rígidas/inflables (MMSS-MMII)</t>
  </si>
  <si>
    <t>E-195</t>
  </si>
  <si>
    <t>Torniquete táctico (CAT)</t>
  </si>
  <si>
    <t>E-196</t>
  </si>
  <si>
    <t>Tijera de trauma</t>
  </si>
  <si>
    <t>E-197</t>
  </si>
  <si>
    <t>Camilla</t>
  </si>
  <si>
    <t>E-198</t>
  </si>
  <si>
    <t>Silla De Ruedas</t>
  </si>
  <si>
    <t>E-199</t>
  </si>
  <si>
    <t>Bolsa-válvula-máscara (Ambú) adulto</t>
  </si>
  <si>
    <t>E-200</t>
  </si>
  <si>
    <t>Laringoscopio adulto 3 ramas</t>
  </si>
  <si>
    <t>E-201</t>
  </si>
  <si>
    <t>Pinza Magill adulto</t>
  </si>
  <si>
    <t>E-202</t>
  </si>
  <si>
    <t>Guía / vara de Eschmann</t>
  </si>
  <si>
    <t>E-203</t>
  </si>
  <si>
    <t>Set de cricotomía</t>
  </si>
  <si>
    <t>E-204</t>
  </si>
  <si>
    <t>Set de vía central</t>
  </si>
  <si>
    <t>E-205</t>
  </si>
  <si>
    <t>Catéter drenaje torácico c/trócar</t>
  </si>
  <si>
    <t>E-206</t>
  </si>
  <si>
    <t>Tensiómetro adulto</t>
  </si>
  <si>
    <t>E-207</t>
  </si>
  <si>
    <t>Estetoscopio adulto</t>
  </si>
  <si>
    <t>E-208</t>
  </si>
  <si>
    <t>Termómetro digital</t>
  </si>
  <si>
    <t>E-209</t>
  </si>
  <si>
    <t>Otoscopio</t>
  </si>
  <si>
    <t>E-210</t>
  </si>
  <si>
    <t>Linterna / Martillo de reflejos</t>
  </si>
  <si>
    <t>E-211</t>
  </si>
  <si>
    <t>Carro de paro</t>
  </si>
  <si>
    <t>E-212</t>
  </si>
  <si>
    <t>Pistola para acceso intraóseo</t>
  </si>
  <si>
    <t>E-213</t>
  </si>
  <si>
    <t>Camilla de trauma</t>
  </si>
  <si>
    <t>K-215</t>
  </si>
  <si>
    <t>Componentes de kit</t>
  </si>
  <si>
    <t>Bolsa de resucitación manual (Ambú) c/reservorio</t>
  </si>
  <si>
    <t>K-216</t>
  </si>
  <si>
    <t>Máscara O2 c/reservorio adulto</t>
  </si>
  <si>
    <t>K-217</t>
  </si>
  <si>
    <t>Máscara p/nebulizar adulto</t>
  </si>
  <si>
    <t>K-218</t>
  </si>
  <si>
    <t>Máscara laríngea Nº 4-5-6</t>
  </si>
  <si>
    <t>K-219</t>
  </si>
  <si>
    <t>K-220</t>
  </si>
  <si>
    <t>Tubo endotraqueal 7 / 7,5 / 8 / 8,5</t>
  </si>
  <si>
    <t>K-221</t>
  </si>
  <si>
    <t>K-222</t>
  </si>
  <si>
    <t>Mandriles estériles</t>
  </si>
  <si>
    <t>K-223</t>
  </si>
  <si>
    <t>Guía de Eschmann</t>
  </si>
  <si>
    <t>K-224</t>
  </si>
  <si>
    <t>K-225</t>
  </si>
  <si>
    <t>Aspirador manual c/frasco y sondas</t>
  </si>
  <si>
    <t>K-226</t>
  </si>
  <si>
    <t>Sonda aspiración K30 c/regulador</t>
  </si>
  <si>
    <t>K-227</t>
  </si>
  <si>
    <t>Lubricante hidrosoluble</t>
  </si>
  <si>
    <t>K-228</t>
  </si>
  <si>
    <t>Cánula nasal O2</t>
  </si>
  <si>
    <t>K-229</t>
  </si>
  <si>
    <t>Filtro MHEF</t>
  </si>
  <si>
    <t>K-230</t>
  </si>
  <si>
    <t>Oxímetro de pulso</t>
  </si>
  <si>
    <t>K-232</t>
  </si>
  <si>
    <t>Collar cervical adulto regulable</t>
  </si>
  <si>
    <t>K-233</t>
  </si>
  <si>
    <t>Guantes estériles 7,5 y 8</t>
  </si>
  <si>
    <t>K-234</t>
  </si>
  <si>
    <t>Guantes de examen</t>
  </si>
  <si>
    <t>K-235</t>
  </si>
  <si>
    <t>Antiparras</t>
  </si>
  <si>
    <t>K-236</t>
  </si>
  <si>
    <t>Apósitos estériles</t>
  </si>
  <si>
    <t>K-237</t>
  </si>
  <si>
    <t>Cánula orofaríngea (varios)</t>
  </si>
  <si>
    <t>K-238</t>
  </si>
  <si>
    <t>K-239</t>
  </si>
  <si>
    <t>Hoja de bisturí</t>
  </si>
  <si>
    <t>K-240</t>
  </si>
  <si>
    <t>K-241</t>
  </si>
  <si>
    <t>K-242</t>
  </si>
  <si>
    <t>Set de férulas (MMSS-MMII)</t>
  </si>
  <si>
    <t>K-243</t>
  </si>
  <si>
    <t>Gasas 10x10</t>
  </si>
  <si>
    <t>K-244</t>
  </si>
  <si>
    <t>Sábanas estériles</t>
  </si>
  <si>
    <t>K-245</t>
  </si>
  <si>
    <t>Mantas térmicas</t>
  </si>
  <si>
    <t>K-246</t>
  </si>
  <si>
    <t>Parches oculares</t>
  </si>
  <si>
    <t>K-247</t>
  </si>
  <si>
    <t>Torniquete táctico</t>
  </si>
  <si>
    <t>K-248</t>
  </si>
  <si>
    <t>Linterna</t>
  </si>
  <si>
    <t>K-250</t>
  </si>
  <si>
    <t>Set de férulas pediátricas</t>
  </si>
  <si>
    <t>K-251</t>
  </si>
  <si>
    <t>Pinza Magill pediátrica</t>
  </si>
  <si>
    <t>K-252</t>
  </si>
  <si>
    <t>Collar cervical pediátrico</t>
  </si>
  <si>
    <t>K-253</t>
  </si>
  <si>
    <t>Ambú pediátrico c/reservorio</t>
  </si>
  <si>
    <t>K-254</t>
  </si>
  <si>
    <t>Aerocámara espaciadora</t>
  </si>
  <si>
    <t>K-255</t>
  </si>
  <si>
    <t>Máscara O2 reservorio pediátrica</t>
  </si>
  <si>
    <t>K-256</t>
  </si>
  <si>
    <t>Máscara nebulizar pediátrica</t>
  </si>
  <si>
    <t>K-257</t>
  </si>
  <si>
    <t>Máscara laríngea Nº 1 y 2</t>
  </si>
  <si>
    <t>K-258</t>
  </si>
  <si>
    <t>Tubo endotraqueal 2,5-3-4</t>
  </si>
  <si>
    <t>K-259</t>
  </si>
  <si>
    <t>Laringoscopio pediátrico 3 ramas</t>
  </si>
  <si>
    <t>K-260</t>
  </si>
  <si>
    <t>Sonda NG pediátrica K30/K33</t>
  </si>
  <si>
    <t>K-261</t>
  </si>
  <si>
    <t>Estetoscopio pediátrico</t>
  </si>
  <si>
    <t>K-262</t>
  </si>
  <si>
    <t>Tensiómetro pediátrico</t>
  </si>
  <si>
    <t>K-263</t>
  </si>
  <si>
    <t>Abbocath 22-24</t>
  </si>
  <si>
    <t>K-265</t>
  </si>
  <si>
    <t>Manta térmica aluminizada</t>
  </si>
  <si>
    <t>K-266</t>
  </si>
  <si>
    <t>Guantes quirúrgicos estériles 7 y 8</t>
  </si>
  <si>
    <t>K-267</t>
  </si>
  <si>
    <t>Gasas furacinadas (nitrofurazona)</t>
  </si>
  <si>
    <t>K-268</t>
  </si>
  <si>
    <t>K-269</t>
  </si>
  <si>
    <t>K-270</t>
  </si>
  <si>
    <t>Vendas Cambric 5/7/10 cm</t>
  </si>
  <si>
    <t>K-271</t>
  </si>
  <si>
    <t>Sol. fisiológica 500 ml (lavado)</t>
  </si>
  <si>
    <t>K-272</t>
  </si>
  <si>
    <t>K-274</t>
  </si>
  <si>
    <t>Estetoscopio + Tensiómetro + Saturómetro + Termómetro</t>
  </si>
  <si>
    <t>K-275</t>
  </si>
  <si>
    <t>Cánula orofaríngea 9-10-12 mm</t>
  </si>
  <si>
    <t>K-276</t>
  </si>
  <si>
    <t>Collar cervical regulable</t>
  </si>
  <si>
    <t>K-277</t>
  </si>
  <si>
    <t>Bolsa resucitación manual</t>
  </si>
  <si>
    <t>K-278</t>
  </si>
  <si>
    <t>Gasas / Apósitos / Vendas (kit)</t>
  </si>
  <si>
    <t>K-279</t>
  </si>
  <si>
    <t>Torniquete + Tijera trauma</t>
  </si>
  <si>
    <t>K-280</t>
  </si>
  <si>
    <t>Gasa hemostática</t>
  </si>
  <si>
    <t>K-281</t>
  </si>
  <si>
    <t>Guantes estériles 7-8 / no estériles</t>
  </si>
  <si>
    <t>K-282</t>
  </si>
  <si>
    <t>Tarjetas de trauma (triage)</t>
  </si>
  <si>
    <t>K-284</t>
  </si>
  <si>
    <t>Guantes</t>
  </si>
  <si>
    <t>K-285</t>
  </si>
  <si>
    <t>Barbijo</t>
  </si>
  <si>
    <t>K-286</t>
  </si>
  <si>
    <t>Camisolín</t>
  </si>
  <si>
    <t>K-287</t>
  </si>
  <si>
    <t>Cofia</t>
  </si>
  <si>
    <t>K-288</t>
  </si>
  <si>
    <t>Campos estériles</t>
  </si>
  <si>
    <t>K-289</t>
  </si>
  <si>
    <t>Gasas</t>
  </si>
  <si>
    <t>K-290</t>
  </si>
  <si>
    <t>Revisión de Neuquén</t>
  </si>
  <si>
    <t>284 ítems del master. Esta hoja registra únicamente las decisiones de Neuquén.</t>
  </si>
  <si>
    <t>1. Comparar C con D/E.  2. Leer clasificación, confianza y observaciones en F:H.  3. Completar el amarillo I:N.</t>
  </si>
  <si>
    <t>Confianza del relevamiento original, ajustada cuando se detectó un conflicto. La confianza histórica íntegra está en Datos originales.</t>
  </si>
  <si>
    <t>Comparación con el master · propuestas pendientes de validación</t>
  </si>
  <si>
    <t>Completar por la base</t>
  </si>
  <si>
    <t>Estado actual</t>
  </si>
  <si>
    <t>ID común</t>
  </si>
  <si>
    <t>Ítem que pide el master</t>
  </si>
  <si>
    <t>Clasificación del cruce</t>
  </si>
  <si>
    <t>Nivel de confianza</t>
  </si>
  <si>
    <t>Observaciones y qué revisar</t>
  </si>
  <si>
    <t>Decisión de la base</t>
  </si>
  <si>
    <t>Código AVAIN confirmado</t>
  </si>
  <si>
    <t>Nombre AVAIN confirmado</t>
  </si>
  <si>
    <t>Validó el producto (nombre)</t>
  </si>
  <si>
    <t>Validó el código AVAIN (nombre)</t>
  </si>
  <si>
    <t>Fecha de validación</t>
  </si>
  <si>
    <t>Estado de esta base</t>
  </si>
  <si>
    <t>330</t>
  </si>
  <si>
    <t>MIDAZOLAM5MGAMP</t>
  </si>
  <si>
    <t>Baja</t>
  </si>
  <si>
    <t>Master midazolam 15 mg/3 ml; Neuquén dice 5 mg ampolla. No informa volumen. Confirmar cantidad total por ampolla y concentración; no sumar ampollas para homologar. Confianza histórica: Media; ajustada a Baja por el hallazgo indicado. Fuente: master original, fila 22.</t>
  </si>
  <si>
    <t>Pendiente</t>
  </si>
  <si>
    <t>262</t>
  </si>
  <si>
    <t>SUCCINILCOLINA500MG</t>
  </si>
  <si>
    <t>Master succinilcolina 100 mg; Neuquén registra 500 mg. Misma sustancia, presentación de dosis distinta. Confianza histórica: Media; ajustada a Baja por el hallazgo indicado. Fuente: master original, fila 179.</t>
  </si>
  <si>
    <t>123</t>
  </si>
  <si>
    <t>GLUCOSADO HIPERTONICO AMP</t>
  </si>
  <si>
    <t>Producto distinto</t>
  </si>
  <si>
    <t>El master pide solución hipertónica nasal. El código 123 dice glucosado hipertónico en ampolla. Buscar la solución nasal. Confianza histórica: Sin coincidencia; ajustada a Baja por el hallazgo indicado. Fuente: master original, fila 6.</t>
  </si>
  <si>
    <t>170</t>
  </si>
  <si>
    <t>OMEPRAZOL 20 MG COMP</t>
  </si>
  <si>
    <t>Mismo principio activo, dosis y forma distintas: master omeprazol 40 mg en frasco ampolla; código 170, 20 mg en comprimidos. Buscar la presentación correcta. Confianza histórica: Sin coincidencia; ajustada a Baja por el hallazgo indicado. Fuente: master original, fila 11.</t>
  </si>
  <si>
    <t>329</t>
  </si>
  <si>
    <t>LORAZEPAMSUBLINGUALCOMP</t>
  </si>
  <si>
    <t>Master lorazepam 4 mg/1 ml ampolla; Neuquén registra comprimidos sublinguales. Forma distinta; falta la presentación inyectable requerida. Fuente: master original, fila 196.</t>
  </si>
  <si>
    <t>1</t>
  </si>
  <si>
    <t>ACICLOVIR 5%</t>
  </si>
  <si>
    <t>Master aciclovir 400 mg; Neuquén registra 5% tópico según la observación original. Forma y concentración distintas. Buscar la presentación oral requerida. Confianza histórica: Sin coincidencia; ajustada a Baja por el hallazgo indicado. Fuente: master original, fila 33.</t>
  </si>
  <si>
    <t>389</t>
  </si>
  <si>
    <t>INSULINA HUMALOG MIX 25 100 U/ML X 3ML</t>
  </si>
  <si>
    <t>Master insulina corriente humana; Neuquén registra Humalog Mix 25. No se trata sólo de una marca: la formulación es distinta. Confianza histórica: Sin coincidencia; ajustada a Baja por el hallazgo indicado. Fuente: master original, fila 53.</t>
  </si>
  <si>
    <t>278</t>
  </si>
  <si>
    <t>GUIAMACROGOTEROV13/14</t>
  </si>
  <si>
    <t>Variante distinta</t>
  </si>
  <si>
    <t>El master pide microgotero. El código 278 dice macrogotero. Buscar el código de microgotero. Confianza histórica: Alta; ajustada a Baja por el hallazgo indicado. Fuente: master original, fila 57.</t>
  </si>
  <si>
    <t>404</t>
  </si>
  <si>
    <t>GUANTESESTERILES</t>
  </si>
  <si>
    <t>El master pide gasas estériles 10x10. El código 404 dice guantes estériles. Buscar el código de gasas. Confianza histórica: Media; ajustada a Baja por el hallazgo indicado. Fuente: master original, fila 58.</t>
  </si>
  <si>
    <t>405</t>
  </si>
  <si>
    <t>ASPIRADORMANUAL</t>
  </si>
  <si>
    <t>Equipo distinto</t>
  </si>
  <si>
    <t>El master pide aspirador eléctrico. El código 405 dice aspirador manual. Buscar el equipo eléctrico. Fuente: master original, fila 187.</t>
  </si>
  <si>
    <t>424</t>
  </si>
  <si>
    <t>TIJERA MULTIUSO</t>
  </si>
  <si>
    <t>El master pide tarjetas de triage. El código 424 dice tijera multiuso. Buscar tarjetas de triage. Confianza histórica: Sin coincidencia; ajustada a Baja por el hallazgo indicado. Fuente: master original, fila 280.</t>
  </si>
  <si>
    <t>147</t>
  </si>
  <si>
    <t>KETOROLAC</t>
  </si>
  <si>
    <t>Código compartido: revisar</t>
  </si>
  <si>
    <t>El código también aparece en M01-007. Confirmar si son el mismo producto o variantes distintas. No agrupar dosis, tamaños o equipos diferentes. Fuente: master original, fila 168.</t>
  </si>
  <si>
    <t>El código también aparece en M01-006. Confirmar si son el mismo producto o variantes distintas. No agrupar dosis, tamaños o equipos diferentes. Fuente: master original, fila 171.</t>
  </si>
  <si>
    <t>438</t>
  </si>
  <si>
    <t>CARAMELOS CON ANTIBIOTICO</t>
  </si>
  <si>
    <t>Código sin equivalencia validada</t>
  </si>
  <si>
    <t>Hay un código cargado, pero el relevamiento indica Sin coincidencia. Revisar si corresponde al ítem y buscar otro código si no coincide. Fuente: master original, fila 21.</t>
  </si>
  <si>
    <t>529</t>
  </si>
  <si>
    <t>CLORURO DE POTASIO</t>
  </si>
  <si>
    <t>Hay un código cargado, pero el relevamiento indica Sin coincidencia. Revisar si corresponde al ítem y buscar otro código si no coincide. Fuente: master original, fila 38.</t>
  </si>
  <si>
    <t>495</t>
  </si>
  <si>
    <t>Nitroprusiato Na</t>
  </si>
  <si>
    <t>Hay un código cargado, pero el relevamiento indica Sin coincidencia. Revisar si corresponde al ítem y buscar otro código si no coincide. Fuente: master original, fila 48.</t>
  </si>
  <si>
    <t>161</t>
  </si>
  <si>
    <t>METROCLOPRAMIDA10MG</t>
  </si>
  <si>
    <t>El código también aparece en M08-002. Confirmar si son el mismo producto o variantes distintas. No agrupar dosis, tamaños o equipos diferentes. Fuente: master original, fila 68.</t>
  </si>
  <si>
    <t>El código también aparece en M08-001. Confirmar si son el mismo producto o variantes distintas. No agrupar dosis, tamaños o equipos diferentes. Confianza histórica: Alta; ajustada a Media por el hallazgo indicado. Fuente: master original, fila 193.</t>
  </si>
  <si>
    <t>37</t>
  </si>
  <si>
    <t>BUSCAPINA</t>
  </si>
  <si>
    <t>El código también aparece en M08-004. Confirmar si son el mismo producto o variantes distintas. No agrupar dosis, tamaños o equipos diferentes. Fuente: master original, fila 70.</t>
  </si>
  <si>
    <t>El código también aparece en M08-003. Confirmar si son el mismo producto o variantes distintas. No agrupar dosis, tamaños o equipos diferentes. Fuente: master original, fila 194.</t>
  </si>
  <si>
    <t>OMEPRAZOL20MGCOMP</t>
  </si>
  <si>
    <t>El código también aparece en M08-006. Confirmar si son el mismo producto o variantes distintas. No agrupar dosis, tamaños o equipos diferentes. Confianza histórica: Alta; ajustada a Media por el hallazgo indicado. Fuente: master original, fila 74.</t>
  </si>
  <si>
    <t>El código también aparece en M09-003. Confirmar si son el mismo producto o variantes distintas. No agrupar dosis, tamaños o equipos diferentes. Fuente: master original, fila 198.</t>
  </si>
  <si>
    <t>560</t>
  </si>
  <si>
    <t>Bactrin Forte</t>
  </si>
  <si>
    <t>Hay un código cargado, pero el relevamiento indica Sin coincidencia. Revisar si corresponde al ítem y buscar otro código si no coincide. Fuente: master original, fila 98.</t>
  </si>
  <si>
    <t>559</t>
  </si>
  <si>
    <t>Ampicilina</t>
  </si>
  <si>
    <t>Hay un código cargado, pero el relevamiento indica Sin coincidencia. Revisar si corresponde al ítem y buscar otro código si no coincide. Fuente: master original, fila 100.</t>
  </si>
  <si>
    <t>558</t>
  </si>
  <si>
    <t>Hay un código cargado, pero el relevamiento indica Sin coincidencia. Revisar si corresponde al ítem y buscar otro código si no coincide. Fuente: master original, fila 105.</t>
  </si>
  <si>
    <t>212</t>
  </si>
  <si>
    <t>SOLUCIÓNFISIOLÓGICA</t>
  </si>
  <si>
    <t>El código también aparece en D-177, K-271. Confirmar si son el mismo producto o variantes distintas. No agrupar dosis, tamaños o equipos diferentes. Fuente: master original, fila 201.</t>
  </si>
  <si>
    <t>516</t>
  </si>
  <si>
    <t>Dextrosa25%Amp.</t>
  </si>
  <si>
    <t>El master pide dextrosa 25% de 500 ml. El código 516 dice ampolla y no informa 500 ml. Confirmar envase y volumen antes de asociar. Confianza histórica: Alta; ajustada a Media por el hallazgo indicado. Fuente: master original, fila 42.</t>
  </si>
  <si>
    <t>El código también aparece en M13-004. Confirmar si son el mismo producto o variantes distintas. No agrupar dosis, tamaños o equipos diferentes. Confianza histórica: Alta; ajustada a Media por el hallazgo indicado. Fuente: master original, fila 111.</t>
  </si>
  <si>
    <t>477</t>
  </si>
  <si>
    <t>IRIX LAGRIMAS</t>
  </si>
  <si>
    <t>Hay un código cargado, pero el relevamiento indica Sin coincidencia. Revisar si corresponde al ítem y buscar otro código si no coincide. Fuente: master original, fila 55.</t>
  </si>
  <si>
    <t>185</t>
  </si>
  <si>
    <t>PLATSUL</t>
  </si>
  <si>
    <t>Además, el origen indica Sin coincidencia. El código también aparece en K-269. Confirmar si son el mismo producto o variantes distintas. No agrupar dosis, tamaños o equipos diferentes. Fuente: master original, fila 121.</t>
  </si>
  <si>
    <t>556</t>
  </si>
  <si>
    <t>Hay un código cargado, pero el relevamiento indica Sin coincidencia. Revisar si corresponde al ítem y buscar otro código si no coincide. Fuente: master original, fila 133.</t>
  </si>
  <si>
    <t>El código también aparece en D-132. Confirmar si son el mismo producto o variantes distintas. No agrupar dosis, tamaños o equipos diferentes. Confianza histórica: Alta; ajustada a Media por el hallazgo indicado. Fuente: master original, fila 214.</t>
  </si>
  <si>
    <t>555</t>
  </si>
  <si>
    <t>Aguja butterfly</t>
  </si>
  <si>
    <t>Hay un código cargado, pero el relevamiento indica Sin coincidencia. Revisar si corresponde al ítem y buscar otro código si no coincide. Fuente: master original, fila 136.</t>
  </si>
  <si>
    <t>256</t>
  </si>
  <si>
    <t>Apositosesteril</t>
  </si>
  <si>
    <t>El código también aparece en K-236, K-268, K-278. Confirmar si son el mismo producto o variantes distintas. No agrupar dosis, tamaños o equipos diferentes. Confianza histórica: Alta; ajustada a Media por el hallazgo indicado. Fuente: master original, fila 59.</t>
  </si>
  <si>
    <t>334</t>
  </si>
  <si>
    <t>VENDACAMBRIC5CM</t>
  </si>
  <si>
    <t>El código también aparece en K-240. Confirmar si son el mismo producto o variantes distintas. No agrupar dosis, tamaños o equipos diferentes. Confianza histórica: Alta; ajustada a Media por el hallazgo indicado. Fuente: master original, fila 61.</t>
  </si>
  <si>
    <t>335</t>
  </si>
  <si>
    <t>VENDACAMBRIC10CM</t>
  </si>
  <si>
    <t>El código también aparece en K-241, K-270. Confirmar si son el mismo producto o variantes distintas. No agrupar dosis, tamaños o equipos diferentes. Confianza histórica: Alta; ajustada a Media por el hallazgo indicado. Fuente: master original, fila 63.</t>
  </si>
  <si>
    <t>536</t>
  </si>
  <si>
    <t>SUT.CUTANEA</t>
  </si>
  <si>
    <t>Hay un código cargado, pero el relevamiento indica Sin coincidencia. Revisar si corresponde al ítem y buscar otro código si no coincide. Fuente: master original, fila 150.</t>
  </si>
  <si>
    <t>132</t>
  </si>
  <si>
    <t>HOJABISTURI</t>
  </si>
  <si>
    <t>El código también aparece en K-239. Confirmar si son el mismo producto o variantes distintas. No agrupar dosis, tamaños o equipos diferentes. Fuente: master original, fila 226.</t>
  </si>
  <si>
    <t>554</t>
  </si>
  <si>
    <t>HILO DE SUTURA</t>
  </si>
  <si>
    <t>Además, el origen indica Sin coincidencia. El código también aparece en D-151. Confirmar si son el mismo producto o variantes distintas. No agrupar dosis, tamaños o equipos diferentes. Fuente: master original, fila 153.</t>
  </si>
  <si>
    <t>Además, el origen indica Sin coincidencia. El código también aparece en D-150. Confirmar si son el mismo producto o variantes distintas. No agrupar dosis, tamaños o equipos diferentes. Fuente: master original, fila 154.</t>
  </si>
  <si>
    <t>338</t>
  </si>
  <si>
    <t>BARBIJOS</t>
  </si>
  <si>
    <t>El código también aparece en D-156, K-285. Confirmar si son el mismo producto o variantes distintas. No agrupar dosis, tamaños o equipos diferentes. Fuente: master original, fila 158.</t>
  </si>
  <si>
    <t>El código también aparece en D-155, K-285. Confirmar si son el mismo producto o variantes distintas. No agrupar dosis, tamaños o equipos diferentes. Confianza histórica: Alta; ajustada a Media por el hallazgo indicado. Fuente: master original, fila 159.</t>
  </si>
  <si>
    <t>318</t>
  </si>
  <si>
    <t>MASCARAC/RESERVORIOnousar</t>
  </si>
  <si>
    <t>El código también aparece en K-216, K-255. Confirmar si son el mismo producto o variantes distintas. No agrupar dosis, tamaños o equipos diferentes. Confianza histórica: Alta; ajustada a Media por el hallazgo indicado. Fuente: master original, fila 232.</t>
  </si>
  <si>
    <t>345</t>
  </si>
  <si>
    <t>mascaranebulizar</t>
  </si>
  <si>
    <t>El código también aparece en K-217, K-256. Confirmar si son el mismo producto o variantes distintas. No agrupar dosis, tamaños o equipos diferentes. Confianza histórica: Alta; ajustada a Media por el hallazgo indicado. Fuente: master original, fila 233.</t>
  </si>
  <si>
    <t>352</t>
  </si>
  <si>
    <t>bigoteras</t>
  </si>
  <si>
    <t>Hay un código cargado, pero el relevamiento indica Sin coincidencia. Revisar si corresponde al ítem y buscar otro código si no coincide. Fuente: master original, fila 164.</t>
  </si>
  <si>
    <t>287</t>
  </si>
  <si>
    <t>SondanasogastricaN°10</t>
  </si>
  <si>
    <t>El código también aparece en K-260. Confirmar si son el mismo producto o variantes distintas. No agrupar dosis, tamaños o equipos diferentes. Confianza histórica: Alta; ajustada a Media por el hallazgo indicado. Fuente: master original, fila 235.</t>
  </si>
  <si>
    <t>337</t>
  </si>
  <si>
    <t>TUBOENDOTRAQUEAL7.5</t>
  </si>
  <si>
    <t>El código también aparece en K-220. Confirmar si son el mismo producto o variantes distintas. No agrupar dosis, tamaños o equipos diferentes. Fuente: master original, fila 240.</t>
  </si>
  <si>
    <t>354</t>
  </si>
  <si>
    <t>CANULASDEMAYON°3</t>
  </si>
  <si>
    <t>El código también aparece en K-219, K-237, K-275. Confirmar si son el mismo producto o variantes distintas. No agrupar dosis, tamaños o equipos diferentes. Fuente: master original, fila 170.</t>
  </si>
  <si>
    <t>284</t>
  </si>
  <si>
    <t>MascaralaringeaN°5</t>
  </si>
  <si>
    <t>El código también aparece en K-218, K-257. Confirmar si son el mismo producto o variantes distintas. No agrupar dosis, tamaños o equipos diferentes. Fuente: master original, fila 241.</t>
  </si>
  <si>
    <t>552</t>
  </si>
  <si>
    <t>Electrodos</t>
  </si>
  <si>
    <t>Hay un código cargado, pero el relevamiento indica Sin coincidencia. Revisar si corresponde al ítem y buscar otro código si no coincide. Fuente: master original, fila 172.</t>
  </si>
  <si>
    <t>551</t>
  </si>
  <si>
    <t>Hay un código cargado, pero el relevamiento indica Sin coincidencia. Revisar si corresponde al ítem y buscar otro código si no coincide. Fuente: master original, fila 174.</t>
  </si>
  <si>
    <t>1001</t>
  </si>
  <si>
    <t>TEST TROPONINA</t>
  </si>
  <si>
    <t>Hay un código cargado, pero el relevamiento indica Sin coincidencia. Revisar si corresponde al ítem y buscar otro código si no coincide. Fuente: master original, fila 73.</t>
  </si>
  <si>
    <t>550</t>
  </si>
  <si>
    <t>Papel para ECG</t>
  </si>
  <si>
    <t>Hay un código cargado, pero el relevamiento indica Sin coincidencia. Revisar si corresponde al ítem y buscar otro código si no coincide. Fuente: master original, fila 176.</t>
  </si>
  <si>
    <t>El código también aparece en K-271, M13-001. Confirmar si son el mismo producto o variantes distintas. No agrupar dosis, tamaños o equipos diferentes. Fuente: master original, fila 247.</t>
  </si>
  <si>
    <t>549</t>
  </si>
  <si>
    <t>ECG</t>
  </si>
  <si>
    <t>Hay un código cargado, pero el relevamiento indica Sin coincidencia. Revisar si corresponde al ítem y buscar otro código si no coincide. Fuente: master original, fila 181.</t>
  </si>
  <si>
    <t>548</t>
  </si>
  <si>
    <t>MONITOR MULTIPARAMETRICO</t>
  </si>
  <si>
    <t>Hay un código cargado, pero el relevamiento indica Sin coincidencia. Revisar si corresponde al ítem y buscar otro código si no coincide. Fuente: master original, fila 182.</t>
  </si>
  <si>
    <t>393</t>
  </si>
  <si>
    <t>OXIMETRODEPULSO</t>
  </si>
  <si>
    <t>El código también aparece en K-230. Confirmar si son el mismo producto o variantes distintas. No agrupar dosis, tamaños o equipos diferentes. Fuente: master original, fila 253.</t>
  </si>
  <si>
    <t>El código también aparece en E-184, K-225. Confirmar si son el mismo producto o variantes distintas. No agrupar dosis, tamaños o equipos diferentes. Confianza histórica: Alta; ajustada a Media por el hallazgo indicado. Fuente: master original, fila 254.</t>
  </si>
  <si>
    <t>547</t>
  </si>
  <si>
    <t>BOMBA DE INFUSION</t>
  </si>
  <si>
    <t>Hay un código cargado, pero el relevamiento indica Sin coincidencia. Revisar si corresponde al ítem y buscar otro código si no coincide. Fuente: master original, fila 190.</t>
  </si>
  <si>
    <t>561</t>
  </si>
  <si>
    <t>TUBO O2</t>
  </si>
  <si>
    <t>Hay un código cargado, pero el relevamiento indica Sin coincidencia. Revisar si corresponde al ítem y buscar otro código si no coincide. Fuente: master original, fila 77.</t>
  </si>
  <si>
    <t>422</t>
  </si>
  <si>
    <t>TABLARIGIDAc/INMOVILIZADORCERVICAL</t>
  </si>
  <si>
    <t>El código también aparece en E-192. Confirmar si son el mismo producto o variantes distintas. No agrupar dosis, tamaños o equipos diferentes. Confianza histórica: Alta; ajustada a Media por el hallazgo indicado. Fuente: master original, fila 82.</t>
  </si>
  <si>
    <t>El código también aparece en E-190. Confirmar si son el mismo producto o variantes distintas. No agrupar dosis, tamaños o equipos diferentes. Fuente: master original, fila 85.</t>
  </si>
  <si>
    <t>411</t>
  </si>
  <si>
    <t>COLLAR FILADELFIA (distintas med.)</t>
  </si>
  <si>
    <t>Además, el origen indica Sin coincidencia. El código también aparece en K-232, K-252, K-276. Confirmar si son el mismo producto o variantes distintas. No agrupar dosis, tamaños o equipos diferentes. Fuente: master original, fila 88.</t>
  </si>
  <si>
    <t>415</t>
  </si>
  <si>
    <t>FERULASCONCIERREABROJO(juegos)</t>
  </si>
  <si>
    <t>El código también aparece en K-242, K-250. Confirmar si son el mismo producto o variantes distintas. No agrupar dosis, tamaños o equipos diferentes. Fuente: master original, fila 197.</t>
  </si>
  <si>
    <t>303</t>
  </si>
  <si>
    <t>TORNIQUETE</t>
  </si>
  <si>
    <t>El código también aparece en K-247, K-279. Confirmar si son el mismo producto o variantes distintas. No agrupar dosis, tamaños o equipos diferentes. Fuente: master original, fila 90.</t>
  </si>
  <si>
    <t>TIJERAMULTIUSO</t>
  </si>
  <si>
    <t>El código también aparece en K-238, K-282. Confirmar si son el mismo producto o variantes distintas. No agrupar dosis, tamaños o equipos diferentes. Fuente: master original, fila 91.</t>
  </si>
  <si>
    <t>407</t>
  </si>
  <si>
    <t>CAMILLAARTICULADA</t>
  </si>
  <si>
    <t>El código también aparece en E-213. Confirmar si son el mismo producto o variantes distintas. No agrupar dosis, tamaños o equipos diferentes. Fuente: master original, fila 256.</t>
  </si>
  <si>
    <t>379</t>
  </si>
  <si>
    <t>AMBU</t>
  </si>
  <si>
    <t>El código también aparece en K-215, K-253, K-277. Confirmar si son el mismo producto o variantes distintas. No agrupar dosis, tamaños o equipos diferentes. Confianza histórica: Alta; ajustada a Media por el hallazgo indicado. Fuente: master original, fila 92.</t>
  </si>
  <si>
    <t>417</t>
  </si>
  <si>
    <t>LARINGOSCOPIO</t>
  </si>
  <si>
    <t>El código también aparece en K-221, K-259. Confirmar si son el mismo producto o variantes distintas. No agrupar dosis, tamaños o equipos diferentes. Fuente: master original, fila 203.</t>
  </si>
  <si>
    <t>419</t>
  </si>
  <si>
    <t>PINZA DE EXTRACCION CUERPO EXTRAÑO</t>
  </si>
  <si>
    <t>Además, el origen indica Sin coincidencia. El código también aparece en K-224, K-251. Confirmar si son el mismo producto o variantes distintas. No agrupar dosis, tamaños o equipos diferentes. Fuente: master original, fila 93.</t>
  </si>
  <si>
    <t>546</t>
  </si>
  <si>
    <t>GUIA DE ESCHMANN</t>
  </si>
  <si>
    <t>Además, el origen indica Sin coincidencia. El código también aparece en K-223. Confirmar si son el mismo producto o variantes distintas. No agrupar dosis, tamaños o equipos diferentes. Fuente: master original, fila 205.</t>
  </si>
  <si>
    <t>545</t>
  </si>
  <si>
    <t>SET DE CRICOTOMIA</t>
  </si>
  <si>
    <t>Hay un código cargado, pero el relevamiento indica Sin coincidencia. Revisar si corresponde al ítem y buscar otro código si no coincide. Fuente: master original, fila 206.</t>
  </si>
  <si>
    <t>537</t>
  </si>
  <si>
    <t>vía central</t>
  </si>
  <si>
    <t>Hay un código cargado, pero el relevamiento indica Sin coincidencia. Revisar si corresponde al ítem y buscar otro código si no coincide. Fuente: master original, fila 207.</t>
  </si>
  <si>
    <t>544</t>
  </si>
  <si>
    <t>CATETER</t>
  </si>
  <si>
    <t>Hay un código cargado, pero el relevamiento indica Sin coincidencia. Revisar si corresponde al ítem y buscar otro código si no coincide. Fuente: master original, fila 208.</t>
  </si>
  <si>
    <t>258</t>
  </si>
  <si>
    <t>Tensiometromanual+estetoscopio</t>
  </si>
  <si>
    <t>El código también aparece en K-262. Confirmar si son el mismo producto o variantes distintas. No agrupar dosis, tamaños o equipos diferentes. Fuente: master original, fila 102.</t>
  </si>
  <si>
    <t>413</t>
  </si>
  <si>
    <t>ESTETOSCOPIO</t>
  </si>
  <si>
    <t>El código también aparece en K-261, K-274. Confirmar si son el mismo producto o variantes distintas. No agrupar dosis, tamaños o equipos diferentes. Confianza histórica: Alta; ajustada a Media por el hallazgo indicado. Fuente: master original, fila 107.</t>
  </si>
  <si>
    <t>1004</t>
  </si>
  <si>
    <t>LINTERNA</t>
  </si>
  <si>
    <t>Además, el origen indica Sin coincidencia. El código también aparece en K-248. Confirmar si son el mismo producto o variantes distintas. No agrupar dosis, tamaños o equipos diferentes. Fuente: master original, fila 213.</t>
  </si>
  <si>
    <t>1005</t>
  </si>
  <si>
    <t>INTRAOSEA</t>
  </si>
  <si>
    <t>Hay un código cargado, pero el relevamiento indica Sin coincidencia. Revisar si corresponde al ítem y buscar otro código si no coincide. Fuente: master original, fila 215.</t>
  </si>
  <si>
    <t>El código también aparece en E-197. Confirmar si son el mismo producto o variantes distintas. No agrupar dosis, tamaños o equipos diferentes. Fuente: master original, fila 109.</t>
  </si>
  <si>
    <t>El código también aparece en E-199, K-253, K-277. Confirmar si son el mismo producto o variantes distintas. No agrupar dosis, tamaños o equipos diferentes. Fuente: master original, fila 110.</t>
  </si>
  <si>
    <t>El código también aparece en D-159, K-255. Confirmar si son el mismo producto o variantes distintas. No agrupar dosis, tamaños o equipos diferentes. Confianza histórica: Alta; ajustada a Media por el hallazgo indicado. Fuente: master original, fila 262.</t>
  </si>
  <si>
    <t>El código también aparece en D-160, K-256. Confirmar si son el mismo producto o variantes distintas. No agrupar dosis, tamaños o equipos diferentes. Fuente: master original, fila 264.</t>
  </si>
  <si>
    <t>El código también aparece en D-168, K-257. Confirmar si son el mismo producto o variantes distintas. No agrupar dosis, tamaños o equipos diferentes. Fuente: master original, fila 265.</t>
  </si>
  <si>
    <t>El código también aparece en D-167, K-237, K-275. Confirmar si son el mismo producto o variantes distintas. No agrupar dosis, tamaños o equipos diferentes. Fuente: master original, fila 221.</t>
  </si>
  <si>
    <t>El código también aparece en D-166. Confirmar si son el mismo producto o variantes distintas. No agrupar dosis, tamaños o equipos diferentes. Fuente: master original, fila 266.</t>
  </si>
  <si>
    <t>El código también aparece en E-200, K-259. Confirmar si son el mismo producto o variantes distintas. No agrupar dosis, tamaños o equipos diferentes. Fuente: master original, fila 223.</t>
  </si>
  <si>
    <t>557</t>
  </si>
  <si>
    <t>Hay un código cargado, pero el relevamiento indica Sin coincidencia. Revisar si corresponde al ítem y buscar otro código si no coincide. Fuente: master original, fila 112.</t>
  </si>
  <si>
    <t>Además, el origen indica Sin coincidencia. El código también aparece en E-202. Confirmar si son el mismo producto o variantes distintas. No agrupar dosis, tamaños o equipos diferentes. Fuente: master original, fila 113.</t>
  </si>
  <si>
    <t>Además, el origen indica Sin coincidencia. El código también aparece en E-201, K-251. Confirmar si son el mismo producto o variantes distintas. No agrupar dosis, tamaños o equipos diferentes. Fuente: master original, fila 114.</t>
  </si>
  <si>
    <t>El código también aparece en E-184, E-185. Confirmar si son el mismo producto o variantes distintas. No agrupar dosis, tamaños o equipos diferentes. Fuente: master original, fila 227.</t>
  </si>
  <si>
    <t>543</t>
  </si>
  <si>
    <t>Hay un código cargado, pero el relevamiento indica Sin coincidencia. Revisar si corresponde al ítem y buscar otro código si no coincide. Fuente: master original, fila 229.</t>
  </si>
  <si>
    <t>542</t>
  </si>
  <si>
    <t>Hay un código cargado, pero el relevamiento indica Sin coincidencia. Revisar si corresponde al ítem y buscar otro código si no coincide. Fuente: master original, fila 231.</t>
  </si>
  <si>
    <t>El código también aparece en E-183. Confirmar si son el mismo producto o variantes distintas. No agrupar dosis, tamaños o equipos diferentes. Confianza histórica: Alta; ajustada a Media por el hallazgo indicado. Fuente: master original, fila 267.</t>
  </si>
  <si>
    <t>Además, el origen indica Sin coincidencia. El código también aparece en E-193, K-252, K-276. Confirmar si son el mismo producto o variantes distintas. No agrupar dosis, tamaños o equipos diferentes. Fuente: master original, fila 119.</t>
  </si>
  <si>
    <t>El código también aparece en D-141, K-266. Confirmar si son el mismo producto o variantes distintas. No agrupar dosis, tamaños o equipos diferentes. Confianza histórica: Alta; ajustada a Media por el hallazgo indicado. Fuente: master original, fila 269.</t>
  </si>
  <si>
    <t>274</t>
  </si>
  <si>
    <t>Guantesn°7</t>
  </si>
  <si>
    <t>El código también aparece en K-284. Confirmar si son el mismo producto o variantes distintas. No agrupar dosis, tamaños o equipos diferentes. Fuente: master original, fila 122.</t>
  </si>
  <si>
    <t>1002</t>
  </si>
  <si>
    <t>ANTIPARRA</t>
  </si>
  <si>
    <t>Además, el origen indica Sin coincidencia. El código también aparece en K-290. Confirmar si son el mismo producto o variantes distintas. No agrupar dosis, tamaños o equipos diferentes. Fuente: master original, fila 236.</t>
  </si>
  <si>
    <t>El código también aparece en D-142, K-268, K-278. Confirmar si son el mismo producto o variantes distintas. No agrupar dosis, tamaños o equipos diferentes. Confianza histórica: Alta; ajustada a Media por el hallazgo indicado. Fuente: master original, fila 124.</t>
  </si>
  <si>
    <t>El código también aparece en D-167, K-219, K-275. Confirmar si son el mismo producto o variantes distintas. No agrupar dosis, tamaños o equipos diferentes. Fuente: master original, fila 238.</t>
  </si>
  <si>
    <t>El código también aparece en E-196, K-282. Confirmar si son el mismo producto o variantes distintas. No agrupar dosis, tamaños o equipos diferentes. Fuente: master original, fila 134.</t>
  </si>
  <si>
    <t>El código también aparece en D-148. Confirmar si son el mismo producto o variantes distintas. No agrupar dosis, tamaños o equipos diferentes. Confianza histórica: Alta; ajustada a Media por el hallazgo indicado. Fuente: master original, fila 270.</t>
  </si>
  <si>
    <t>El código también aparece en D-143. Confirmar si son el mismo producto o variantes distintas. No agrupar dosis, tamaños o equipos diferentes. Confianza histórica: Alta; ajustada a Media por el hallazgo indicado. Fuente: master original, fila 135.</t>
  </si>
  <si>
    <t>El código también aparece en D-144, K-270. Confirmar si son el mismo producto o variantes distintas. No agrupar dosis, tamaños o equipos diferentes. Confianza histórica: Alta; ajustada a Media por el hallazgo indicado. Fuente: master original, fila 137.</t>
  </si>
  <si>
    <t>El código también aparece en E-194, K-250. Confirmar si son el mismo producto o variantes distintas. No agrupar dosis, tamaños o equipos diferentes. Fuente: master original, fila 243.</t>
  </si>
  <si>
    <t>257</t>
  </si>
  <si>
    <t>Gasas10x10cm</t>
  </si>
  <si>
    <t>El código también aparece en K-289. Confirmar si son el mismo producto o variantes distintas. No agrupar dosis, tamaños o equipos diferentes. Confianza histórica: Alta; ajustada a Media por el hallazgo indicado. Fuente: master original, fila 138.</t>
  </si>
  <si>
    <t>359</t>
  </si>
  <si>
    <t>SABANAPARAQUEMADOESTERIL</t>
  </si>
  <si>
    <t>El código también aparece en K-272. Confirmar si son el mismo producto o variantes distintas. No agrupar dosis, tamaños o equipos diferentes. Fuente: master original, fila 139.</t>
  </si>
  <si>
    <t>382</t>
  </si>
  <si>
    <t>MANTATERMICADEEMERGENCIA</t>
  </si>
  <si>
    <t>El código también aparece en K-265. Confirmar si son el mismo producto o variantes distintas. No agrupar dosis, tamaños o equipos diferentes. Fuente: master original, fila 246.</t>
  </si>
  <si>
    <t>El código también aparece en E-195, K-279. Confirmar si son el mismo producto o variantes distintas. No agrupar dosis, tamaños o equipos diferentes. Confianza histórica: Alta; ajustada a Media por el hallazgo indicado. Fuente: master original, fila 140.</t>
  </si>
  <si>
    <t>Además, el origen indica Sin coincidencia. El código también aparece en E-210. Confirmar si son el mismo producto o variantes distintas. No agrupar dosis, tamaños o equipos diferentes. Fuente: master original, fila 249.</t>
  </si>
  <si>
    <t>El código también aparece en E-194, K-242. Confirmar si son el mismo producto o variantes distintas. No agrupar dosis, tamaños o equipos diferentes. Fuente: master original, fila 250.</t>
  </si>
  <si>
    <t>Además, el origen indica Sin coincidencia. El código también aparece en E-201, K-224. Confirmar si son el mismo producto o variantes distintas. No agrupar dosis, tamaños o equipos diferentes. Fuente: master original, fila 141.</t>
  </si>
  <si>
    <t>Además, el origen indica Sin coincidencia. El código también aparece en E-193, K-232, K-276. Confirmar si son el mismo producto o variantes distintas. No agrupar dosis, tamaños o equipos diferentes. Fuente: master original, fila 142.</t>
  </si>
  <si>
    <t>El código también aparece en E-199, K-215, K-277. Confirmar si son el mismo producto o variantes distintas. No agrupar dosis, tamaños o equipos diferentes. Fuente: master original, fila 143.</t>
  </si>
  <si>
    <t>El código también aparece en D-159, K-216. Confirmar si son el mismo producto o variantes distintas. No agrupar dosis, tamaños o equipos diferentes. Fuente: master original, fila 274.</t>
  </si>
  <si>
    <t>El código también aparece en D-160, K-217. Confirmar si son el mismo producto o variantes distintas. No agrupar dosis, tamaños o equipos diferentes. Confianza histórica: Alta; ajustada a Media por el hallazgo indicado. Fuente: master original, fila 275.</t>
  </si>
  <si>
    <t>El código también aparece en D-168, K-218. Confirmar si son el mismo producto o variantes distintas. No agrupar dosis, tamaños o equipos diferentes. Fuente: master original, fila 276.</t>
  </si>
  <si>
    <t>539 
540
541</t>
  </si>
  <si>
    <t>TUBO ENDOTRAQUEAL 2,5
TUBO ENDOTRAQUEAL 3
TUBO ENDOTRAQUEAL 4</t>
  </si>
  <si>
    <t>Varios códigos en una celda</t>
  </si>
  <si>
    <t>Se registraron 539, 540 y 541 juntos. Identificar cada calibre y confirmar cómo representa AVAIN el ítem agrupado del master. Confianza histórica: Sin coincidencia; ajustada a Media por el hallazgo indicado. Fuente: master original, fila 277.</t>
  </si>
  <si>
    <t>El código también aparece en E-200, K-221. Confirmar si son el mismo producto o variantes distintas. No agrupar dosis, tamaños o equipos diferentes. Fuente: master original, fila 259.</t>
  </si>
  <si>
    <t>El código también aparece en D-163. Confirmar si son el mismo producto o variantes distintas. No agrupar dosis, tamaños o equipos diferentes. Fuente: master original, fila 144.</t>
  </si>
  <si>
    <t>El código también aparece en E-207, K-274. Confirmar si son el mismo producto o variantes distintas. No agrupar dosis, tamaños o equipos diferentes. Fuente: master original, fila 145.</t>
  </si>
  <si>
    <t>El código también aparece en E-206. Confirmar si son el mismo producto o variantes distintas. No agrupar dosis, tamaños o equipos diferentes. Fuente: master original, fila 146.</t>
  </si>
  <si>
    <t>El código también aparece en K-245. Confirmar si son el mismo producto o variantes distintas. No agrupar dosis, tamaños o equipos diferentes. Fuente: master original, fila 278.</t>
  </si>
  <si>
    <t>El código también aparece en D-141, K-233. Confirmar si son el mismo producto o variantes distintas. No agrupar dosis, tamaños o equipos diferentes. Fuente: master original, fila 279.</t>
  </si>
  <si>
    <t>El código también aparece en D-142, K-236, K-278. Confirmar si son el mismo producto o variantes distintas. No agrupar dosis, tamaños o equipos diferentes. Confianza histórica: Alta; ajustada a Media por el hallazgo indicado. Fuente: master original, fila 148.</t>
  </si>
  <si>
    <t>Además, el origen indica Sin coincidencia. El código también aparece en M15-004. Confirmar si son el mismo producto o variantes distintas. No agrupar dosis, tamaños o equipos diferentes. Fuente: master original, fila 268.</t>
  </si>
  <si>
    <t>El código también aparece en D-144, K-241. Confirmar si son el mismo producto o variantes distintas. No agrupar dosis, tamaños o equipos diferentes. Fuente: master original, fila 149.</t>
  </si>
  <si>
    <t>El código también aparece en D-177, M13-001. Confirmar si son el mismo producto o variantes distintas. No agrupar dosis, tamaños o equipos diferentes. Fuente: master original, fila 151.</t>
  </si>
  <si>
    <t>El código también aparece en K-244. Confirmar si son el mismo producto o variantes distintas. No agrupar dosis, tamaños o equipos diferentes. Fuente: master original, fila 152.</t>
  </si>
  <si>
    <t>El código también aparece en E-207, K-261. Confirmar si son el mismo producto o variantes distintas. No agrupar dosis, tamaños o equipos diferentes. Fuente: master original, fila 155.</t>
  </si>
  <si>
    <t>El código también aparece en D-167, K-219, K-237. Confirmar si son el mismo producto o variantes distintas. No agrupar dosis, tamaños o equipos diferentes. Fuente: master original, fila 273.</t>
  </si>
  <si>
    <t>Además, el origen indica Sin coincidencia. El código también aparece en E-193, K-232, K-252. Confirmar si son el mismo producto o variantes distintas. No agrupar dosis, tamaños o equipos diferentes. Fuente: master original, fila 156.</t>
  </si>
  <si>
    <t>El código también aparece en E-199, K-215, K-253. Confirmar si son el mismo producto o variantes distintas. No agrupar dosis, tamaños o equipos diferentes. Fuente: master original, fila 157.</t>
  </si>
  <si>
    <t>El código también aparece en D-142, K-236, K-268. Confirmar si son el mismo producto o variantes distintas. No agrupar dosis, tamaños o equipos diferentes. Fuente: master original, fila 161.</t>
  </si>
  <si>
    <t>El código también aparece en E-195, K-247. Confirmar si son el mismo producto o variantes distintas. No agrupar dosis, tamaños o equipos diferentes. Fuente: master original, fila 162.</t>
  </si>
  <si>
    <t>553</t>
  </si>
  <si>
    <t>Hay un código cargado, pero el relevamiento indica Sin coincidencia. Revisar si corresponde al ítem y buscar otro código si no coincide. Fuente: master original, fila 163.</t>
  </si>
  <si>
    <t>El código también aparece en K-234. Confirmar si son el mismo producto o variantes distintas. No agrupar dosis, tamaños o equipos diferentes. Fuente: master original, fila 285.</t>
  </si>
  <si>
    <t>El código también aparece en D-155, D-156. Confirmar si son el mismo producto o variantes distintas. No agrupar dosis, tamaños o equipos diferentes. Confianza histórica: Alta; ajustada a Media por el hallazgo indicado. Fuente: master original, fila 282.</t>
  </si>
  <si>
    <t>1003</t>
  </si>
  <si>
    <t>COFIA</t>
  </si>
  <si>
    <t>Hay un código cargado, pero el relevamiento indica Sin coincidencia. Revisar si corresponde al ítem y buscar otro código si no coincide. Fuente: master original, fila 284.</t>
  </si>
  <si>
    <t>El código también aparece en K-243. Confirmar si son el mismo producto o variantes distintas. No agrupar dosis, tamaños o equipos diferentes. Fuente: master original, fila 286.</t>
  </si>
  <si>
    <t>Además, el origen indica Sin coincidencia. El código también aparece en K-235. Confirmar si son el mismo producto o variantes distintas. No agrupar dosis, tamaños o equipos diferentes. Fuente: master original, fila 287.</t>
  </si>
  <si>
    <t>89</t>
  </si>
  <si>
    <t>DICLOFENACSODICO75MGAMPOLLA</t>
  </si>
  <si>
    <t>Equivalencia a revisar</t>
  </si>
  <si>
    <t>Comparar producto, concentración, forma, presentación o tamaño. La descripción relevada no alcanza para confirmar la equivalencia. Fuente: master original, fila 5.</t>
  </si>
  <si>
    <t>396</t>
  </si>
  <si>
    <t>IBUPROFENO600MGCOMPRECUBIERTOS</t>
  </si>
  <si>
    <t>Comparar producto, concentración, forma, presentación o tamaño. La descripción relevada no alcanza para confirmar la equivalencia. Este ID estaba duplicado; aquí aparece una sola vez. Fuente: master original, fila 7.</t>
  </si>
  <si>
    <t>94</t>
  </si>
  <si>
    <t>DIPIRONACOMP</t>
  </si>
  <si>
    <t>Comparar producto, concentración, forma, presentación o tamaño. La descripción relevada no alcanza para confirmar la equivalencia. Fuente: master original, fila 173.</t>
  </si>
  <si>
    <t>93</t>
  </si>
  <si>
    <t>DIPIRONAAMP</t>
  </si>
  <si>
    <t>Comparar producto, concentración, forma, presentación o tamaño. La descripción relevada no alcanza para confirmar la equivalencia. Fuente: master original, fila 14.</t>
  </si>
  <si>
    <t>486</t>
  </si>
  <si>
    <t>Ergotamina</t>
  </si>
  <si>
    <t>Comparar producto, concentración, forma, presentación o tamaño. La descripción relevada no alcanza para confirmar la equivalencia. Fuente: master original, fila 19.</t>
  </si>
  <si>
    <t>487</t>
  </si>
  <si>
    <t>Bencidamina</t>
  </si>
  <si>
    <t>Comparar producto, concentración, forma, presentación o tamaño. La descripción relevada no alcanza para confirmar la equivalencia. Fuente: master original, fila 20.</t>
  </si>
  <si>
    <t>146</t>
  </si>
  <si>
    <t>Comparar producto, concentración, forma, presentación o tamaño. La descripción relevada no alcanza para confirmar la equivalencia. Fuente: master original, fila 169.</t>
  </si>
  <si>
    <t>309</t>
  </si>
  <si>
    <t>FENTANILOAMP</t>
  </si>
  <si>
    <t>Comparar producto, concentración, forma, presentación o tamaño. La descripción relevada no alcanza para confirmar la equivalencia. Fuente: master original, fila 23.</t>
  </si>
  <si>
    <t>331</t>
  </si>
  <si>
    <t>MORFINA10MGAMP</t>
  </si>
  <si>
    <t>Comparar producto, concentración, forma, presentación o tamaño. La descripción relevada no alcanza para confirmar la equivalencia. Fuente: master original, fila 24.</t>
  </si>
  <si>
    <t>272</t>
  </si>
  <si>
    <t>NALBUFINAAMP</t>
  </si>
  <si>
    <t>Comparar producto, concentración, forma, presentación o tamaño. La descripción relevada no alcanza para confirmar la equivalencia. Fuente: master original, fila 25.</t>
  </si>
  <si>
    <t>488</t>
  </si>
  <si>
    <t>Etomidato</t>
  </si>
  <si>
    <t>Comparar producto, concentración, forma, presentación o tamaño. La descripción relevada no alcanza para confirmar la equivalencia. Fuente: master original, fila 26.</t>
  </si>
  <si>
    <t>489</t>
  </si>
  <si>
    <t>Propofol</t>
  </si>
  <si>
    <t>Comparar producto, concentración, forma, presentación o tamaño. La descripción relevada no alcanza para confirmar la equivalencia. Fuente: master original, fila 27.</t>
  </si>
  <si>
    <t>2</t>
  </si>
  <si>
    <t>ADRENALINAINY</t>
  </si>
  <si>
    <t>Comparar producto, concentración, forma, presentación o tamaño. La descripción relevada no alcanza para confirmar la equivalencia. Fuente: master original, fila 29.</t>
  </si>
  <si>
    <t>26</t>
  </si>
  <si>
    <t>ATROPINAAMP</t>
  </si>
  <si>
    <t>Comparar producto, concentración, forma, presentación o tamaño. La descripción relevada no alcanza para confirmar la equivalencia. Fuente: master original, fila 30.</t>
  </si>
  <si>
    <t>342</t>
  </si>
  <si>
    <t>AMIODARONAAMP</t>
  </si>
  <si>
    <t>Comparar producto, concentración, forma, presentación o tamaño. La descripción relevada no alcanza para confirmar la equivalencia. Fuente: master original, fila 31.</t>
  </si>
  <si>
    <t>311</t>
  </si>
  <si>
    <t>ADENOSINAAMP</t>
  </si>
  <si>
    <t>Comparar producto, concentración, forma, presentación o tamaño. La descripción relevada no alcanza para confirmar la equivalencia. Fuente: master original, fila 32.</t>
  </si>
  <si>
    <t>122</t>
  </si>
  <si>
    <t>GLUCONATODECALCIOAMP</t>
  </si>
  <si>
    <t>Comparar producto, concentración, forma, presentación o tamaño. La descripción relevada no alcanza para confirmar la equivalencia. Fuente: master original, fila 34.</t>
  </si>
  <si>
    <t>490</t>
  </si>
  <si>
    <t>Dopamina</t>
  </si>
  <si>
    <t>Comparar producto, concentración, forma, presentación o tamaño. La descripción relevada no alcanza para confirmar la equivalencia. Fuente: master original, fila 35.</t>
  </si>
  <si>
    <t>491</t>
  </si>
  <si>
    <t>Dobutamina</t>
  </si>
  <si>
    <t>Comparar producto, concentración, forma, presentación o tamaño. La descripción relevada no alcanza para confirmar la equivalencia. Fuente: master original, fila 37.</t>
  </si>
  <si>
    <t>313</t>
  </si>
  <si>
    <t>ATENOLOL50MGCOMP</t>
  </si>
  <si>
    <t>Comparar producto, concentración, forma, presentación o tamaño. La descripción relevada no alcanza para confirmar la equivalencia. Fuente: master original, fila 40.</t>
  </si>
  <si>
    <t>493</t>
  </si>
  <si>
    <t>Losartan</t>
  </si>
  <si>
    <t>Comparar producto, concentración, forma, presentación o tamaño. La descripción relevada no alcanza para confirmar la equivalencia. Fuente: master original, fila 43.</t>
  </si>
  <si>
    <t>92</t>
  </si>
  <si>
    <t>DINITRATODEISOSORBIDE</t>
  </si>
  <si>
    <t>Comparar producto, concentración, forma, presentación o tamaño. La descripción relevada no alcanza para confirmar la equivalencia. Fuente: master original, fila 44.</t>
  </si>
  <si>
    <t>308</t>
  </si>
  <si>
    <t>DIGOXINA</t>
  </si>
  <si>
    <t>Comparar producto, concentración, forma, presentación o tamaño. La descripción relevada no alcanza para confirmar la equivalencia. Fuente: master original, fila 46.</t>
  </si>
  <si>
    <t>494</t>
  </si>
  <si>
    <t>Labetalol</t>
  </si>
  <si>
    <t>Comparar producto, concentración, forma, presentación o tamaño. La descripción relevada no alcanza para confirmar la equivalencia. Fuente: master original, fila 47.</t>
  </si>
  <si>
    <t>499</t>
  </si>
  <si>
    <t>Ac.tranexamico</t>
  </si>
  <si>
    <t>Comparar producto, concentración, forma, presentación o tamaño. La descripción relevada no alcanza para confirmar la equivalencia. Fuente: master original, fila 52.</t>
  </si>
  <si>
    <t>500</t>
  </si>
  <si>
    <t>Mgsulfato</t>
  </si>
  <si>
    <t>Comparar producto, concentración, forma, presentación o tamaño. La descripción relevada no alcanza para confirmar la equivalencia. Fuente: master original, fila 184.</t>
  </si>
  <si>
    <t>204</t>
  </si>
  <si>
    <t>SALBUTAMOL</t>
  </si>
  <si>
    <t>Comparar producto, concentración, forma, presentación o tamaño. La descripción relevada no alcanza para confirmar la equivalencia. Fuente: master original, fila 3.</t>
  </si>
  <si>
    <t>332</t>
  </si>
  <si>
    <t>SALBUTAMOLSOLUCIONPARANEBULIZAR</t>
  </si>
  <si>
    <t>Comparar producto, concentración, forma, presentación o tamaño. La descripción relevada no alcanza para confirmar la equivalencia. Fuente: master original, fila 185.</t>
  </si>
  <si>
    <t>34</t>
  </si>
  <si>
    <t>BROMURODEIPRATROPIO</t>
  </si>
  <si>
    <t>Comparar producto, concentración, forma, presentación o tamaño. La descripción relevada no alcanza para confirmar la equivalencia. Fuente: master original, fila 186.</t>
  </si>
  <si>
    <t>35</t>
  </si>
  <si>
    <t>BUDESONIDE</t>
  </si>
  <si>
    <t>Comparar producto, concentración, forma, presentación o tamaño. La descripción relevada no alcanza para confirmar la equivalencia. Fuente: master original, fila 188.</t>
  </si>
  <si>
    <t>65</t>
  </si>
  <si>
    <t>DECADRON</t>
  </si>
  <si>
    <t>Comparar producto, concentración, forma, presentación o tamaño. La descripción relevada no alcanza para confirmar la equivalencia. Fuente: master original, fila 60.</t>
  </si>
  <si>
    <t>61</t>
  </si>
  <si>
    <t>CORTEROIDBETAMETASONA</t>
  </si>
  <si>
    <t>Comparar producto, concentración, forma, presentación o tamaño. La descripción relevada no alcanza para confirmar la equivalencia. Fuente: master original, fila 9.</t>
  </si>
  <si>
    <t>152</t>
  </si>
  <si>
    <t>LOPERAMIDACOMP</t>
  </si>
  <si>
    <t>Comparar producto, concentración, forma, presentación o tamaño. La descripción relevada no alcanza para confirmar la equivalencia. Fuente: master original, fila 195.</t>
  </si>
  <si>
    <t>234</t>
  </si>
  <si>
    <t>VALIUM10MGDIASEPAM</t>
  </si>
  <si>
    <t>Comparar producto, concentración, forma, presentación o tamaño. La descripción relevada no alcanza para confirmar la equivalencia. Fuente: master original, fila 80.</t>
  </si>
  <si>
    <t>249</t>
  </si>
  <si>
    <t>FENITOINAAMP</t>
  </si>
  <si>
    <t>Comparar producto, concentración, forma, presentación o tamaño. La descripción relevada no alcanza para confirmar la equivalencia. Fuente: master original, fila 81.</t>
  </si>
  <si>
    <t>325</t>
  </si>
  <si>
    <t>HALOPERIDOLAMP</t>
  </si>
  <si>
    <t>Comparar producto, concentración, forma, presentación o tamaño. La descripción relevada no alcanza para confirmar la equivalencia. Fuente: master original, fila 84.</t>
  </si>
  <si>
    <t>508</t>
  </si>
  <si>
    <t>ClonazepamAmp.</t>
  </si>
  <si>
    <t>Comparar producto, concentración, forma, presentación o tamaño. La descripción relevada no alcanza para confirmar la equivalencia. Fuente: master original, fila 199.</t>
  </si>
  <si>
    <t>306</t>
  </si>
  <si>
    <t>NALOXONAAMP</t>
  </si>
  <si>
    <t>Comparar producto, concentración, forma, presentación o tamaño. La descripción relevada no alcanza para confirmar la equivalencia. Fuente: master original, fila 86.</t>
  </si>
  <si>
    <t>321</t>
  </si>
  <si>
    <t>FLUMAZENILAMP</t>
  </si>
  <si>
    <t>Comparar producto, concentración, forma, presentación o tamaño. La descripción relevada no alcanza para confirmar la equivalencia. Fuente: master original, fila 87.</t>
  </si>
  <si>
    <t>47</t>
  </si>
  <si>
    <t>CARBÓNACTIVADO</t>
  </si>
  <si>
    <t>Comparar producto, concentración, forma, presentación o tamaño. La descripción relevada no alcanza para confirmar la equivalencia. Fuente: master original, fila 200.</t>
  </si>
  <si>
    <t>55</t>
  </si>
  <si>
    <t>CIPROFLOXACINA</t>
  </si>
  <si>
    <t>Comparar producto, concentración, forma, presentación o tamaño. La descripción relevada no alcanza para confirmar la equivalencia. Fuente: master original, fila 28.</t>
  </si>
  <si>
    <t>59</t>
  </si>
  <si>
    <t>CLARITRIMICINA</t>
  </si>
  <si>
    <t>Comparar producto, concentración, forma, presentación o tamaño. La descripción relevada no alcanza para confirmar la equivalencia. Fuente: master original, fila 95.</t>
  </si>
  <si>
    <t>116</t>
  </si>
  <si>
    <t>FUROSEMIDAAMP</t>
  </si>
  <si>
    <t>Comparar producto, concentración, forma, presentación o tamaño. La descripción relevada no alcanza para confirmar la equivalencia. Fuente: master original, fila 103.</t>
  </si>
  <si>
    <t>515</t>
  </si>
  <si>
    <t>Manitol</t>
  </si>
  <si>
    <t>Comparar producto, concentración, forma, presentación o tamaño. La descripción relevada no alcanza para confirmar la equivalencia. Fuente: master original, fila 106.</t>
  </si>
  <si>
    <t>211</t>
  </si>
  <si>
    <t>SOLUCIONDEXTROSA</t>
  </si>
  <si>
    <t>Comparar producto, concentración, forma, presentación o tamaño. La descripción relevada no alcanza para confirmar la equivalencia. Fuente: master original, fila 108.</t>
  </si>
  <si>
    <t>216</t>
  </si>
  <si>
    <t>SOLUCIÓNRINGERLACTATO</t>
  </si>
  <si>
    <t>Comparar producto, concentración, forma, presentación o tamaño. La descripción relevada no alcanza para confirmar la equivalencia. Fuente: master original, fila 202.</t>
  </si>
  <si>
    <t>5</t>
  </si>
  <si>
    <t>AGUADESTILADAAMP</t>
  </si>
  <si>
    <t>Comparar producto, concentración, forma, presentación o tamaño. La descripción relevada no alcanza para confirmar la equivalencia. Fuente: master original, fila 204.</t>
  </si>
  <si>
    <t>54</t>
  </si>
  <si>
    <t>CIPRFLOXACINA+HIDROCORTISONA</t>
  </si>
  <si>
    <t>Comparar producto, concentración, forma, presentación o tamaño. La descripción relevada no alcanza para confirmar la equivalencia. Fuente: master original, fila 209.</t>
  </si>
  <si>
    <t>187</t>
  </si>
  <si>
    <t>POENCAINAPOENCAINA®PROPARACAINACLORHIDRATO500MG</t>
  </si>
  <si>
    <t>Comparar producto, concentración, forma, presentación o tamaño. La descripción relevada no alcanza para confirmar la equivalencia. Fuente: master original, fila 210.</t>
  </si>
  <si>
    <t>517</t>
  </si>
  <si>
    <t>Fluoresceina</t>
  </si>
  <si>
    <t>Comparar producto, concentración, forma, presentación o tamaño. La descripción relevada no alcanza para confirmar la equivalencia. Fuente: master original, fila 117.</t>
  </si>
  <si>
    <t>239</t>
  </si>
  <si>
    <t>XILOCAINA2%CONEPINEFRINA</t>
  </si>
  <si>
    <t>Comparar producto, concentración, forma, presentación o tamaño. La descripción relevada no alcanza para confirmar la equivalencia. Fuente: master original, fila 211.</t>
  </si>
  <si>
    <t>518</t>
  </si>
  <si>
    <t>Ac.fusidico+Beta</t>
  </si>
  <si>
    <t>Comparar producto, concentración, forma, presentación o tamaño. La descripción relevada no alcanza para confirmar la equivalencia. Fuente: master original, fila 56.</t>
  </si>
  <si>
    <t>521</t>
  </si>
  <si>
    <t>Fitomenadiona</t>
  </si>
  <si>
    <t>Comparar producto, concentración, forma, presentación o tamaño. La descripción relevada no alcanza para confirmar la equivalencia. Fuente: master original, fila 126.</t>
  </si>
  <si>
    <t>522</t>
  </si>
  <si>
    <t>Abbocath n° 22</t>
  </si>
  <si>
    <t>Comparar producto, concentración, forma, presentación o tamaño. La descripción relevada no alcanza para confirmar la equivalencia. Fuente: master original, fila 132.</t>
  </si>
  <si>
    <t>302</t>
  </si>
  <si>
    <t>JERINGAS1ML</t>
  </si>
  <si>
    <t>Comparar producto, concentración, forma, presentación o tamaño. La descripción relevada no alcanza para confirmar la equivalencia. Fuente: master original, fila 216.</t>
  </si>
  <si>
    <t>523</t>
  </si>
  <si>
    <t>JERINGAS 20 ML</t>
  </si>
  <si>
    <t>Comparar producto, concentración, forma, presentación o tamaño. La descripción relevada no alcanza para confirmar la equivalencia. Fuente: master original, fila 219.</t>
  </si>
  <si>
    <t>483</t>
  </si>
  <si>
    <t>CINTAADHESIVA5CM</t>
  </si>
  <si>
    <t>Comparar producto, concentración, forma, presentación o tamaño. La descripción relevada no alcanza para confirmar la equivalencia. Fuente: master original, fila 66.</t>
  </si>
  <si>
    <t>12</t>
  </si>
  <si>
    <t>ALGODÓN</t>
  </si>
  <si>
    <t>Comparar producto, concentración, forma, presentación o tamaño. La descripción relevada no alcanza para confirmar la equivalencia. Fuente: master original, fila 67.</t>
  </si>
  <si>
    <t>402</t>
  </si>
  <si>
    <t>guanteslatexs</t>
  </si>
  <si>
    <t>Comparar producto, concentración, forma, presentación o tamaño. La descripción relevada no alcanza para confirmar la equivalencia. Fuente: master original, fila 69.</t>
  </si>
  <si>
    <t>361</t>
  </si>
  <si>
    <t>DESCARTADORCORTOPUNZANTES4LTS</t>
  </si>
  <si>
    <t>Comparar producto, concentración, forma, presentación o tamaño. La descripción relevada no alcanza para confirmar la equivalencia. Fuente: master original, fila 160.</t>
  </si>
  <si>
    <t>304</t>
  </si>
  <si>
    <t>BOLSASROJAS</t>
  </si>
  <si>
    <t>Comparar producto, concentración, forma, presentación o tamaño. La descripción relevada no alcanza para confirmar la equivalencia. Fuente: master original, fila 71.</t>
  </si>
  <si>
    <t>346</t>
  </si>
  <si>
    <t>sondafoley16</t>
  </si>
  <si>
    <t>Comparar producto, concentración, forma, presentación o tamaño. La descripción relevada no alcanza para confirmar la equivalencia. Fuente: master original, fila 237.</t>
  </si>
  <si>
    <t>412</t>
  </si>
  <si>
    <t>DESFIBRILADORDEA(ultimageneracion)</t>
  </si>
  <si>
    <t>Comparar producto, concentración, forma, presentación o tamaño. La descripción relevada no alcanza para confirmar la equivalencia. Fuente: master original, fila 251.</t>
  </si>
  <si>
    <t>420</t>
  </si>
  <si>
    <t>RESPIRADORFIJOENAMBULANCIA</t>
  </si>
  <si>
    <t>Comparar producto, concentración, forma, presentación o tamaño. La descripción relevada no alcanza para confirmar la equivalencia. Fuente: master original, fila 189.</t>
  </si>
  <si>
    <t>290</t>
  </si>
  <si>
    <t>TUBODEO20,500MTRSCUBICOSPORTATIL</t>
  </si>
  <si>
    <t>Comparar producto, concentración, forma, presentación o tamaño. La descripción relevada no alcanza para confirmar la equivalencia. Fuente: master original, fila 255.</t>
  </si>
  <si>
    <t>371</t>
  </si>
  <si>
    <t>SONDACONREGULADOR32P</t>
  </si>
  <si>
    <t>Comparar producto, concentración, forma, presentación o tamaño. La descripción relevada no alcanza para confirmar la equivalencia. Fuente: master original, fila 115.</t>
  </si>
  <si>
    <t>353</t>
  </si>
  <si>
    <t>CANULASDEMAYON°2</t>
  </si>
  <si>
    <t>Comparar producto, concentración, forma, presentación o tamaño. La descripción relevada no alcanza para confirmar la equivalencia. Fuente: master original, fila 116.</t>
  </si>
  <si>
    <t>168</t>
  </si>
  <si>
    <t>NEXCAREOCULAR</t>
  </si>
  <si>
    <t>Comparar producto, concentración, forma, presentación o tamaño. La descripción relevada no alcanza para confirmar la equivalencia. Fuente: master original, fila 271.</t>
  </si>
  <si>
    <t>388</t>
  </si>
  <si>
    <t>SALBUTAMOLCONAEROCAMARA</t>
  </si>
  <si>
    <t>Comparar producto, concentración, forma, presentación o tamaño. La descripción relevada no alcanza para confirmar la equivalencia. Fuente: master original, fila 272.</t>
  </si>
  <si>
    <t>322</t>
  </si>
  <si>
    <t>NITROFURAZONA</t>
  </si>
  <si>
    <t>Comparar producto, concentración, forma, presentación o tamaño. La descripción relevada no alcanza para confirmar la equivalencia. Fuente: master original, fila 147.</t>
  </si>
  <si>
    <t>281</t>
  </si>
  <si>
    <t>GuantesnoesterilesL</t>
  </si>
  <si>
    <t>Comparar producto, concentración, forma, presentación o tamaño. La descripción relevada no alcanza para confirmar la equivalencia. Fuente: master original, fila 281.</t>
  </si>
  <si>
    <t>23</t>
  </si>
  <si>
    <t>ASPIRINA</t>
  </si>
  <si>
    <t>Coincidencia por validar</t>
  </si>
  <si>
    <t>El relevamiento indica una coincidencia probable. Confirmar las características del producto y la existencia del código en esta base. Fuente: master original, fila 166.</t>
  </si>
  <si>
    <t>83</t>
  </si>
  <si>
    <t>DICLOFENAC75COMP</t>
  </si>
  <si>
    <t>El relevamiento indica una coincidencia probable. Confirmar las características del producto y la existencia del código en esta base. Fuente: master original, fila 4.</t>
  </si>
  <si>
    <t>82</t>
  </si>
  <si>
    <t>DICLOFENAC+PRIDINOL</t>
  </si>
  <si>
    <t>El relevamiento indica una coincidencia probable. Confirmar las características del producto y la existencia del código en esta base. Fuente: master original, fila 167.</t>
  </si>
  <si>
    <t>179</t>
  </si>
  <si>
    <t>PARACETAMOL500MG</t>
  </si>
  <si>
    <t>El relevamiento indica una coincidencia probable. Confirmar las características del producto y la existencia del código en esta base. Fuente: master original, fila 12.</t>
  </si>
  <si>
    <t>327</t>
  </si>
  <si>
    <t>TRAMADOL100MGAMP</t>
  </si>
  <si>
    <t>El relevamiento indica una coincidencia probable. Confirmar las características del producto y la existencia del código en esta base. Fuente: master original, fila 15.</t>
  </si>
  <si>
    <t>484</t>
  </si>
  <si>
    <t>Tramadol+Paracetamol</t>
  </si>
  <si>
    <t>El relevamiento indica una coincidencia probable. Confirmar las características del producto y la existencia del código en esta base. Fuente: master original, fila 175.</t>
  </si>
  <si>
    <t>157</t>
  </si>
  <si>
    <t>MELOXICAM15G</t>
  </si>
  <si>
    <t>El relevamiento indica una coincidencia probable. Confirmar las características del producto y la existencia del código en esta base. Fuente: master original, fila 178.</t>
  </si>
  <si>
    <t>485</t>
  </si>
  <si>
    <t>Colchicina</t>
  </si>
  <si>
    <t>El relevamiento indica una coincidencia probable. Confirmar las características del producto y la existencia del código en esta base. Fuente: master original, fila 18.</t>
  </si>
  <si>
    <t>341</t>
  </si>
  <si>
    <t>SOLUCIONMOLARDEBICARBONATODESODIOX100ML</t>
  </si>
  <si>
    <t>El relevamiento indica una coincidencia probable. Confirmar las características del producto y la existencia del código en esta base. Fuente: master original, fila 180.</t>
  </si>
  <si>
    <t>480</t>
  </si>
  <si>
    <t>NORADRENALINA</t>
  </si>
  <si>
    <t>El relevamiento indica una coincidencia probable. Confirmar las características del producto y la existencia del código en esta base. Fuente: master original, fila 36.</t>
  </si>
  <si>
    <t>492</t>
  </si>
  <si>
    <t>Clopidogrel</t>
  </si>
  <si>
    <t>El relevamiento indica una coincidencia probable. Confirmar las características del producto y la existencia del código en esta base. Fuente: master original, fila 39.</t>
  </si>
  <si>
    <t>101</t>
  </si>
  <si>
    <t>ENALAPRILCOMP</t>
  </si>
  <si>
    <t>El relevamiento indica una coincidencia probable. Confirmar las características del producto y la existencia del código en esta base. Fuente: master original, fila 41.</t>
  </si>
  <si>
    <t>14</t>
  </si>
  <si>
    <t>AMLODIPINA</t>
  </si>
  <si>
    <t>El relevamiento indica una coincidencia probable. Confirmar las características del producto y la existencia del código en esta base. Fuente: master original, fila 183.</t>
  </si>
  <si>
    <t>479</t>
  </si>
  <si>
    <t>NITROGLICERINA25MG</t>
  </si>
  <si>
    <t>El relevamiento indica una coincidencia probable. Confirmar las características del producto y la existencia del código en esta base. Fuente: master original, fila 45.</t>
  </si>
  <si>
    <t>496</t>
  </si>
  <si>
    <t>Atorvastatina</t>
  </si>
  <si>
    <t>El relevamiento indica una coincidencia probable. Confirmar las características del producto y la existencia del código en esta base. Fuente: master original, fila 49.</t>
  </si>
  <si>
    <t>497</t>
  </si>
  <si>
    <t>Bisoprolol</t>
  </si>
  <si>
    <t>El relevamiento indica una coincidencia probable. Confirmar las características del producto y la existencia del código en esta base. Fuente: master original, fila 50.</t>
  </si>
  <si>
    <t>498</t>
  </si>
  <si>
    <t>Nifedipina</t>
  </si>
  <si>
    <t>El relevamiento indica una coincidencia probable. Confirmar las características del producto y la existencia del código en esta base. Fuente: master original, fila 51.</t>
  </si>
  <si>
    <t>501</t>
  </si>
  <si>
    <t>Alteplasa</t>
  </si>
  <si>
    <t>El relevamiento indica una coincidencia probable. Confirmar las características del producto y la existencia del código en esta base. Fuente: master original, fila 54.</t>
  </si>
  <si>
    <t>74</t>
  </si>
  <si>
    <t>DEXAMETASONACOMP</t>
  </si>
  <si>
    <t>El relevamiento indica una coincidencia probable. Confirmar las características del producto y la existencia del código en esta base. Fuente: master original, fila 191.</t>
  </si>
  <si>
    <t>130</t>
  </si>
  <si>
    <t>HIDROCORTISONA500MGAMP</t>
  </si>
  <si>
    <t>El relevamiento indica una coincidencia probable. Confirmar las características del producto y la existencia del código en esta base. Fuente: master original, fila 62.</t>
  </si>
  <si>
    <t>244</t>
  </si>
  <si>
    <t>DIFENHIDRAMINA10MGX1MLAMP</t>
  </si>
  <si>
    <t>El relevamiento indica una coincidencia probable. Confirmar las características del producto y la existencia del código en esta base. Fuente: master original, fila 64.</t>
  </si>
  <si>
    <t>154</t>
  </si>
  <si>
    <t>LORATADINAX10U</t>
  </si>
  <si>
    <t>El relevamiento indica una coincidencia probable. Confirmar las características del producto y la existencia del código en esta base. Fuente: master original, fila 65.</t>
  </si>
  <si>
    <t>310</t>
  </si>
  <si>
    <t>Dimenhidrinato50mg</t>
  </si>
  <si>
    <t>El relevamiento indica una coincidencia probable. Confirmar las características del producto y la existencia del código en esta base. Fuente: master original, fila 192.</t>
  </si>
  <si>
    <t>503</t>
  </si>
  <si>
    <t>Difenhidramina+Calamina</t>
  </si>
  <si>
    <t>El relevamiento indica una coincidencia probable. Confirmar las características del producto y la existencia del código en esta base. Fuente: master original, fila 10.</t>
  </si>
  <si>
    <t>504</t>
  </si>
  <si>
    <t>Hioscina+Dipirona</t>
  </si>
  <si>
    <t>El relevamiento indica una coincidencia probable. Confirmar las características del producto y la existencia del código en esta base. Fuente: master original, fila 72.</t>
  </si>
  <si>
    <t>505</t>
  </si>
  <si>
    <t>Famotidina</t>
  </si>
  <si>
    <t>El relevamiento indica una coincidencia probable. Confirmar las características del producto y la existencia del código en esta base. Fuente: master original, fila 75.</t>
  </si>
  <si>
    <t>506</t>
  </si>
  <si>
    <t>Al/Mghidroxido</t>
  </si>
  <si>
    <t>El relevamiento indica una coincidencia probable. Confirmar las características del producto y la existencia del código en esta base. Fuente: master original, fila 76.</t>
  </si>
  <si>
    <t>507</t>
  </si>
  <si>
    <t>Trimebutina+Simeticona</t>
  </si>
  <si>
    <t>El relevamiento indica una coincidencia probable. Confirmar las características del producto y la existencia del código en esta base. Fuente: master original, fila 78.</t>
  </si>
  <si>
    <t>401</t>
  </si>
  <si>
    <t>SALESDEREHIDRATACIONORALX28GS</t>
  </si>
  <si>
    <t>El relevamiento indica una coincidencia probable. Confirmar las características del producto y la existencia del código en esta base. Fuente: master original, fila 79.</t>
  </si>
  <si>
    <t>217</t>
  </si>
  <si>
    <t>SUEROANTIOFÍDICOPOLIVALENTE</t>
  </si>
  <si>
    <t>El relevamiento indica una coincidencia probable. Confirmar las características del producto y la existencia del código en esta base. Fuente: master original, fila 89.</t>
  </si>
  <si>
    <t>16</t>
  </si>
  <si>
    <t>AMOXICILINA+AC.CLAVULANICO</t>
  </si>
  <si>
    <t>El relevamiento indica una coincidencia probable. Confirmar las características del producto y la existencia del código en esta base. Fuente: master original, fila 13.</t>
  </si>
  <si>
    <t>50</t>
  </si>
  <si>
    <t>CEFALEXINA</t>
  </si>
  <si>
    <t>El relevamiento indica una coincidencia probable. Confirmar las características del producto y la existencia del código en esta base. Fuente: master original, fila 16.</t>
  </si>
  <si>
    <t>28</t>
  </si>
  <si>
    <t>AZITROMICINA</t>
  </si>
  <si>
    <t>El relevamiento indica una coincidencia probable. Confirmar las características del producto y la existencia del código en esta base. Fuente: master original, fila 17.</t>
  </si>
  <si>
    <t>509</t>
  </si>
  <si>
    <t>Levofloxacina</t>
  </si>
  <si>
    <t>El relevamiento indica una coincidencia probable. Confirmar las características del producto y la existencia del código en esta base. Fuente: master original, fila 94.</t>
  </si>
  <si>
    <t>511</t>
  </si>
  <si>
    <t>Clindamicina</t>
  </si>
  <si>
    <t>El relevamiento indica una coincidencia probable. Confirmar las características del producto y la existencia del código en esta base. Fuente: master original, fila 96.</t>
  </si>
  <si>
    <t>512</t>
  </si>
  <si>
    <t>Metronidazol</t>
  </si>
  <si>
    <t>El relevamiento indica una coincidencia probable. Confirmar las características del producto y la existencia del código en esta base. Fuente: master original, fila 97.</t>
  </si>
  <si>
    <t>513</t>
  </si>
  <si>
    <t>Ceftriaxona</t>
  </si>
  <si>
    <t>El relevamiento indica una coincidencia probable. Confirmar las características del producto y la existencia del código en esta base. Fuente: master original, fila 99.</t>
  </si>
  <si>
    <t>481</t>
  </si>
  <si>
    <t>PENICILINAG.2.4MILLONES</t>
  </si>
  <si>
    <t>El relevamiento indica una coincidencia probable. Confirmar las características del producto y la existencia del código en esta base. Fuente: master original, fila 101.</t>
  </si>
  <si>
    <t>514</t>
  </si>
  <si>
    <t>Acetazolamida</t>
  </si>
  <si>
    <t>El relevamiento indica una coincidencia probable. Confirmar las características del producto y la existencia del código en esta base. Fuente: master original, fila 104.</t>
  </si>
  <si>
    <t>150</t>
  </si>
  <si>
    <t>LIDOCAINA2%SINEPINEFRINAX5ML</t>
  </si>
  <si>
    <t>El relevamiento indica una coincidencia probable. Confirmar las características del producto y la existencia del código en esta base. Fuente: master original, fila 118.</t>
  </si>
  <si>
    <t>240</t>
  </si>
  <si>
    <t>XILOCAINA2%JALEA</t>
  </si>
  <si>
    <t>El relevamiento indica una coincidencia probable. Confirmar las características del producto y la existencia del código en esta base. Fuente: master original, fila 120.</t>
  </si>
  <si>
    <t>519</t>
  </si>
  <si>
    <t>Clotrimazol</t>
  </si>
  <si>
    <t>El relevamiento indica una coincidencia probable. Confirmar las características del producto y la existencia del código en esta base. Fuente: master original, fila 123.</t>
  </si>
  <si>
    <t>233</t>
  </si>
  <si>
    <t>VACUNAANTITETANICABIOL®</t>
  </si>
  <si>
    <t>El relevamiento indica una coincidencia probable. Confirmar las características del producto y la existencia del código en esta base. Fuente: master original, fila 212.</t>
  </si>
  <si>
    <t>520</t>
  </si>
  <si>
    <t>Enoxaparina</t>
  </si>
  <si>
    <t>El relevamiento indica una coincidencia probable. Confirmar las características del producto y la existencia del código en esta base. Fuente: master original, fila 125.</t>
  </si>
  <si>
    <t>199</t>
  </si>
  <si>
    <t>RIFAMICINASV1%X30ML</t>
  </si>
  <si>
    <t>El relevamiento indica una coincidencia probable. Confirmar las características del producto y la existencia del código en esta base. Fuente: master original, fila 127.</t>
  </si>
  <si>
    <t>264</t>
  </si>
  <si>
    <t>Abocathn°14</t>
  </si>
  <si>
    <t>El relevamiento indica una coincidencia probable. Confirmar las características del producto y la existencia del código en esta base. Fuente: master original, fila 128.</t>
  </si>
  <si>
    <t>268</t>
  </si>
  <si>
    <t>Abocathn°16</t>
  </si>
  <si>
    <t>El relevamiento indica una coincidencia probable. Confirmar las características del producto y la existencia del código en esta base. Fuente: master original, fila 129.</t>
  </si>
  <si>
    <t>265</t>
  </si>
  <si>
    <t>Abocathn°18</t>
  </si>
  <si>
    <t>El relevamiento indica una coincidencia probable. Confirmar las características del producto y la existencia del código en esta base. Fuente: master original, fila 130.</t>
  </si>
  <si>
    <t>266</t>
  </si>
  <si>
    <t>Abocathn°20</t>
  </si>
  <si>
    <t>El relevamiento indica una coincidencia probable. Confirmar las características del producto y la existencia del código en esta base. Fuente: master original, fila 131.</t>
  </si>
  <si>
    <t>254</t>
  </si>
  <si>
    <t>Jeringa5ml</t>
  </si>
  <si>
    <t>El relevamiento indica una coincidencia probable. Confirmar las características del producto y la existencia del código en esta base. Fuente: master original, fila 217.</t>
  </si>
  <si>
    <t>246</t>
  </si>
  <si>
    <t>JERINGAS10ML</t>
  </si>
  <si>
    <t>El relevamiento indica una coincidencia probable. Confirmar las características del producto y la existencia del código en esta base. Fuente: master original, fila 218.</t>
  </si>
  <si>
    <t>273</t>
  </si>
  <si>
    <t>Aguja25/8</t>
  </si>
  <si>
    <t>El relevamiento indica una coincidencia probable. Confirmar las características del producto y la existencia del código en esta base. Fuente: master original, fila 220.</t>
  </si>
  <si>
    <t>270</t>
  </si>
  <si>
    <t>Aguja40/8</t>
  </si>
  <si>
    <t>El relevamiento indica una coincidencia probable. Confirmar las características del producto y la existencia del código en esta base. Fuente: master original, fila 222.</t>
  </si>
  <si>
    <t>356</t>
  </si>
  <si>
    <t>AGUJA16X5</t>
  </si>
  <si>
    <t>El relevamiento indica una coincidencia probable. Confirmar las características del producto y la existencia del código en esta base. Fuente: master original, fila 224.</t>
  </si>
  <si>
    <t>64</t>
  </si>
  <si>
    <t>CURITASXUNID</t>
  </si>
  <si>
    <t>El relevamiento indica una coincidencia probable. Confirmar las características del producto y la existencia del código en esta base. Fuente: master original, fila 225.</t>
  </si>
  <si>
    <t>276</t>
  </si>
  <si>
    <t>Guantesn°71/2</t>
  </si>
  <si>
    <t>El relevamiento indica una coincidencia probable. Confirmar las características del producto y la existencia del código en esta base. Fuente: master original, fila 228.</t>
  </si>
  <si>
    <t>275</t>
  </si>
  <si>
    <t>Guantesn°8</t>
  </si>
  <si>
    <t>El relevamiento indica una coincidencia probable. Confirmar las características del producto y la existencia del código en esta base. Fuente: master original, fila 230.</t>
  </si>
  <si>
    <t>285</t>
  </si>
  <si>
    <t>Sondadeaspiracion</t>
  </si>
  <si>
    <t>El relevamiento indica una coincidencia probable. Confirmar las características del producto y la existencia del código en esta base. Fuente: master original, fila 234.</t>
  </si>
  <si>
    <t>307</t>
  </si>
  <si>
    <t>BOLSACOLECTORAORINA</t>
  </si>
  <si>
    <t>El relevamiento indica una coincidencia probable. Confirmar las características del producto y la existencia del código en esta base. Fuente: master original, fila 239.</t>
  </si>
  <si>
    <t>340</t>
  </si>
  <si>
    <t>TIRASREACTIVASHGT</t>
  </si>
  <si>
    <t>El relevamiento indica una coincidencia probable. Confirmar las características del producto y la existencia del código en esta base. Fuente: master original, fila 242.</t>
  </si>
  <si>
    <t>255</t>
  </si>
  <si>
    <t>ALCOHOLETILICO96%X1LTS</t>
  </si>
  <si>
    <t>El relevamiento indica una coincidencia probable. Confirmar las características del producto y la existencia del código en esta base. Fuente: master original, fila 177.</t>
  </si>
  <si>
    <t>137</t>
  </si>
  <si>
    <t>IODOPOVIDONA1000ML</t>
  </si>
  <si>
    <t>El relevamiento indica una coincidencia probable. Confirmar las características del producto y la existencia del código en esta base. Fuente: master original, fila 244.</t>
  </si>
  <si>
    <t>395</t>
  </si>
  <si>
    <t>AGUAOXIGENADA1LTS</t>
  </si>
  <si>
    <t>El relevamiento indica una coincidencia probable. Confirmar las características del producto y la existencia del código en esta base. Fuente: master original, fila 245.</t>
  </si>
  <si>
    <t>464</t>
  </si>
  <si>
    <t>parchecardiodesfibrilador</t>
  </si>
  <si>
    <t>El relevamiento indica una coincidencia probable. Confirmar las características del producto y la existencia del código en esta base. Fuente: master original, fila 248.</t>
  </si>
  <si>
    <t>383</t>
  </si>
  <si>
    <t>GLUCOMETRO</t>
  </si>
  <si>
    <t>El relevamiento indica una coincidencia probable. Confirmar las características del producto y la existencia del código en esta base. Fuente: master original, fila 252.</t>
  </si>
  <si>
    <t>408</t>
  </si>
  <si>
    <t>CHALECOESTIRCACION(KENDRICH)</t>
  </si>
  <si>
    <t>El relevamiento indica una coincidencia probable. Confirmar las características del producto y la existencia del código en esta base. Fuente: master original, fila 83.</t>
  </si>
  <si>
    <t>421</t>
  </si>
  <si>
    <t>SILLADERUEDASPORTATIL</t>
  </si>
  <si>
    <t>El relevamiento indica una coincidencia probable. Confirmar las características del producto y la existencia del código en esta base. Fuente: master original, fila 257.</t>
  </si>
  <si>
    <t>423</t>
  </si>
  <si>
    <t>TERMOMETRODIGITAL</t>
  </si>
  <si>
    <t>El relevamiento indica una coincidencia probable. Confirmar las características del producto y la existencia del código en esta base. Fuente: master original, fila 258.</t>
  </si>
  <si>
    <t>458</t>
  </si>
  <si>
    <t>OTOSCOPIO</t>
  </si>
  <si>
    <t>El relevamiento indica una coincidencia probable. Confirmar las características del producto y la existencia del código en esta base. Fuente: master original, fila 260.</t>
  </si>
  <si>
    <t>406</t>
  </si>
  <si>
    <t>CARRODEPARO</t>
  </si>
  <si>
    <t>El relevamiento indica una coincidencia probable. Confirmar las características del producto y la existencia del código en esta base. Fuente: master original, fila 261.</t>
  </si>
  <si>
    <t>267</t>
  </si>
  <si>
    <t>Abocathn°24</t>
  </si>
  <si>
    <t>El relevamiento indica una coincidencia probable. Confirmar las características del producto y la existencia del código en esta base. Fuente: master original, fila 263.</t>
  </si>
  <si>
    <t>471</t>
  </si>
  <si>
    <t>CAMISOLINES</t>
  </si>
  <si>
    <t>El relevamiento indica una coincidencia probable. Confirmar las características del producto y la existencia del código en esta base. Fuente: master original, fila 283.</t>
  </si>
  <si>
    <t>358</t>
  </si>
  <si>
    <t>CAMPOESTERIL</t>
  </si>
  <si>
    <t>El relevamiento indica una coincidencia probable. Confirmar las características del producto y la existencia del código en esta base. Fuente: master original, fila 165.</t>
  </si>
  <si>
    <t>Revisión de San Juan</t>
  </si>
  <si>
    <t>284 ítems del master. Esta hoja registra únicamente las decisiones de San Juan.</t>
  </si>
  <si>
    <t>MED150</t>
  </si>
  <si>
    <t>Paracetamol Comp x 1 gr</t>
  </si>
  <si>
    <t>Master paracetamol 500 mg; San Juan registra 1 g. Misma sustancia, dosis distinta. Buscar 500 mg; no homologar por posibilidad de fraccionamiento. Fuente: master original, fila 12.</t>
  </si>
  <si>
    <t>MED181</t>
  </si>
  <si>
    <t>Tramadol 50mg/2ml amp</t>
  </si>
  <si>
    <t>Mismo principio activo, dosis distinta: master tramadol 100 mg/2 ml; MED181, 50 mg/2 ml. Confirmar la descripción y buscar la dosis requerida. Confianza histórica: Alta; ajustada a Baja por el hallazgo indicado. Fuente: master original, fila 15.</t>
  </si>
  <si>
    <t>MED30</t>
  </si>
  <si>
    <t>Caramelos antigripales con benzocaina 20.7mg</t>
  </si>
  <si>
    <t>Master caramelos con antibiótico; San Juan registra benzocaína. La descripción no acredita el antibiótico solicitado. Fuente: master original, fila 21.</t>
  </si>
  <si>
    <t>DES044</t>
  </si>
  <si>
    <t>Dexametasona 1 amp=2ml</t>
  </si>
  <si>
    <t>Master betametasona retard; San Juan registra dexametasona. Son principios activos distintos; la clase terapéutica no los hace equivalentes. Fuente: master original, fila 9.</t>
  </si>
  <si>
    <t>MED100</t>
  </si>
  <si>
    <t>Hioscina x 20 mg Amp x 1 ml</t>
  </si>
  <si>
    <t>Master hioscina 10 mg comprimidos; San Juan registra 20 mg en ampolla. Forma y dosis distintas. Fuente: master original, fila 194.</t>
  </si>
  <si>
    <t>MED95</t>
  </si>
  <si>
    <t>Hidroclorotiazida Comp x 50 mg</t>
  </si>
  <si>
    <t>Master hidroclorotiazida 25 mg; San Juan registra 50 mg. Misma sustancia, dosis distinta. Fuente: master original, fila 105.</t>
  </si>
  <si>
    <t>MED58</t>
  </si>
  <si>
    <t>Dextrosa al 5% x 500 ml sachet</t>
  </si>
  <si>
    <t>El master pide dextrosa 25% de 500 ml. MED58 dice dextrosa 5% de 500 ml. Misma sustancia, concentración distinta. Buscar la concentración correcta. Fuente: master original, fila 42.</t>
  </si>
  <si>
    <t>DESC73</t>
  </si>
  <si>
    <t>Guia Macrogotero</t>
  </si>
  <si>
    <t>El master pide microgotero. DESC73 dice macrogotero. Buscar el código de microgotero. Confianza histórica: Alta; ajustada a Baja por el hallazgo indicado. Fuente: master original, fila 57.</t>
  </si>
  <si>
    <t>MED200</t>
  </si>
  <si>
    <t>iodopovidona 100 ml sol/topica</t>
  </si>
  <si>
    <t>Master iodopovidona 10% de 1 litro; San Juan registra 100 ml y omite concentración. Volumen distinto; confirmar además 10%. Fuente: master original, fila 244.</t>
  </si>
  <si>
    <t>DESC9</t>
  </si>
  <si>
    <t>Agua oxigenada x 100ml</t>
  </si>
  <si>
    <t>Master agua oxigenada 1000 ml; San Juan registra 100 ml. Volumen distinto. Fuente: master original, fila 245.</t>
  </si>
  <si>
    <t>El código también aparece en M08-004, M08-005. Confirmar si son el mismo producto o variantes distintas. No agrupar dosis, tamaños o equipos diferentes. Confianza histórica: Alta; ajustada a Media por el hallazgo indicado. Fuente: master original, fila 70.</t>
  </si>
  <si>
    <t>El código también aparece en M08-003, M08-004. Confirmar si son el mismo producto o variantes distintas. No agrupar dosis, tamaños o equipos diferentes. Fuente: master original, fila 72.</t>
  </si>
  <si>
    <t>MED14</t>
  </si>
  <si>
    <t>Amoxicilina + Clavulanato Comp x 1 mg</t>
  </si>
  <si>
    <t>Unidad o dosis a aclarar</t>
  </si>
  <si>
    <t>El master indica amoxicilina + clavulánico 1 g. MED14 dice 1 mg. Revisar el dato en AVAIN antes de confirmar. Confianza histórica: Alta; ajustada a Media por el hallazgo indicado. Fuente: master original, fila 13.</t>
  </si>
  <si>
    <t>MED168</t>
  </si>
  <si>
    <t>Solucion fisiológica x 500 ml</t>
  </si>
  <si>
    <t>El código también aparece en D-177, K-271. Confirmar si son el mismo producto o variantes distintas. No agrupar dosis, tamaños o equipos diferentes. Confianza histórica: Alta; ajustada a Media por el hallazgo indicado. Fuente: master original, fila 201.</t>
  </si>
  <si>
    <t>El código también aparece en M13-004. Confirmar si son el mismo producto o variantes distintas. No agrupar dosis, tamaños o equipos diferentes. Confianza histórica: Alta; ajustada a Media por el hallazgo indicado. Fuente: master original, fila 108.</t>
  </si>
  <si>
    <t>DESC5</t>
  </si>
  <si>
    <t>El código también aparece en K-263. Confirmar si son el mismo producto o variantes distintas. No agrupar dosis, tamaños o equipos diferentes. Confianza histórica: Alta; ajustada a Media por el hallazgo indicado. Fuente: master original, fila 132.</t>
  </si>
  <si>
    <t>DESC64</t>
  </si>
  <si>
    <t>Gasas 10 x 10 cm</t>
  </si>
  <si>
    <t>El código también aparece en K-243, K-289. Confirmar si son el mismo producto o variantes distintas. No agrupar dosis, tamaños o equipos diferentes. Confianza histórica: Alta; ajustada a Media por el hallazgo indicado. Fuente: master original, fila 58.</t>
  </si>
  <si>
    <t>DESC21</t>
  </si>
  <si>
    <t>Apositos estériles</t>
  </si>
  <si>
    <t>DESC171</t>
  </si>
  <si>
    <t>Vendas de 7 cm.</t>
  </si>
  <si>
    <t>El código también aparece en D-144, K-240, K-241, K-270. Confirmar si son el mismo producto o variantes distintas. No agrupar dosis, tamaños o equipos diferentes. Fuente: master original, fila 61.</t>
  </si>
  <si>
    <t>El código también aparece en D-143, K-240, K-241, K-270. Confirmar si son el mismo producto o variantes distintas. No agrupar dosis, tamaños o equipos diferentes. Fuente: master original, fila 63.</t>
  </si>
  <si>
    <t>32</t>
  </si>
  <si>
    <t>GUANTES DE EXAMINACIÓN TALLE S</t>
  </si>
  <si>
    <t>El código también aparece en K-281. Confirmar si son el mismo producto o variantes distintas. No agrupar dosis, tamaños o equipos diferentes. Fuente: master original, fila 69.</t>
  </si>
  <si>
    <t>DESC24</t>
  </si>
  <si>
    <t>Barbijos N95 c/válvula</t>
  </si>
  <si>
    <t>El código también aparece en K-285. Confirmar si son el mismo producto o variantes distintas. No agrupar dosis, tamaños o equipos diferentes. Confianza histórica: Alta; ajustada a Media por el hallazgo indicado. Fuente: master original, fila 159.</t>
  </si>
  <si>
    <t>DESC93</t>
  </si>
  <si>
    <t>Mascaras para oxigeno c/ reservorio</t>
  </si>
  <si>
    <t>DESC92</t>
  </si>
  <si>
    <t>Mascaras para nebulizar</t>
  </si>
  <si>
    <t>DESC36</t>
  </si>
  <si>
    <t>Canula nasal</t>
  </si>
  <si>
    <t>El código también aparece en K-228. Confirmar si son el mismo producto o variantes distintas. No agrupar dosis, tamaños o equipos diferentes. Confianza histórica: Alta; ajustada a Media por el hallazgo indicado. Fuente: master original, fila 164.</t>
  </si>
  <si>
    <t>DESC119</t>
  </si>
  <si>
    <t>Sonda para aspiración K 29</t>
  </si>
  <si>
    <t>El código también aparece en K-226. Confirmar si son el mismo producto o variantes distintas. No agrupar dosis, tamaños o equipos diferentes. Fuente: master original, fila 234.</t>
  </si>
  <si>
    <t>DESC156</t>
  </si>
  <si>
    <t>Tubo endotraqueal N7.5</t>
  </si>
  <si>
    <t>El código también aparece en K-271, M13-001. Confirmar si son el mismo producto o variantes distintas. No agrupar dosis, tamaños o equipos diferentes. Confianza histórica: Alta; ajustada a Media por el hallazgo indicado. Fuente: master original, fila 247.</t>
  </si>
  <si>
    <t>DESC113</t>
  </si>
  <si>
    <t>Saturómetro</t>
  </si>
  <si>
    <t>El código también aparece en K-230, K-274. Confirmar si son el mismo producto o variantes distintas. No agrupar dosis, tamaños o equipos diferentes. Confianza histórica: Alta; ajustada a Media por el hallazgo indicado. Fuente: master original, fila 253.</t>
  </si>
  <si>
    <t>DESC175</t>
  </si>
  <si>
    <t>Estetoscopio</t>
  </si>
  <si>
    <t>El código también aparece en K-261. Confirmar si son el mismo producto o variantes distintas. No agrupar dosis, tamaños o equipos diferentes. Confianza histórica: Alta; ajustada a Media por el hallazgo indicado. Fuente: master original, fila 107.</t>
  </si>
  <si>
    <t>El código también aparece en D-160, K-256. Confirmar si son el mismo producto o variantes distintas. No agrupar dosis, tamaños o equipos diferentes. Confianza histórica: Alta; ajustada a Media por el hallazgo indicado. Fuente: master original, fila 264.</t>
  </si>
  <si>
    <t>El código también aparece en D-162. Confirmar si son el mismo producto o variantes distintas. No agrupar dosis, tamaños o equipos diferentes. Fuente: master original, fila 115.</t>
  </si>
  <si>
    <t>El código también aparece en D-161. Confirmar si son el mismo producto o variantes distintas. No agrupar dosis, tamaños o equipos diferentes. Confianza histórica: Alta; ajustada a Media por el hallazgo indicado. Fuente: master original, fila 116.</t>
  </si>
  <si>
    <t>El código también aparece en E-183, K-274. Confirmar si son el mismo producto o variantes distintas. No agrupar dosis, tamaños o equipos diferentes. Confianza histórica: Alta; ajustada a Media por el hallazgo indicado. Fuente: master original, fila 267.</t>
  </si>
  <si>
    <t>DESC67</t>
  </si>
  <si>
    <t>Guantes de examinacion G c/u</t>
  </si>
  <si>
    <t>El código también aparece en D-143, D-144, K-241, K-270. Confirmar si son el mismo producto o variantes distintas. No agrupar dosis, tamaños o equipos diferentes. Fuente: master original, fila 135.</t>
  </si>
  <si>
    <t>El código también aparece en D-143, D-144, K-240, K-270. Confirmar si son el mismo producto o variantes distintas. No agrupar dosis, tamaños o equipos diferentes. Fuente: master original, fila 137.</t>
  </si>
  <si>
    <t>El código también aparece en D-141, K-289. Confirmar si son el mismo producto o variantes distintas. No agrupar dosis, tamaños o equipos diferentes. Confianza histórica: Alta; ajustada a Media por el hallazgo indicado. Fuente: master original, fila 138.</t>
  </si>
  <si>
    <t>DESC112</t>
  </si>
  <si>
    <t>Sabanas descartables</t>
  </si>
  <si>
    <t>El código también aparece en K-272. Confirmar si son el mismo producto o variantes distintas. No agrupar dosis, tamaños o equipos diferentes. Confianza histórica: Alta; ajustada a Media por el hallazgo indicado. Fuente: master original, fila 139.</t>
  </si>
  <si>
    <t>El código también aparece en D-160, K-217. Confirmar si son el mismo producto o variantes distintas. No agrupar dosis, tamaños o equipos diferentes. Fuente: master original, fila 275.</t>
  </si>
  <si>
    <t>El código también aparece en E-207. Confirmar si son el mismo producto o variantes distintas. No agrupar dosis, tamaños o equipos diferentes. Fuente: master original, fila 145.</t>
  </si>
  <si>
    <t>El código también aparece en D-129. Confirmar si son el mismo producto o variantes distintas. No agrupar dosis, tamaños o equipos diferentes. Confianza histórica: Alta; ajustada a Media por el hallazgo indicado. Fuente: master original, fila 263.</t>
  </si>
  <si>
    <t>El código también aparece en D-143, D-144, K-240, K-241. Confirmar si son el mismo producto o variantes distintas. No agrupar dosis, tamaños o equipos diferentes. Fuente: master original, fila 149.</t>
  </si>
  <si>
    <t>El código también aparece en D-177, M13-001. Confirmar si son el mismo producto o variantes distintas. No agrupar dosis, tamaños o equipos diferentes. Confianza histórica: Alta; ajustada a Media por el hallazgo indicado. Fuente: master original, fila 151.</t>
  </si>
  <si>
    <t>El código también aparece en K-244. Confirmar si son el mismo producto o variantes distintas. No agrupar dosis, tamaños o equipos diferentes. Confianza histórica: Alta; ajustada a Media por el hallazgo indicado. Fuente: master original, fila 152.</t>
  </si>
  <si>
    <t>El código también aparece en E-183, K-230. Confirmar si son el mismo producto o variantes distintas. No agrupar dosis, tamaños o equipos diferentes. Fuente: master original, fila 155.</t>
  </si>
  <si>
    <t>El código también aparece en D-152. Confirmar si son el mismo producto o variantes distintas. No agrupar dosis, tamaños o equipos diferentes. Fuente: master original, fila 281.</t>
  </si>
  <si>
    <t>El código también aparece en D-156. Confirmar si son el mismo producto o variantes distintas. No agrupar dosis, tamaños o equipos diferentes. Fuente: master original, fila 282.</t>
  </si>
  <si>
    <t>El código también aparece en D-141, K-243. Confirmar si son el mismo producto o variantes distintas. No agrupar dosis, tamaños o equipos diferentes. Fuente: master original, fila 286.</t>
  </si>
  <si>
    <t>Sin código encontrado</t>
  </si>
  <si>
    <t>Buscar este ítem en el catálogo de la base. Si existe, registrar código y nombre confirmados. Si no existe, registrar Sin equivalente en AVAIN. Fuente: master original, fila 173.</t>
  </si>
  <si>
    <t>Buscar este ítem en el catálogo de la base. Si existe, registrar código y nombre confirmados. Si no existe, registrar Sin equivalente en AVAIN. Fuente: master original, fila 14.</t>
  </si>
  <si>
    <t>Buscar este ítem en el catálogo de la base. Si existe, registrar código y nombre confirmados. Si no existe, registrar Sin equivalente en AVAIN. Fuente: master original, fila 175.</t>
  </si>
  <si>
    <t>Buscar este ítem en el catálogo de la base. Si existe, registrar código y nombre confirmados. Si no existe, registrar Sin equivalente en AVAIN. Fuente: master original, fila 178.</t>
  </si>
  <si>
    <t>Buscar este ítem en el catálogo de la base. Si existe, registrar código y nombre confirmados. Si no existe, registrar Sin equivalente en AVAIN. Fuente: master original, fila 18.</t>
  </si>
  <si>
    <t>Buscar este ítem en el catálogo de la base. Si existe, registrar código y nombre confirmados. Si no existe, registrar Sin equivalente en AVAIN. Fuente: master original, fila 19.</t>
  </si>
  <si>
    <t>Buscar este ítem en el catálogo de la base. Si existe, registrar código y nombre confirmados. Si no existe, registrar Sin equivalente en AVAIN. Fuente: master original, fila 20.</t>
  </si>
  <si>
    <t>Buscar este ítem en el catálogo de la base. Si existe, registrar código y nombre confirmados. Si no existe, registrar Sin equivalente en AVAIN. Fuente: master original, fila 23.</t>
  </si>
  <si>
    <t>Buscar este ítem en el catálogo de la base. Si existe, registrar código y nombre confirmados. Si no existe, registrar Sin equivalente en AVAIN. Fuente: master original, fila 24.</t>
  </si>
  <si>
    <t>Buscar este ítem en el catálogo de la base. Si existe, registrar código y nombre confirmados. Si no existe, registrar Sin equivalente en AVAIN. Fuente: master original, fila 25.</t>
  </si>
  <si>
    <t>Buscar este ítem en el catálogo de la base. Si existe, registrar código y nombre confirmados. Si no existe, registrar Sin equivalente en AVAIN. Fuente: master original, fila 26.</t>
  </si>
  <si>
    <t>Buscar este ítem en el catálogo de la base. Si existe, registrar código y nombre confirmados. Si no existe, registrar Sin equivalente en AVAIN. Fuente: master original, fila 27.</t>
  </si>
  <si>
    <t>Buscar este ítem en el catálogo de la base. Si existe, registrar código y nombre confirmados. Si no existe, registrar Sin equivalente en AVAIN. Fuente: master original, fila 179.</t>
  </si>
  <si>
    <t>DES058</t>
  </si>
  <si>
    <t>Bicarbonato de sodio 1 fco =100ml</t>
  </si>
  <si>
    <t>Comparar producto, concentración, forma, presentación o tamaño. La descripción relevada no alcanza para confirmar la equivalencia. Fuente: master original, fila 180.</t>
  </si>
  <si>
    <t>Buscar este ítem en el catálogo de la base. Si existe, registrar código y nombre confirmados. Si no existe, registrar Sin equivalente en AVAIN. Fuente: master original, fila 34.</t>
  </si>
  <si>
    <t>Buscar este ítem en el catálogo de la base. Si existe, registrar código y nombre confirmados. Si no existe, registrar Sin equivalente en AVAIN. Fuente: master original, fila 35.</t>
  </si>
  <si>
    <t>Buscar este ítem en el catálogo de la base. Si existe, registrar código y nombre confirmados. Si no existe, registrar Sin equivalente en AVAIN. Fuente: master original, fila 36.</t>
  </si>
  <si>
    <t>Buscar este ítem en el catálogo de la base. Si existe, registrar código y nombre confirmados. Si no existe, registrar Sin equivalente en AVAIN. Fuente: master original, fila 37.</t>
  </si>
  <si>
    <t>Buscar este ítem en el catálogo de la base. Si existe, registrar código y nombre confirmados. Si no existe, registrar Sin equivalente en AVAIN. Fuente: master original, fila 38.</t>
  </si>
  <si>
    <t>Buscar este ítem en el catálogo de la base. Si existe, registrar código y nombre confirmados. Si no existe, registrar Sin equivalente en AVAIN. Fuente: master original, fila 39.</t>
  </si>
  <si>
    <t>Buscar este ítem en el catálogo de la base. Si existe, registrar código y nombre confirmados. Si no existe, registrar Sin equivalente en AVAIN. Fuente: master original, fila 44.</t>
  </si>
  <si>
    <t>DES042</t>
  </si>
  <si>
    <t>Nitroglicerina 1 amp=3ml</t>
  </si>
  <si>
    <t>Comparar producto, concentración, forma, presentación o tamaño. La descripción relevada no alcanza para confirmar la equivalencia. Fuente: master original, fila 45.</t>
  </si>
  <si>
    <t>Buscar este ítem en el catálogo de la base. Si existe, registrar código y nombre confirmados. Si no existe, registrar Sin equivalente en AVAIN. Fuente: master original, fila 46.</t>
  </si>
  <si>
    <t>Buscar este ítem en el catálogo de la base. Si existe, registrar código y nombre confirmados. Si no existe, registrar Sin equivalente en AVAIN. Fuente: master original, fila 47.</t>
  </si>
  <si>
    <t>Buscar este ítem en el catálogo de la base. Si existe, registrar código y nombre confirmados. Si no existe, registrar Sin equivalente en AVAIN. Fuente: master original, fila 48.</t>
  </si>
  <si>
    <t>Buscar este ítem en el catálogo de la base. Si existe, registrar código y nombre confirmados. Si no existe, registrar Sin equivalente en AVAIN. Fuente: master original, fila 49.</t>
  </si>
  <si>
    <t>Buscar este ítem en el catálogo de la base. Si existe, registrar código y nombre confirmados. Si no existe, registrar Sin equivalente en AVAIN. Fuente: master original, fila 50.</t>
  </si>
  <si>
    <t>Buscar este ítem en el catálogo de la base. Si existe, registrar código y nombre confirmados. Si no existe, registrar Sin equivalente en AVAIN. Fuente: master original, fila 51.</t>
  </si>
  <si>
    <t>Buscar este ítem en el catálogo de la base. Si existe, registrar código y nombre confirmados. Si no existe, registrar Sin equivalente en AVAIN. Fuente: master original, fila 52.</t>
  </si>
  <si>
    <t>Buscar este ítem en el catálogo de la base. Si existe, registrar código y nombre confirmados. Si no existe, registrar Sin equivalente en AVAIN. Fuente: master original, fila 184.</t>
  </si>
  <si>
    <t>Buscar este ítem en el catálogo de la base. Si existe, registrar código y nombre confirmados. Si no existe, registrar Sin equivalente en AVAIN. Fuente: master original, fila 54.</t>
  </si>
  <si>
    <t>Buscar este ítem en el catálogo de la base. Si existe, registrar código y nombre confirmados. Si no existe, registrar Sin equivalente en AVAIN. Fuente: master original, fila 186.</t>
  </si>
  <si>
    <t>Buscar este ítem en el catálogo de la base. Si existe, registrar código y nombre confirmados. Si no existe, registrar Sin equivalente en AVAIN. Fuente: master original, fila 188.</t>
  </si>
  <si>
    <t>Buscar este ítem en el catálogo de la base. Si existe, registrar código y nombre confirmados. Si no existe, registrar Sin equivalente en AVAIN. Fuente: master original, fila 6.</t>
  </si>
  <si>
    <t>Buscar este ítem en el catálogo de la base. Si existe, registrar código y nombre confirmados. Si no existe, registrar Sin equivalente en AVAIN. Fuente: master original, fila 65.</t>
  </si>
  <si>
    <t>Buscar este ítem en el catálogo de la base. Si existe, registrar código y nombre confirmados. Si no existe, registrar Sin equivalente en AVAIN. Fuente: master original, fila 192.</t>
  </si>
  <si>
    <t>Buscar este ítem en el catálogo de la base. Si existe, registrar código y nombre confirmados. Si no existe, registrar Sin equivalente en AVAIN. Fuente: master original, fila 10.</t>
  </si>
  <si>
    <t>Buscar este ítem en el catálogo de la base. Si existe, registrar código y nombre confirmados. Si no existe, registrar Sin equivalente en AVAIN. Fuente: master original, fila 76.</t>
  </si>
  <si>
    <t>Buscar este ítem en el catálogo de la base. Si existe, registrar código y nombre confirmados. Si no existe, registrar Sin equivalente en AVAIN. Fuente: master original, fila 195.</t>
  </si>
  <si>
    <t>Buscar este ítem en el catálogo de la base. Si existe, registrar código y nombre confirmados. Si no existe, registrar Sin equivalente en AVAIN. Fuente: master original, fila 79.</t>
  </si>
  <si>
    <t>Buscar este ítem en el catálogo de la base. Si existe, registrar código y nombre confirmados. Si no existe, registrar Sin equivalente en AVAIN. Fuente: master original, fila 81.</t>
  </si>
  <si>
    <t>Buscar este ítem en el catálogo de la base. Si existe, registrar código y nombre confirmados. Si no existe, registrar Sin equivalente en AVAIN. Fuente: master original, fila 196.</t>
  </si>
  <si>
    <t>Buscar este ítem en el catálogo de la base. Si existe, registrar código y nombre confirmados. Si no existe, registrar Sin equivalente en AVAIN. Fuente: master original, fila 198.</t>
  </si>
  <si>
    <t>Buscar este ítem en el catálogo de la base. Si existe, registrar código y nombre confirmados. Si no existe, registrar Sin equivalente en AVAIN. Fuente: master original, fila 84.</t>
  </si>
  <si>
    <t>Buscar este ítem en el catálogo de la base. Si existe, registrar código y nombre confirmados. Si no existe, registrar Sin equivalente en AVAIN. Fuente: master original, fila 199.</t>
  </si>
  <si>
    <t>Buscar este ítem en el catálogo de la base. Si existe, registrar código y nombre confirmados. Si no existe, registrar Sin equivalente en AVAIN. Fuente: master original, fila 87.</t>
  </si>
  <si>
    <t>Buscar este ítem en el catálogo de la base. Si existe, registrar código y nombre confirmados. Si no existe, registrar Sin equivalente en AVAIN. Fuente: master original, fila 200.</t>
  </si>
  <si>
    <t>Buscar este ítem en el catálogo de la base. Si existe, registrar código y nombre confirmados. Si no existe, registrar Sin equivalente en AVAIN. Fuente: master original, fila 89.</t>
  </si>
  <si>
    <t>Buscar este ítem en el catálogo de la base. Si existe, registrar código y nombre confirmados. Si no existe, registrar Sin equivalente en AVAIN. Fuente: master original, fila 16.</t>
  </si>
  <si>
    <t>Buscar este ítem en el catálogo de la base. Si existe, registrar código y nombre confirmados. Si no existe, registrar Sin equivalente en AVAIN. Fuente: master original, fila 17.</t>
  </si>
  <si>
    <t>Buscar este ítem en el catálogo de la base. Si existe, registrar código y nombre confirmados. Si no existe, registrar Sin equivalente en AVAIN. Fuente: master original, fila 95.</t>
  </si>
  <si>
    <t>Buscar este ítem en el catálogo de la base. Si existe, registrar código y nombre confirmados. Si no existe, registrar Sin equivalente en AVAIN. Fuente: master original, fila 97.</t>
  </si>
  <si>
    <t>Buscar este ítem en el catálogo de la base. Si existe, registrar código y nombre confirmados. Si no existe, registrar Sin equivalente en AVAIN. Fuente: master original, fila 98.</t>
  </si>
  <si>
    <t>Buscar este ítem en el catálogo de la base. Si existe, registrar código y nombre confirmados. Si no existe, registrar Sin equivalente en AVAIN. Fuente: master original, fila 99.</t>
  </si>
  <si>
    <t>Buscar este ítem en el catálogo de la base. Si existe, registrar código y nombre confirmados. Si no existe, registrar Sin equivalente en AVAIN. Fuente: master original, fila 100.</t>
  </si>
  <si>
    <t>Buscar este ítem en el catálogo de la base. Si existe, registrar código y nombre confirmados. Si no existe, registrar Sin equivalente en AVAIN. Fuente: master original, fila 101.</t>
  </si>
  <si>
    <t>Buscar este ítem en el catálogo de la base. Si existe, registrar código y nombre confirmados. Si no existe, registrar Sin equivalente en AVAIN. Fuente: master original, fila 33.</t>
  </si>
  <si>
    <t>Buscar este ítem en el catálogo de la base. Si existe, registrar código y nombre confirmados. Si no existe, registrar Sin equivalente en AVAIN. Fuente: master original, fila 104.</t>
  </si>
  <si>
    <t>Buscar este ítem en el catálogo de la base. Si existe, registrar código y nombre confirmados. Si no existe, registrar Sin equivalente en AVAIN. Fuente: master original, fila 106.</t>
  </si>
  <si>
    <t>Buscar este ítem en el catálogo de la base. Si existe, registrar código y nombre confirmados. Si no existe, registrar Sin equivalente en AVAIN. Fuente: master original, fila 111.</t>
  </si>
  <si>
    <t>Buscar este ítem en el catálogo de la base. Si existe, registrar código y nombre confirmados. Si no existe, registrar Sin equivalente en AVAIN. Fuente: master original, fila 204.</t>
  </si>
  <si>
    <t>Buscar este ítem en el catálogo de la base. Si existe, registrar código y nombre confirmados. Si no existe, registrar Sin equivalente en AVAIN. Fuente: master original, fila 53.</t>
  </si>
  <si>
    <t>Buscar este ítem en el catálogo de la base. Si existe, registrar código y nombre confirmados. Si no existe, registrar Sin equivalente en AVAIN. Fuente: master original, fila 209.</t>
  </si>
  <si>
    <t>Buscar este ítem en el catálogo de la base. Si existe, registrar código y nombre confirmados. Si no existe, registrar Sin equivalente en AVAIN. Fuente: master original, fila 210.</t>
  </si>
  <si>
    <t>Buscar este ítem en el catálogo de la base. Si existe, registrar código y nombre confirmados. Si no existe, registrar Sin equivalente en AVAIN. Fuente: master original, fila 117.</t>
  </si>
  <si>
    <t>Buscar este ítem en el catálogo de la base. Si existe, registrar código y nombre confirmados. Si no existe, registrar Sin equivalente en AVAIN. Fuente: master original, fila 118.</t>
  </si>
  <si>
    <t>Buscar este ítem en el catálogo de la base. Si existe, registrar código y nombre confirmados. Si no existe, registrar Sin equivalente en AVAIN. Fuente: master original, fila 211.</t>
  </si>
  <si>
    <t>Buscar este ítem en el catálogo de la base. Si existe, registrar código y nombre confirmados. Si no existe, registrar Sin equivalente en AVAIN. Fuente: master original, fila 120.</t>
  </si>
  <si>
    <t>Buscar este ítem en el catálogo de la base. Si existe, registrar código y nombre confirmados. Si no existe, registrar Sin equivalente en AVAIN. Fuente: master original, fila 121.</t>
  </si>
  <si>
    <t>Buscar este ítem en el catálogo de la base. Si existe, registrar código y nombre confirmados. Si no existe, registrar Sin equivalente en AVAIN. Fuente: master original, fila 56.</t>
  </si>
  <si>
    <t>Buscar este ítem en el catálogo de la base. Si existe, registrar código y nombre confirmados. Si no existe, registrar Sin equivalente en AVAIN. Fuente: master original, fila 212.</t>
  </si>
  <si>
    <t>Buscar este ítem en el catálogo de la base. Si existe, registrar código y nombre confirmados. Si no existe, registrar Sin equivalente en AVAIN. Fuente: master original, fila 125.</t>
  </si>
  <si>
    <t>Buscar este ítem en el catálogo de la base. Si existe, registrar código y nombre confirmados. Si no existe, registrar Sin equivalente en AVAIN. Fuente: master original, fila 126.</t>
  </si>
  <si>
    <t>Buscar este ítem en el catálogo de la base. Si existe, registrar código y nombre confirmados. Si no existe, registrar Sin equivalente en AVAIN. Fuente: master original, fila 130.</t>
  </si>
  <si>
    <t>Buscar este ítem en el catálogo de la base. Si existe, registrar código y nombre confirmados. Si no existe, registrar Sin equivalente en AVAIN. Fuente: master original, fila 136.</t>
  </si>
  <si>
    <t>Buscar este ítem en el catálogo de la base. Si existe, registrar código y nombre confirmados. Si no existe, registrar Sin equivalente en AVAIN. Fuente: master original, fila 150.</t>
  </si>
  <si>
    <t>Buscar este ítem en el catálogo de la base. Si existe, registrar código y nombre confirmados. Si no existe, registrar Sin equivalente en AVAIN. Fuente: master original, fila 226.</t>
  </si>
  <si>
    <t>Buscar este ítem en el catálogo de la base. Si existe, registrar código y nombre confirmados. Si no existe, registrar Sin equivalente en AVAIN. Fuente: master original, fila 153.</t>
  </si>
  <si>
    <t>Buscar este ítem en el catálogo de la base. Si existe, registrar código y nombre confirmados. Si no existe, registrar Sin equivalente en AVAIN. Fuente: master original, fila 154.</t>
  </si>
  <si>
    <t>Buscar este ítem en el catálogo de la base. Si existe, registrar código y nombre confirmados. Si no existe, registrar Sin equivalente en AVAIN. Fuente: master original, fila 228.</t>
  </si>
  <si>
    <t>Buscar este ítem en el catálogo de la base. Si existe, registrar código y nombre confirmados. Si no existe, registrar Sin equivalente en AVAIN. Fuente: master original, fila 230.</t>
  </si>
  <si>
    <t>Buscar este ítem en el catálogo de la base. Si existe, registrar código y nombre confirmados. Si no existe, registrar Sin equivalente en AVAIN. Fuente: master original, fila 71.</t>
  </si>
  <si>
    <t>Buscar este ítem en el catálogo de la base. Si existe, registrar código y nombre confirmados. Si no existe, registrar Sin equivalente en AVAIN. Fuente: master original, fila 237.</t>
  </si>
  <si>
    <t>Buscar este ítem en el catálogo de la base. Si existe, registrar código y nombre confirmados. Si no existe, registrar Sin equivalente en AVAIN. Fuente: master original, fila 239.</t>
  </si>
  <si>
    <t>Buscar este ítem en el catálogo de la base. Si existe, registrar código y nombre confirmados. Si no existe, registrar Sin equivalente en AVAIN. Fuente: master original, fila 170.</t>
  </si>
  <si>
    <t>Buscar este ítem en el catálogo de la base. Si existe, registrar código y nombre confirmados. Si no existe, registrar Sin equivalente en AVAIN. Fuente: master original, fila 241.</t>
  </si>
  <si>
    <t>Buscar este ítem en el catálogo de la base. Si existe, registrar código y nombre confirmados. Si no existe, registrar Sin equivalente en AVAIN. Fuente: master original, fila 242.</t>
  </si>
  <si>
    <t>Buscar este ítem en el catálogo de la base. Si existe, registrar código y nombre confirmados. Si no existe, registrar Sin equivalente en AVAIN. Fuente: master original, fila 174.</t>
  </si>
  <si>
    <t>Buscar este ítem en el catálogo de la base. Si existe, registrar código y nombre confirmados. Si no existe, registrar Sin equivalente en AVAIN. Fuente: master original, fila 73.</t>
  </si>
  <si>
    <t>Buscar este ítem en el catálogo de la base. Si existe, registrar código y nombre confirmados. Si no existe, registrar Sin equivalente en AVAIN. Fuente: master original, fila 181.</t>
  </si>
  <si>
    <t>Buscar este ítem en el catálogo de la base. Si existe, registrar código y nombre confirmados. Si no existe, registrar Sin equivalente en AVAIN. Fuente: master original, fila 182.</t>
  </si>
  <si>
    <t>Buscar este ítem en el catálogo de la base. Si existe, registrar código y nombre confirmados. Si no existe, registrar Sin equivalente en AVAIN. Fuente: master original, fila 248.</t>
  </si>
  <si>
    <t>Buscar este ítem en el catálogo de la base. Si existe, registrar código y nombre confirmados. Si no existe, registrar Sin equivalente en AVAIN. Fuente: master original, fila 251.</t>
  </si>
  <si>
    <t>Buscar este ítem en el catálogo de la base. Si existe, registrar código y nombre confirmados. Si no existe, registrar Sin equivalente en AVAIN. Fuente: master original, fila 252.</t>
  </si>
  <si>
    <t>Buscar este ítem en el catálogo de la base. Si existe, registrar código y nombre confirmados. Si no existe, registrar Sin equivalente en AVAIN. Fuente: master original, fila 187.</t>
  </si>
  <si>
    <t>Buscar este ítem en el catálogo de la base. Si existe, registrar código y nombre confirmados. Si no existe, registrar Sin equivalente en AVAIN. Fuente: master original, fila 254.</t>
  </si>
  <si>
    <t>Buscar este ítem en el catálogo de la base. Si existe, registrar código y nombre confirmados. Si no existe, registrar Sin equivalente en AVAIN. Fuente: master original, fila 189.</t>
  </si>
  <si>
    <t>Buscar este ítem en el catálogo de la base. Si existe, registrar código y nombre confirmados. Si no existe, registrar Sin equivalente en AVAIN. Fuente: master original, fila 190.</t>
  </si>
  <si>
    <t>Buscar este ítem en el catálogo de la base. Si existe, registrar código y nombre confirmados. Si no existe, registrar Sin equivalente en AVAIN. Fuente: master original, fila 255.</t>
  </si>
  <si>
    <t>Buscar este ítem en el catálogo de la base. Si existe, registrar código y nombre confirmados. Si no existe, registrar Sin equivalente en AVAIN. Fuente: master original, fila 77.</t>
  </si>
  <si>
    <t>Buscar este ítem en el catálogo de la base. Si existe, registrar código y nombre confirmados. Si no existe, registrar Sin equivalente en AVAIN. Fuente: master original, fila 82.</t>
  </si>
  <si>
    <t>Buscar este ítem en el catálogo de la base. Si existe, registrar código y nombre confirmados. Si no existe, registrar Sin equivalente en AVAIN. Fuente: master original, fila 83.</t>
  </si>
  <si>
    <t>Buscar este ítem en el catálogo de la base. Si existe, registrar código y nombre confirmados. Si no existe, registrar Sin equivalente en AVAIN. Fuente: master original, fila 85.</t>
  </si>
  <si>
    <t>Buscar este ítem en el catálogo de la base. Si existe, registrar código y nombre confirmados. Si no existe, registrar Sin equivalente en AVAIN. Fuente: master original, fila 88.</t>
  </si>
  <si>
    <t>Buscar este ítem en el catálogo de la base. Si existe, registrar código y nombre confirmados. Si no existe, registrar Sin equivalente en AVAIN. Fuente: master original, fila 197.</t>
  </si>
  <si>
    <t>Buscar este ítem en el catálogo de la base. Si existe, registrar código y nombre confirmados. Si no existe, registrar Sin equivalente en AVAIN. Fuente: master original, fila 90.</t>
  </si>
  <si>
    <t>Buscar este ítem en el catálogo de la base. Si existe, registrar código y nombre confirmados. Si no existe, registrar Sin equivalente en AVAIN. Fuente: master original, fila 91.</t>
  </si>
  <si>
    <t>Buscar este ítem en el catálogo de la base. Si existe, registrar código y nombre confirmados. Si no existe, registrar Sin equivalente en AVAIN. Fuente: master original, fila 256.</t>
  </si>
  <si>
    <t>Buscar este ítem en el catálogo de la base. Si existe, registrar código y nombre confirmados. Si no existe, registrar Sin equivalente en AVAIN. Fuente: master original, fila 257.</t>
  </si>
  <si>
    <t>Buscar este ítem en el catálogo de la base. Si existe, registrar código y nombre confirmados. Si no existe, registrar Sin equivalente en AVAIN. Fuente: master original, fila 92.</t>
  </si>
  <si>
    <t>Buscar este ítem en el catálogo de la base. Si existe, registrar código y nombre confirmados. Si no existe, registrar Sin equivalente en AVAIN. Fuente: master original, fila 203.</t>
  </si>
  <si>
    <t>Buscar este ítem en el catálogo de la base. Si existe, registrar código y nombre confirmados. Si no existe, registrar Sin equivalente en AVAIN. Fuente: master original, fila 93.</t>
  </si>
  <si>
    <t>Buscar este ítem en el catálogo de la base. Si existe, registrar código y nombre confirmados. Si no existe, registrar Sin equivalente en AVAIN. Fuente: master original, fila 205.</t>
  </si>
  <si>
    <t>Buscar este ítem en el catálogo de la base. Si existe, registrar código y nombre confirmados. Si no existe, registrar Sin equivalente en AVAIN. Fuente: master original, fila 206.</t>
  </si>
  <si>
    <t>Buscar este ítem en el catálogo de la base. Si existe, registrar código y nombre confirmados. Si no existe, registrar Sin equivalente en AVAIN. Fuente: master original, fila 207.</t>
  </si>
  <si>
    <t>Buscar este ítem en el catálogo de la base. Si existe, registrar código y nombre confirmados. Si no existe, registrar Sin equivalente en AVAIN. Fuente: master original, fila 208.</t>
  </si>
  <si>
    <t>Buscar este ítem en el catálogo de la base. Si existe, registrar código y nombre confirmados. Si no existe, registrar Sin equivalente en AVAIN. Fuente: master original, fila 102.</t>
  </si>
  <si>
    <t>Buscar este ítem en el catálogo de la base. Si existe, registrar código y nombre confirmados. Si no existe, registrar Sin equivalente en AVAIN. Fuente: master original, fila 213.</t>
  </si>
  <si>
    <t>Buscar este ítem en el catálogo de la base. Si existe, registrar código y nombre confirmados. Si no existe, registrar Sin equivalente en AVAIN. Fuente: master original, fila 261.</t>
  </si>
  <si>
    <t>Buscar este ítem en el catálogo de la base. Si existe, registrar código y nombre confirmados. Si no existe, registrar Sin equivalente en AVAIN. Fuente: master original, fila 215.</t>
  </si>
  <si>
    <t>Buscar este ítem en el catálogo de la base. Si existe, registrar código y nombre confirmados. Si no existe, registrar Sin equivalente en AVAIN. Fuente: master original, fila 109.</t>
  </si>
  <si>
    <t>Buscar este ítem en el catálogo de la base. Si existe, registrar código y nombre confirmados. Si no existe, registrar Sin equivalente en AVAIN. Fuente: master original, fila 110.</t>
  </si>
  <si>
    <t>Buscar este ítem en el catálogo de la base. Si existe, registrar código y nombre confirmados. Si no existe, registrar Sin equivalente en AVAIN. Fuente: master original, fila 265.</t>
  </si>
  <si>
    <t>Buscar este ítem en el catálogo de la base. Si existe, registrar código y nombre confirmados. Si no existe, registrar Sin equivalente en AVAIN. Fuente: master original, fila 221.</t>
  </si>
  <si>
    <t>Buscar este ítem en el catálogo de la base. Si existe, registrar código y nombre confirmados. Si no existe, registrar Sin equivalente en AVAIN. Fuente: master original, fila 223.</t>
  </si>
  <si>
    <t>Buscar este ítem en el catálogo de la base. Si existe, registrar código y nombre confirmados. Si no existe, registrar Sin equivalente en AVAIN. Fuente: master original, fila 112.</t>
  </si>
  <si>
    <t>Buscar este ítem en el catálogo de la base. Si existe, registrar código y nombre confirmados. Si no existe, registrar Sin equivalente en AVAIN. Fuente: master original, fila 113.</t>
  </si>
  <si>
    <t>Buscar este ítem en el catálogo de la base. Si existe, registrar código y nombre confirmados. Si no existe, registrar Sin equivalente en AVAIN. Fuente: master original, fila 114.</t>
  </si>
  <si>
    <t>Buscar este ítem en el catálogo de la base. Si existe, registrar código y nombre confirmados. Si no existe, registrar Sin equivalente en AVAIN. Fuente: master original, fila 227.</t>
  </si>
  <si>
    <t>Buscar este ítem en el catálogo de la base. Si existe, registrar código y nombre confirmados. Si no existe, registrar Sin equivalente en AVAIN. Fuente: master original, fila 229.</t>
  </si>
  <si>
    <t>DESC61</t>
  </si>
  <si>
    <t>Filtro para ventilación artificial</t>
  </si>
  <si>
    <t>Comparar producto, concentración, forma, presentación o tamaño. La descripción relevada no alcanza para confirmar la equivalencia. Fuente: master original, fila 231.</t>
  </si>
  <si>
    <t>Buscar este ítem en el catálogo de la base. Si existe, registrar código y nombre confirmados. Si no existe, registrar Sin equivalente en AVAIN. Fuente: master original, fila 119.</t>
  </si>
  <si>
    <t>Buscar este ítem en el catálogo de la base. Si existe, registrar código y nombre confirmados. Si no existe, registrar Sin equivalente en AVAIN. Fuente: master original, fila 269.</t>
  </si>
  <si>
    <t>Buscar este ítem en el catálogo de la base. Si existe, registrar código y nombre confirmados. Si no existe, registrar Sin equivalente en AVAIN. Fuente: master original, fila 236.</t>
  </si>
  <si>
    <t>Buscar este ítem en el catálogo de la base. Si existe, registrar código y nombre confirmados. Si no existe, registrar Sin equivalente en AVAIN. Fuente: master original, fila 238.</t>
  </si>
  <si>
    <t>Buscar este ítem en el catálogo de la base. Si existe, registrar código y nombre confirmados. Si no existe, registrar Sin equivalente en AVAIN. Fuente: master original, fila 134.</t>
  </si>
  <si>
    <t>Buscar este ítem en el catálogo de la base. Si existe, registrar código y nombre confirmados. Si no existe, registrar Sin equivalente en AVAIN. Fuente: master original, fila 270.</t>
  </si>
  <si>
    <t>Buscar este ítem en el catálogo de la base. Si existe, registrar código y nombre confirmados. Si no existe, registrar Sin equivalente en AVAIN. Fuente: master original, fila 243.</t>
  </si>
  <si>
    <t>Buscar este ítem en el catálogo de la base. Si existe, registrar código y nombre confirmados. Si no existe, registrar Sin equivalente en AVAIN. Fuente: master original, fila 246.</t>
  </si>
  <si>
    <t>Buscar este ítem en el catálogo de la base. Si existe, registrar código y nombre confirmados. Si no existe, registrar Sin equivalente en AVAIN. Fuente: master original, fila 271.</t>
  </si>
  <si>
    <t>Buscar este ítem en el catálogo de la base. Si existe, registrar código y nombre confirmados. Si no existe, registrar Sin equivalente en AVAIN. Fuente: master original, fila 140.</t>
  </si>
  <si>
    <t>Buscar este ítem en el catálogo de la base. Si existe, registrar código y nombre confirmados. Si no existe, registrar Sin equivalente en AVAIN. Fuente: master original, fila 249.</t>
  </si>
  <si>
    <t>Buscar este ítem en el catálogo de la base. Si existe, registrar código y nombre confirmados. Si no existe, registrar Sin equivalente en AVAIN. Fuente: master original, fila 250.</t>
  </si>
  <si>
    <t>Buscar este ítem en el catálogo de la base. Si existe, registrar código y nombre confirmados. Si no existe, registrar Sin equivalente en AVAIN. Fuente: master original, fila 141.</t>
  </si>
  <si>
    <t>Buscar este ítem en el catálogo de la base. Si existe, registrar código y nombre confirmados. Si no existe, registrar Sin equivalente en AVAIN. Fuente: master original, fila 142.</t>
  </si>
  <si>
    <t>Buscar este ítem en el catálogo de la base. Si existe, registrar código y nombre confirmados. Si no existe, registrar Sin equivalente en AVAIN. Fuente: master original, fila 143.</t>
  </si>
  <si>
    <t>Buscar este ítem en el catálogo de la base. Si existe, registrar código y nombre confirmados. Si no existe, registrar Sin equivalente en AVAIN. Fuente: master original, fila 272.</t>
  </si>
  <si>
    <t>Buscar este ítem en el catálogo de la base. Si existe, registrar código y nombre confirmados. Si no existe, registrar Sin equivalente en AVAIN. Fuente: master original, fila 276.</t>
  </si>
  <si>
    <t>Buscar este ítem en el catálogo de la base. Si existe, registrar código y nombre confirmados. Si no existe, registrar Sin equivalente en AVAIN. Fuente: master original, fila 277.</t>
  </si>
  <si>
    <t>Buscar este ítem en el catálogo de la base. Si existe, registrar código y nombre confirmados. Si no existe, registrar Sin equivalente en AVAIN. Fuente: master original, fila 259.</t>
  </si>
  <si>
    <t>Buscar este ítem en el catálogo de la base. Si existe, registrar código y nombre confirmados. Si no existe, registrar Sin equivalente en AVAIN. Fuente: master original, fila 146.</t>
  </si>
  <si>
    <t>Buscar este ítem en el catálogo de la base. Si existe, registrar código y nombre confirmados. Si no existe, registrar Sin equivalente en AVAIN. Fuente: master original, fila 278.</t>
  </si>
  <si>
    <t>Buscar este ítem en el catálogo de la base. Si existe, registrar código y nombre confirmados. Si no existe, registrar Sin equivalente en AVAIN. Fuente: master original, fila 279.</t>
  </si>
  <si>
    <t>Buscar este ítem en el catálogo de la base. Si existe, registrar código y nombre confirmados. Si no existe, registrar Sin equivalente en AVAIN. Fuente: master original, fila 147.</t>
  </si>
  <si>
    <t>Buscar este ítem en el catálogo de la base. Si existe, registrar código y nombre confirmados. Si no existe, registrar Sin equivalente en AVAIN. Fuente: master original, fila 268.</t>
  </si>
  <si>
    <t>Buscar este ítem en el catálogo de la base. Si existe, registrar código y nombre confirmados. Si no existe, registrar Sin equivalente en AVAIN. Fuente: master original, fila 273.</t>
  </si>
  <si>
    <t>Buscar este ítem en el catálogo de la base. Si existe, registrar código y nombre confirmados. Si no existe, registrar Sin equivalente en AVAIN. Fuente: master original, fila 156.</t>
  </si>
  <si>
    <t>Buscar este ítem en el catálogo de la base. Si existe, registrar código y nombre confirmados. Si no existe, registrar Sin equivalente en AVAIN. Fuente: master original, fila 157.</t>
  </si>
  <si>
    <t>Buscar este ítem en el catálogo de la base. Si existe, registrar código y nombre confirmados. Si no existe, registrar Sin equivalente en AVAIN. Fuente: master original, fila 162.</t>
  </si>
  <si>
    <t>Buscar este ítem en el catálogo de la base. Si existe, registrar código y nombre confirmados. Si no existe, registrar Sin equivalente en AVAIN. Fuente: master original, fila 163.</t>
  </si>
  <si>
    <t>Buscar este ítem en el catálogo de la base. Si existe, registrar código y nombre confirmados. Si no existe, registrar Sin equivalente en AVAIN. Fuente: master original, fila 280.</t>
  </si>
  <si>
    <t>Buscar este ítem en el catálogo de la base. Si existe, registrar código y nombre confirmados. Si no existe, registrar Sin equivalente en AVAIN. Fuente: master original, fila 283.</t>
  </si>
  <si>
    <t>Buscar este ítem en el catálogo de la base. Si existe, registrar código y nombre confirmados. Si no existe, registrar Sin equivalente en AVAIN. Fuente: master original, fila 284.</t>
  </si>
  <si>
    <t>Buscar este ítem en el catálogo de la base. Si existe, registrar código y nombre confirmados. Si no existe, registrar Sin equivalente en AVAIN. Fuente: master original, fila 165.</t>
  </si>
  <si>
    <t>Buscar este ítem en el catálogo de la base. Si existe, registrar código y nombre confirmados. Si no existe, registrar Sin equivalente en AVAIN. Fuente: master original, fila 287.</t>
  </si>
  <si>
    <t>MED4</t>
  </si>
  <si>
    <t>Acido Acetil Salicílico Comp x 100 mg</t>
  </si>
  <si>
    <t>DES001</t>
  </si>
  <si>
    <t>Diclofenac Comp x 75mg</t>
  </si>
  <si>
    <t>MED62</t>
  </si>
  <si>
    <t>Diclofenac 75mg Amp x 3ml</t>
  </si>
  <si>
    <t>El relevamiento indica una coincidencia probable. Confirmar las características del producto y la existencia del código en esta base. Fuente: master original, fila 5.</t>
  </si>
  <si>
    <t>MED61</t>
  </si>
  <si>
    <t>Diclofenac + Pridinol Comp x 50/4 mg</t>
  </si>
  <si>
    <t>MED102</t>
  </si>
  <si>
    <t>Ibuprofeno Comp x 600 mg</t>
  </si>
  <si>
    <t>El relevamiento indica una coincidencia probable. Confirmar las características del producto y la existencia del código en esta base. Este ID estaba duplicado; aquí aparece una sola vez. Fuente: master original, fila 7.</t>
  </si>
  <si>
    <t>MED110</t>
  </si>
  <si>
    <t>Ketorolac Comp SL X 10 mg</t>
  </si>
  <si>
    <t>El relevamiento indica una coincidencia probable. Confirmar las características del producto y la existencia del código en esta base. Fuente: master original, fila 168.</t>
  </si>
  <si>
    <t>MED109</t>
  </si>
  <si>
    <t>Ketorolac 30mg Amp x 1 ml</t>
  </si>
  <si>
    <t>El relevamiento indica una coincidencia probable. Confirmar las características del producto y la existencia del código en esta base. Fuente: master original, fila 171.</t>
  </si>
  <si>
    <t>MED111</t>
  </si>
  <si>
    <t>Ketorolac Comp x 20 mg</t>
  </si>
  <si>
    <t>El relevamiento indica una coincidencia probable. Confirmar las características del producto y la existencia del código en esta base. Fuente: master original, fila 169.</t>
  </si>
  <si>
    <t>MED134</t>
  </si>
  <si>
    <t>Midazolan 5mg/ml Amp x 3 ml</t>
  </si>
  <si>
    <t>El relevamiento indica una coincidencia probable. Confirmar las características del producto y la existencia del código en esta base. Fuente: master original, fila 22.</t>
  </si>
  <si>
    <t>MED9</t>
  </si>
  <si>
    <t>Adrenalina amp 1 ml</t>
  </si>
  <si>
    <t>El relevamiento indica una coincidencia probable. Confirmar las características del producto y la existencia del código en esta base. Fuente: master original, fila 29.</t>
  </si>
  <si>
    <t>MED174</t>
  </si>
  <si>
    <t>Sulfato de Atropina 1mg Amp x 1 ml</t>
  </si>
  <si>
    <t>El relevamiento indica una coincidencia probable. Confirmar las características del producto y la existencia del código en esta base. Fuente: master original, fila 30.</t>
  </si>
  <si>
    <t>MED11</t>
  </si>
  <si>
    <t>Amiodarona 150 mg Amp x 3 ml</t>
  </si>
  <si>
    <t>El relevamiento indica una coincidencia probable. Confirmar las características del producto y la existencia del código en esta base. Fuente: master original, fila 31.</t>
  </si>
  <si>
    <t>MED8</t>
  </si>
  <si>
    <t>Adenosina Amp x 2 ml</t>
  </si>
  <si>
    <t>El relevamiento indica una coincidencia probable. Confirmar las características del producto y la existencia del código en esta base. Fuente: master original, fila 32.</t>
  </si>
  <si>
    <t>DES036</t>
  </si>
  <si>
    <t>Atenolol Comp x 50 mg</t>
  </si>
  <si>
    <t>El relevamiento indica una coincidencia probable. Confirmar las características del producto y la existencia del código en esta base. Fuente: master original, fila 40.</t>
  </si>
  <si>
    <t>MED72</t>
  </si>
  <si>
    <t>Enalapril Comp x 10 mg</t>
  </si>
  <si>
    <t>MED12</t>
  </si>
  <si>
    <t>Amlodipina Comp x 10 mg</t>
  </si>
  <si>
    <t>DES041</t>
  </si>
  <si>
    <t>Losartán Comp x 50mg</t>
  </si>
  <si>
    <t>El relevamiento indica una coincidencia probable. Confirmar las características del producto y la existencia del código en esta base. Fuente: master original, fila 43.</t>
  </si>
  <si>
    <t>MED160</t>
  </si>
  <si>
    <t>Salbutamol  100 mcg inhal Aer x 200 dosis</t>
  </si>
  <si>
    <t>El relevamiento indica una coincidencia probable. Confirmar las características del producto y la existencia del código en esta base. Fuente: master original, fila 3.</t>
  </si>
  <si>
    <t>MED161</t>
  </si>
  <si>
    <t>Salbutamol solución x 5 mg/ml gtas p/nzb x 20ml</t>
  </si>
  <si>
    <t>El relevamiento indica una coincidencia probable. Confirmar las características del producto y la existencia del código en esta base. Fuente: master original, fila 185.</t>
  </si>
  <si>
    <t>MED55</t>
  </si>
  <si>
    <t>Dexametasona 8mg Amp x 2 ml</t>
  </si>
  <si>
    <t>El relevamiento indica una coincidencia probable. Confirmar las características del producto y la existencia del código en esta base. Fuente: master original, fila 60.</t>
  </si>
  <si>
    <t>MED54</t>
  </si>
  <si>
    <t>Dexametasona 4 mg comp (FM)</t>
  </si>
  <si>
    <t>MED96</t>
  </si>
  <si>
    <t>Hidrocortisona Fco amp polvo p/rest 500 mg</t>
  </si>
  <si>
    <t>MED65</t>
  </si>
  <si>
    <t>Difenhidramina 10mg Amp x 1 ml</t>
  </si>
  <si>
    <t>MED130</t>
  </si>
  <si>
    <t>Metoclopramida 10 mg Amp x 2 ml</t>
  </si>
  <si>
    <t>El relevamiento indica una coincidencia probable. Confirmar las características del producto y la existencia del código en esta base. Fuente: master original, fila 68.</t>
  </si>
  <si>
    <t>MED131</t>
  </si>
  <si>
    <t>Metoclopramida Comp x 10 mg</t>
  </si>
  <si>
    <t>El relevamiento indica una coincidencia probable. Confirmar las características del producto y la existencia del código en esta base. Fuente: master original, fila 193.</t>
  </si>
  <si>
    <t>MED147</t>
  </si>
  <si>
    <t>Omeprazol 40 mg Fco amp polvo p/ rest</t>
  </si>
  <si>
    <t>El relevamiento indica una coincidencia probable. Confirmar las características del producto y la existencia del código en esta base. Fuente: master original, fila 11.</t>
  </si>
  <si>
    <t>MED148</t>
  </si>
  <si>
    <t>Omeprazol Comp x 20 mg</t>
  </si>
  <si>
    <t>El relevamiento indica una coincidencia probable. Confirmar las características del producto y la existencia del código en esta base. Fuente: master original, fila 74.</t>
  </si>
  <si>
    <t>MED78</t>
  </si>
  <si>
    <t>Famotidina Comp x 20 mg</t>
  </si>
  <si>
    <t>DESC150</t>
  </si>
  <si>
    <t>Trimebutina / Simeticona comp</t>
  </si>
  <si>
    <t>MED60</t>
  </si>
  <si>
    <t>Diazepam 10 mg (Ps) Amp x 2 ml</t>
  </si>
  <si>
    <t>El relevamiento indica una coincidencia probable. Confirmar las características del producto y la existencia del código en esta base. Fuente: master original, fila 80.</t>
  </si>
  <si>
    <t>MED141</t>
  </si>
  <si>
    <t>Naloxona 0,4mg Amp x 1 ml</t>
  </si>
  <si>
    <t>El relevamiento indica una coincidencia probable. Confirmar las características del producto y la existencia del código en esta base. Fuente: master original, fila 86.</t>
  </si>
  <si>
    <t>MED37</t>
  </si>
  <si>
    <t>Ciprofloxacina Comp x 500 mg</t>
  </si>
  <si>
    <t>El relevamiento indica una coincidencia probable. Confirmar las características del producto y la existencia del código en esta base. Fuente: master original, fila 28.</t>
  </si>
  <si>
    <t>MED115</t>
  </si>
  <si>
    <t>Levofloxacina Comp x 500 mg</t>
  </si>
  <si>
    <t>MED40</t>
  </si>
  <si>
    <t>Clindamicina 300 mg (FM) comp</t>
  </si>
  <si>
    <t>DES047</t>
  </si>
  <si>
    <t>Furosemida 1 amp=2ml</t>
  </si>
  <si>
    <t>El relevamiento indica una coincidencia probable. Confirmar las características del producto y la existencia del código en esta base. Fuente: master original, fila 103.</t>
  </si>
  <si>
    <t>MED169</t>
  </si>
  <si>
    <t>Solución ringer lactato x 500 ml</t>
  </si>
  <si>
    <t>El relevamiento indica una coincidencia probable. Confirmar las características del producto y la existencia del código en esta base. Fuente: master original, fila 202.</t>
  </si>
  <si>
    <t>DES094</t>
  </si>
  <si>
    <t>Lagrimas naturales Gotas oftálmicas</t>
  </si>
  <si>
    <t>El relevamiento indica una coincidencia probable. Confirmar las características del producto y la existencia del código en esta base. Fuente: master original, fila 55.</t>
  </si>
  <si>
    <t>MED47</t>
  </si>
  <si>
    <t>Clotrimazol Crema 1% x 20gr</t>
  </si>
  <si>
    <t>DES104</t>
  </si>
  <si>
    <t>Rifamicina  Spray x 30ml</t>
  </si>
  <si>
    <t>DESC1</t>
  </si>
  <si>
    <t>DESC2</t>
  </si>
  <si>
    <t>DESC4</t>
  </si>
  <si>
    <t>DESC84</t>
  </si>
  <si>
    <t>El relevamiento indica una coincidencia probable. Confirmar las características del producto y la existencia del código en esta base. Fuente: master original, fila 133.</t>
  </si>
  <si>
    <t>DESC77</t>
  </si>
  <si>
    <t>Jeringas 1 cc</t>
  </si>
  <si>
    <t>El relevamiento indica una coincidencia probable. Confirmar las características del producto y la existencia del código en esta base. Fuente: master original, fila 216.</t>
  </si>
  <si>
    <t>DESC80</t>
  </si>
  <si>
    <t>Jeringas 5 cc</t>
  </si>
  <si>
    <t>DESC78</t>
  </si>
  <si>
    <t>Jeringas 10 cc</t>
  </si>
  <si>
    <t>DESC79</t>
  </si>
  <si>
    <t>Jeringas 20 cc</t>
  </si>
  <si>
    <t>El relevamiento indica una coincidencia probable. Confirmar las características del producto y la existencia del código en esta base. Fuente: master original, fila 219.</t>
  </si>
  <si>
    <t>DESC12</t>
  </si>
  <si>
    <t>Agujas 25/8</t>
  </si>
  <si>
    <t>DESC13</t>
  </si>
  <si>
    <t>Agujas 40/8</t>
  </si>
  <si>
    <t>DESC11</t>
  </si>
  <si>
    <t>Agujas 16/5</t>
  </si>
  <si>
    <t>DESC135</t>
  </si>
  <si>
    <t>Tela Hipoalergénica 5cm</t>
  </si>
  <si>
    <t>El relevamiento indica una coincidencia probable. Confirmar las características del producto y la existencia del código en esta base. Fuente: master original, fila 66.</t>
  </si>
  <si>
    <t>DESC52</t>
  </si>
  <si>
    <t>Curitas x 1 ud</t>
  </si>
  <si>
    <t>DESC19</t>
  </si>
  <si>
    <t>El relevamiento indica una coincidencia probable. Confirmar las características del producto y la existencia del código en esta base. Fuente: master original, fila 67.</t>
  </si>
  <si>
    <t>DESC25</t>
  </si>
  <si>
    <t>Barbijos quirúrgicos x 1 ud</t>
  </si>
  <si>
    <t>El relevamiento indica una coincidencia probable. Confirmar las características del producto y la existencia del código en esta base. Fuente: master original, fila 158.</t>
  </si>
  <si>
    <t>DESC54</t>
  </si>
  <si>
    <t>Descartador Grande</t>
  </si>
  <si>
    <t>El relevamiento indica una coincidencia probable. Confirmar las características del producto y la existencia del código en esta base. Fuente: master original, fila 160.</t>
  </si>
  <si>
    <t>DESC116</t>
  </si>
  <si>
    <t>Sonda nasogástrica K 10</t>
  </si>
  <si>
    <t>El relevamiento indica una coincidencia probable. Confirmar las características del producto y la existencia del código en esta base. Fuente: master original, fila 235.</t>
  </si>
  <si>
    <t>DESC55</t>
  </si>
  <si>
    <t>El relevamiento indica una coincidencia probable. Confirmar las características del producto y la existencia del código en esta base. Fuente: master original, fila 172.</t>
  </si>
  <si>
    <t>DESC109</t>
  </si>
  <si>
    <t>Rollo papel para Electrocardiograma 50mm x 30m (Rollo)</t>
  </si>
  <si>
    <t>El relevamiento indica una coincidencia probable. Confirmar las características del producto y la existencia del código en esta base. Fuente: master original, fila 176.</t>
  </si>
  <si>
    <t>DESC15</t>
  </si>
  <si>
    <t>Alcohol 96% x 1000ml</t>
  </si>
  <si>
    <t>DESC138</t>
  </si>
  <si>
    <t>DESC94</t>
  </si>
  <si>
    <t>DESC117</t>
  </si>
  <si>
    <t>Sonda nasogástrica K 30</t>
  </si>
  <si>
    <t>El relevamiento indica una coincidencia probable. Confirmar las características del producto y la existencia del código en esta base. Fuente: master original, fila 144.</t>
  </si>
  <si>
    <t>Revisión de Salta</t>
  </si>
  <si>
    <t>284 ítems del master. Esta hoja registra únicamente las decisiones de Salta.</t>
  </si>
  <si>
    <t>Cruce del inventario recibido: 24/09/2026. D/E contienen candidatos; sólo una validación completa permite homologarlos.</t>
  </si>
  <si>
    <t>162</t>
  </si>
  <si>
    <t>Ketorolac S/L Comprimidos x 10mg sl</t>
  </si>
  <si>
    <t>Mismo principio activo, presentación distinta: master 20 mg comprimidos; Salta 10 mg sublingual. No corresponde confirmar este código para 20 mg sin resolver la diferencia. Fuente: Inventario Salta, fila(s) 166.</t>
  </si>
  <si>
    <t>Gluconato de calcio amp 40mg/10ml</t>
  </si>
  <si>
    <t>Mismo principio activo, concentración declarada distinta: master 10%; Salta 40 mg/10 ml. Revisar el rótulo y corregir el dato si corresponde; no asumir equivalencia. Fuente: Inventario Salta, fila(s) 136.</t>
  </si>
  <si>
    <t>291</t>
  </si>
  <si>
    <t>Atenolol 25mg Comp</t>
  </si>
  <si>
    <t>Mismo principio activo, dosis distinta: master atenolol 50 mg; Salta 25 mg. Buscar 50 mg o resolver la diferencia con el responsable. Fuente: Inventario Salta, fila(s) 48.</t>
  </si>
  <si>
    <t>142</t>
  </si>
  <si>
    <t>Hidroclorotiazida Comprimidosx 50mg</t>
  </si>
  <si>
    <t>Mismo principio activo, dosis distinta: master hidroclorotiazida 25 mg; Salta 50 mg. Revisar presentación antes de asociar el código. Fuente: Inventario Salta, fila(s) 149.</t>
  </si>
  <si>
    <t>Glucosado hipertónico al 25% 1 amp=10ml 250mg/1ml</t>
  </si>
  <si>
    <t>Coincide glucosa/dextrosa al 25%, pero cambia el volumen: master 500 ml; Salta ampolla de 10 ml. Revisar presentación. El código 94 es 5% y tampoco cubre este ítem. Fuente: Inventario Salta, fila(s) 137.</t>
  </si>
  <si>
    <t>17</t>
  </si>
  <si>
    <t>Agua para Inyectable 1 amp=10ml</t>
  </si>
  <si>
    <t>Volumen distinto: master agua destilada, ampolla de 5 ml; Salta agua para inyectable, ampolla de 10 ml. Confirmar además la especificación del agua. No asociar automáticamente. Fuente: Inventario Salta, fila(s) 21.</t>
  </si>
  <si>
    <t>Agujas epicraneales N°27</t>
  </si>
  <si>
    <t>Mismo tipo de aguja epicraneal, calibre distinto: master Nº 21-23; Salta sólo informa Nº 27. Revisar calibre; no confirmar como equivalente. Fuente: Inventario Salta, fila(s) 26.</t>
  </si>
  <si>
    <t>304
258
412</t>
  </si>
  <si>
    <t>Canula de guedel 90mm
Canula de Guedel 100mm
Canula de Guedel 120mm</t>
  </si>
  <si>
    <t>Las medidas declaradas no coinciden: master 9-10-12 mm; Salta 90-100-120 mm. Revisar presentación y posible error de nomenclatura en el master. No corregir multiplicando por 10 sin validación. Fuente: Inventario Salta, fila(s) 65, 62, 63.</t>
  </si>
  <si>
    <t>186</t>
  </si>
  <si>
    <t>Migral (ergotamina antimigrañoso) Comprimidos</t>
  </si>
  <si>
    <t>Salta identifica ergotamina y la marca Migral. El master no detalla composición completa ni dosis del antimigrañoso. Confirmar la formulación; la marca por sí sola no reduce la confianza. Fuente: Inventario Salta, fila(s) 194.</t>
  </si>
  <si>
    <t>Adrenalina 1 amp=1ml</t>
  </si>
  <si>
    <t>Coinciden adrenalina y ampolla de 1 ml. Salta no informa los 1 mg requeridos. Confirmar concentración. Fuente: Inventario Salta, fila(s) 17.</t>
  </si>
  <si>
    <t>230</t>
  </si>
  <si>
    <t>Sulfato de Atropina (Klonatropina) 1 amp=1 ml</t>
  </si>
  <si>
    <t>Coinciden atropina y ampolla de 1 ml. Salta no informa los 1 mg requeridos. Klonatropina se conserva como nombre comercial; verificar dosis. Fuente: Inventario Salta, fila(s) 247.</t>
  </si>
  <si>
    <t>399</t>
  </si>
  <si>
    <t>Nitroglicerina</t>
  </si>
  <si>
    <t>Salta sólo dice Nitroglicerina. Faltan dosis, volumen y forma; el master pide 25-50 mg en ampolla. Fuente: Inventario Salta, fila(s) 199.</t>
  </si>
  <si>
    <t>Digoxina 0.25mg/ml</t>
  </si>
  <si>
    <t>Coinciden digoxina y 0,25 mg/ml. Salta no identifica ampolla ni volumen total de 1 ml. Confirmar envase. Fuente: Inventario Salta, fila(s) 116.</t>
  </si>
  <si>
    <t>400</t>
  </si>
  <si>
    <t>Clorhidrato de Labetalol 20mg</t>
  </si>
  <si>
    <t>Coinciden labetalol y 20 mg. Salta no indica volumen de 4 ml ni forma; confirmar presentación. Fuente: Inventario Salta, fila(s) 88.</t>
  </si>
  <si>
    <t>153</t>
  </si>
  <si>
    <t>Ipratropio bromuro 1 fco gotero=20ml</t>
  </si>
  <si>
    <t>Coinciden bromuro de ipratropio y frasco gotero. Salta no explicita uso para nebulización ni concentración. Confirmar el rótulo; no tratar una falta de dato como diferencia comprobada. Fuente: Inventario Salta, fila(s) 158.</t>
  </si>
  <si>
    <t>Corteroid (betametasona fosfato/acetato) fco ampolla</t>
  </si>
  <si>
    <t>Salta informa betametasona fosfato/acetato en frasco ampolla, marca Corteroid. Confirmar que es la formulación retard pedida; el inventario no lo expresa. La marca se registra sólo como observación. Fuente: Inventario Salta, fila(s) 98.</t>
  </si>
  <si>
    <t>Difenhidramina amp Ampolla x 10 mg</t>
  </si>
  <si>
    <t>Coinciden difenhidramina y 10 mg por ampolla. Salta omite el volumen de 1 ml; confirmar. Fuente: Inventario Salta, fila(s) 114.</t>
  </si>
  <si>
    <t>385</t>
  </si>
  <si>
    <t>Hioscina 1 amp x 20mg</t>
  </si>
  <si>
    <t>Coinciden hioscina, 20 mg y ampolla. Salta no explicita la sal butilbromuro requerida; confirmar composición. Fuente: Inventario Salta, fila(s) 153.</t>
  </si>
  <si>
    <t>51</t>
  </si>
  <si>
    <t>Hioscina Comprimidos x 10 mg</t>
  </si>
  <si>
    <t>Coinciden hioscina, 10 mg y comprimidos. Salta no explicita butilbromuro; confirmar composición. Fuente: Inventario Salta, fila(s) 155.</t>
  </si>
  <si>
    <t>191</t>
  </si>
  <si>
    <t>Omeprazol 1 fco amp polvo p/rest 40mg/ml</t>
  </si>
  <si>
    <t>Coincide omeprazol en frasco ampolla, pero Salta expresa 40 mg/ml y el master 40 mg por frasco. Falta volumen de reconstitución para equiparar las unidades. Verificar el dato antes de confirmar. Fuente: Inventario Salta, fila(s) 203.</t>
  </si>
  <si>
    <t>141</t>
  </si>
  <si>
    <t>Haloperidol 1 amp=1ml</t>
  </si>
  <si>
    <t>Coinciden haloperidol y ampolla de 1 ml. Salta no informa los 5 mg requeridos. Confirmar dosis. Fuente: Inventario Salta, fila(s) 147.</t>
  </si>
  <si>
    <t>Flumazenil 1 amp=5ml x0,5ml</t>
  </si>
  <si>
    <t>El master pide 0,5 mg/5 ml. Salta dice 0,5 ml en vez de masa, además de ampolla de 5 ml. Unidad inconsistente: confirmar el rótulo y corregir la descripción si corresponde. Fuente: Inventario Salta, fila(s) 127.</t>
  </si>
  <si>
    <t>Clindamicina capsulas</t>
  </si>
  <si>
    <t>Coincide clindamicina en cápsulas. El inventario omite la dosis de 300 mg. No usar el código 418 de 600 mg ampolla para este ítem. Fuente: Inventario Salta, fila(s) 84.</t>
  </si>
  <si>
    <t>435</t>
  </si>
  <si>
    <t>Trimetoprina / sulfametoxazol, Comprimidos x 800 mg/160 mg</t>
  </si>
  <si>
    <t>Coinciden los dos componentes y las cifras 800/160. Confirmar qué cantidad corresponde a cada componente: la denominación de Salta los enumera como trimetoprina/sulfametoxazol. Bactrin Forte del master es referencia comercial, no motivo de rechazo. Fuente: Inventario Salta, fila(s) 262.</t>
  </si>
  <si>
    <t>63</t>
  </si>
  <si>
    <t>Ceftriaxona fco ampolla</t>
  </si>
  <si>
    <t>Coincide ceftriaxona en frasco ampolla. Salta no indica la dosis de 1 g; confirmar. Fuente: Inventario Salta, fila(s) 74.</t>
  </si>
  <si>
    <t>Lidocaina jalea pomo</t>
  </si>
  <si>
    <t>Coinciden lidocaína y jalea. Salta no indica 2%; confirmar concentración. Fuente: Inventario Salta, fila(s) 173.</t>
  </si>
  <si>
    <t>129</t>
  </si>
  <si>
    <t>Gasas 10 x 10</t>
  </si>
  <si>
    <t>Coinciden gasas y 10x10. El inventario no confirma esterilidad; verificar antes de homologar. Fuente: Inventario Salta, fila(s) 132.</t>
  </si>
  <si>
    <t>Coinciden apósitos estériles. Falta confirmar tamaño 10x20; no está indicado en Salta. Fuente: Inventario Salta, fila(s) 45.</t>
  </si>
  <si>
    <t>250</t>
  </si>
  <si>
    <t>Vendas de 5 cm</t>
  </si>
  <si>
    <t>Coinciden vendas de 5 cm. Salta no indica material Cambric; confirmar. Fuente: Inventario Salta, fila(s) 276.</t>
  </si>
  <si>
    <t>Vendas de 10 cm</t>
  </si>
  <si>
    <t>Coinciden vendas de 10 cm. Salta no indica material Cambric; confirmar. Fuente: Inventario Salta, fila(s) 275.</t>
  </si>
  <si>
    <t>Bisturi</t>
  </si>
  <si>
    <t>El inventario sólo dice Bisturi. El master pide hojas Nº 20-22. Confirmar que el código corresponde a hojas y cuáles tamaños cubre. Fuente: Inventario Salta, fila(s) 56.</t>
  </si>
  <si>
    <t>Hilo Sutura Atramat N° 5</t>
  </si>
  <si>
    <t>Posible candidato: hilo de sutura Atramat Nº 5. El inventario no informa material Nylon ni calibres 3-0/4-0/5-0. El Nº 5 no se interpreta como 5-0; confirmar material y calibre. Fuente: Inventario Salta, fila(s) 152.</t>
  </si>
  <si>
    <t>Posible candidato: hilo de sutura Atramat Nº 5. No informa ácido poliglicólico ni calibres 3-0/4-0. No asumir que Atramat y Vicryl son equivalentes por su marca; confirmar composición y calibre. Fuente: Inventario Salta, fila(s) 152.</t>
  </si>
  <si>
    <t>Guantes esteriles 7.5</t>
  </si>
  <si>
    <t>Coinciden guante estéril y talle. El master pide par; el inventario no informa unidad de entrega. Confirmar presentación por par. Fuente: Inventario Salta, fila(s) 142.</t>
  </si>
  <si>
    <t>138</t>
  </si>
  <si>
    <t>Guantes Estériles 8.0</t>
  </si>
  <si>
    <t>Coinciden guante estéril y talle. El master pide par; el inventario no informa unidad de entrega. Confirmar presentación por par. Fuente: Inventario Salta, fila(s) 143.</t>
  </si>
  <si>
    <t>224
432
306</t>
  </si>
  <si>
    <t>Sonda Gastrica Fr 16
Sonda Gastrica Fr 12 
SONDA NASOGASTRICA K11 o 18FR</t>
  </si>
  <si>
    <t>El master usa la referencia K10; Salta describe sondas gástricas por Fr 12/16/18. No inferir conversión K-Fr sin ficha del fabricante. Los códigos son candidatos para consultar, no equivalencias confirmadas. Fuente: Inventario Salta, fila(s) 241, 240, 243.</t>
  </si>
  <si>
    <t>304
258
412
312</t>
  </si>
  <si>
    <t>Canula de guedel 90mm
Canula de Guedel 100mm
Canula de Guedel 120mm
Canula de Guedel 80mm</t>
  </si>
  <si>
    <t>El master usa números 3-4-5; Salta longitudes de 80/90/100/120 mm. No se presume conversión entre ambas escalas. Confirmar modelo y talla con ficha del fabricante. Fuente: Inventario Salta, fila(s) 65, 62, 63, 64.</t>
  </si>
  <si>
    <t>Salta dice Electrodos sin especificar ECG. Confirmar tipo y compatibilidad; no alcanza el nombre genérico para aprobar. Fuente: Inventario Salta, fila(s) 122.</t>
  </si>
  <si>
    <t>201</t>
  </si>
  <si>
    <t>Pervinox 1 lt</t>
  </si>
  <si>
    <t>Coincide volumen 1 litro. Salta sólo dice Pervinox, una marca con distintas formulaciones; confirmar que sea solución de iodopovidona al 10%. La incertidumbre es composición/concentración, no la marca. Ver referencias oficiales en Inventario Salta original. Fuente: Inventario Salta, fila(s) 213.</t>
  </si>
  <si>
    <t>218
219</t>
  </si>
  <si>
    <t>Solucion fisiológica 500ml Baxter 500ml
Solucion Fisiologica x 100ml gotero</t>
  </si>
  <si>
    <t>El master pide solución fisiológica en frasco para lavado. Salta tiene 500 ml Baxter (218) y 100 ml gotero (219). Confirmar envase y uso antes de elegir; el master no fija volumen. Fuente: Inventario Salta, fila(s) 231, 232.</t>
  </si>
  <si>
    <t>Collar Cervical TU regulable</t>
  </si>
  <si>
    <t>Salta describe collar cervical de talla única regulable, sin indicar adulto. Confirmar rango adulto antes de asociar. Fuente: Inventario Salta, fila(s) 92.</t>
  </si>
  <si>
    <t>Torniquete</t>
  </si>
  <si>
    <t>El inventario sólo indica Torniquete. Falta confirmar que sea táctico (CAT cuando lo pide el master); no alcanza el nombre genérico. Fuente: Inventario Salta, fila(s) 257.</t>
  </si>
  <si>
    <t>207</t>
  </si>
  <si>
    <t>Resucitador Manual Tipo Ambu</t>
  </si>
  <si>
    <t>Coincide resucitador manual tipo Ambú. Salta no indica tamaño adulto; confirmar. Fuente: Inventario Salta, fila(s) 221.</t>
  </si>
  <si>
    <t>319</t>
  </si>
  <si>
    <t>Guia de intubacion EICHMAN</t>
  </si>
  <si>
    <t>El nombre EICHMAN podría ser una variación de Eschmann, pero debe confirmarse tipo/modelo de guía de intubación. No resolver sólo por similitud textual. Fuente: Inventario Salta, fila(s) 144.</t>
  </si>
  <si>
    <t>Tensiometro Manual</t>
  </si>
  <si>
    <t>Coincide tensiómetro manual. Salta no especifica adulto ni tamaño del manguito; confirmar. Fuente: Inventario Salta, fila(s) 249.</t>
  </si>
  <si>
    <t>234
277</t>
  </si>
  <si>
    <t>Termometro axilar
Termometro Infrarojo</t>
  </si>
  <si>
    <t>El master pide termómetro digital. Salta indica axilar (234) e infrarrojo (277) sin precisar el tipo digital requerido. Confirmar tecnología y uso antes de elegir. Fuente: Inventario Salta, fila(s) 250, 251.</t>
  </si>
  <si>
    <t>Coincide resucitador manual tipo Ambú. Salta no confirma reservorio; verificar que esté incluido. Fuente: Inventario Salta, fila(s) 221.</t>
  </si>
  <si>
    <t>182</t>
  </si>
  <si>
    <t>Máscaras para oxigeno c/ reservorio</t>
  </si>
  <si>
    <t>Coincide máscara de O2 con reservorio. El inventario no indica adulto; confirmar tamaño. Fuente: Inventario Salta, fila(s) 188.</t>
  </si>
  <si>
    <t>181</t>
  </si>
  <si>
    <t>Mascara NBZ</t>
  </si>
  <si>
    <t>Coincide máscara para nebulizar. Falta confirmar tamaño adulto. Fuente: Inventario Salta, fila(s) 186.</t>
  </si>
  <si>
    <t>430</t>
  </si>
  <si>
    <t>Sonda de Aspiracion K30</t>
  </si>
  <si>
    <t>Coincide sonda de aspiración K30. Falta confirmar regulador, requerido por el master. Fuente: Inventario Salta, fila(s) 235.</t>
  </si>
  <si>
    <t>Salta sólo dice Bisturi. Confirmar que corresponde a hoja y no al instrumento completo. Fuente: Inventario Salta, fila(s) 56.</t>
  </si>
  <si>
    <t>Sabana descartable</t>
  </si>
  <si>
    <t>Salta informa sábana descartable; no declara esterilidad. Confirmar que sea estéril antes de asociar al master. Fuente: Inventario Salta, fila(s) 224.</t>
  </si>
  <si>
    <t>El collar regulable de talla única no declara uso pediátrico. Confirmar rango de ajuste; no asumir equivalencia pediátrica. Fuente: Inventario Salta, fila(s) 92.</t>
  </si>
  <si>
    <t>El inventario no indica tamaño pediátrico ni reservorio del resucitador manual. Confirmar ambos atributos. Fuente: Inventario Salta, fila(s) 221.</t>
  </si>
  <si>
    <t>Salta no declara tamaño de la máscara con reservorio. Confirmar que exista la presentación pediátrica requerida. Fuente: Inventario Salta, fila(s) 188.</t>
  </si>
  <si>
    <t>Salta no declara tamaño de la máscara de nebulización. Confirmar presentación pediátrica. Fuente: Inventario Salta, fila(s) 186.</t>
  </si>
  <si>
    <t>225
432</t>
  </si>
  <si>
    <t>Sonda Gastrica Fr 5
Sonda Gastrica Fr 12</t>
  </si>
  <si>
    <t>El master pide sonda NG pediátrica K30/K33. Salta tiene sondas gástricas Fr 5/12, sin equivalencia de códigos K. Confirmar ficha y tamaño; no usar la sonda de aspiración K30 sólo por compartir número. Fuente: Inventario Salta, fila(s) 242, 240.</t>
  </si>
  <si>
    <t>El inventario no declara tamaño de manguito ni uso pediátrico del tensiómetro. Confirmar antes de asociar. Fuente: Inventario Salta, fila(s) 249.</t>
  </si>
  <si>
    <t>180</t>
  </si>
  <si>
    <t>Manta Termica</t>
  </si>
  <si>
    <t>Coincide manta térmica. El inventario no especifica aluminizada; confirmar material. Fuente: Inventario Salta, fila(s) 182.</t>
  </si>
  <si>
    <t>128</t>
  </si>
  <si>
    <t>Gasa Furacinada caja</t>
  </si>
  <si>
    <t>Coinciden gasas furacinadas; Salta no explicita nitrofurazona ni composición. Confirmar rótulo sin asumir por nombre comercial. Fuente: Inventario Salta, fila(s) 131.</t>
  </si>
  <si>
    <t>218</t>
  </si>
  <si>
    <t>Solucion fisiológica 500ml Baxter 500ml</t>
  </si>
  <si>
    <t>Coinciden solución fisiológica y 500 ml. El master señala uso para lavado; confirmar envase/aplicación antes de homologar. Fuente: Inventario Salta, fila(s) 231.</t>
  </si>
  <si>
    <t>184
260</t>
  </si>
  <si>
    <t>Metoclopramida Comp Comprimidos x 10mg
Metoclopramida subl. 10 mgs</t>
  </si>
  <si>
    <t>El master admite comprimidos/SL. Salta tiene dos registros de 10 mg: 184 comprimidos y 260 sublingual. Ambas formas están previstas; confirmar si se conservarán los dos códigos y su correspondencia. Fuente: Inventario Salta, fila(s) 191, 192.</t>
  </si>
  <si>
    <t>228
288</t>
  </si>
  <si>
    <t>Sulfadiazina de Plata 400gr
Sulfadiazina de Plata 30mg</t>
  </si>
  <si>
    <t>Dos registros de sulfadiazina de plata: 228 dice 400 gr y 288 dice 30 mg. El master no define tamaño. Verificar la unidad del código 288 y elegir la presentación o mantener códigos separados; no unificarlos sin revisión. Fuente: Inventario Salta, fila(s) 246, 245.</t>
  </si>
  <si>
    <t>133
135
134</t>
  </si>
  <si>
    <t>Guantes de latex chico no esteriles
Guantes de latex mediano no esteril
Guantes de latex grande no esteril</t>
  </si>
  <si>
    <t>El master agrupa guantes de examen en caja. Salta separa chico (133), mediano (135) y grande (134), no estériles. Confirmar unidad caja y cuáles talles cubre el ID común. Fuente: Inventario Salta, fila(s) 138, 140, 139.</t>
  </si>
  <si>
    <t>221
222</t>
  </si>
  <si>
    <t>Sonda Foley Fr 16
Sonda Foley Fr 18</t>
  </si>
  <si>
    <t>El master agrupa Foley 16 y 18. Salta los separa: 221 = Fr 16; 222 = Fr 18. Ambos tamaños están disponibles; confirmar la correspondencia por variante. Fuente: Inventario Salta, fila(s) 237, 238.</t>
  </si>
  <si>
    <t>243
244
245</t>
  </si>
  <si>
    <t>Tubo endotraqueal Fr 28 N7
Tubo endotraqueal Fr 30 N7.5
Tubo endotraqueal Fr 32 N8</t>
  </si>
  <si>
    <t>El master agrupa TET 7 / 7,5 / 8. Salta los separa: 243 = 7; 244 = 7,5; 245 = 8. Conservar correspondencia de cada medida. Fuente: Inventario Salta, fila(s) 265, 266, 267.</t>
  </si>
  <si>
    <t>405
406</t>
  </si>
  <si>
    <t>Mascara Laringea N 4
Mascara Laringea N 5</t>
  </si>
  <si>
    <t>El master agrupa máscaras laríngeas 4-5. Salta tiene 405 = Nº 4 y 406 = Nº 5. Conservar la correspondencia por tamaño. Fuente: Inventario Salta, fila(s) 184, 185.</t>
  </si>
  <si>
    <t>425</t>
  </si>
  <si>
    <t>Linterna de examinacion</t>
  </si>
  <si>
    <t>Sólo se encontró linterna de examinación. No se identificó martillo de reflejos. Aclarar si la barra del master significa alternativa o un conjunto de ambos elementos. Fuente: Inventario Salta, fila(s) 174.</t>
  </si>
  <si>
    <t>Cobertura parcial: Salta tiene Nº 4 (405) y Nº 5 (406). No se encontró Nº 6 del grupo 4-5-6. Conservar variantes separadas y completar la faltante. Fuente: Inventario Salta, fila(s) 184, 185.</t>
  </si>
  <si>
    <t>243
244
245
246</t>
  </si>
  <si>
    <t>Tubo endotraqueal Fr 28 N7
Tubo endotraqueal Fr 30 N7.5
Tubo endotraqueal Fr 32 N8
Tubo endotraqueal Fr 34 N8.5</t>
  </si>
  <si>
    <t>Grupo completo por tamaño: 243 = 7; 244 = 7,5; 245 = 8; 246 = 8,5. Confirmar cómo registrar los cuatro códigos en el ID agrupado. Fuente: Inventario Salta, fila(s) 265, 266, 267, 268.</t>
  </si>
  <si>
    <t>137
138</t>
  </si>
  <si>
    <t>Guantes esteriles 7.5
Guantes Estériles 8.0</t>
  </si>
  <si>
    <t>El master agrupa guantes estériles 7,5 y 8. Salta separa 137 = 7,5 y 138 = 8. Conservar talles y unidad de entrega. Fuente: Inventario Salta, fila(s) 142, 143.</t>
  </si>
  <si>
    <t>Salta separa guantes no estériles por talla: chico (133), mediano (135) y grande (134). El master los agrupa sin talla. Confirmar cobertura del ID común. Fuente: Inventario Salta, fila(s) 138, 140, 139.</t>
  </si>
  <si>
    <t>312
304
258
412</t>
  </si>
  <si>
    <t>Canula de Guedel 80mm
Canula de guedel 90mm
Canula de Guedel 100mm
Canula de Guedel 120mm</t>
  </si>
  <si>
    <t>Cánulas Guedel disponibles de 80, 90, 100 y 120 mm. El master dice varios sin definir medidas. Confirmar cuáles integrar al grupo y conservar cada código. Fuente: Inventario Salta, fila(s) 64, 65, 62, 63.</t>
  </si>
  <si>
    <t>5
6</t>
  </si>
  <si>
    <t>Abbocath N° 22
Abbocath N° 24</t>
  </si>
  <si>
    <t>El master agrupa Abbocath 22-24. Salta separa 5 = Nº 22 y 6 = Nº 24. Conservar cada calibre con su código. Fuente: Inventario Salta, fila(s) 10, 11.</t>
  </si>
  <si>
    <t>Cobertura parcial: Salta informa guante estéril Nº 8 (138), pero no Nº 7. No reemplazar por 7,5. Confirmar tipo quirúrgico y completar el talle faltante. Fuente: Inventario Salta, fila(s) 143.</t>
  </si>
  <si>
    <t>250
440
249</t>
  </si>
  <si>
    <t>Vendas de 5 cm
Venda de 7 cm
Vendas de 10 cm</t>
  </si>
  <si>
    <t>Disponibles vendas de 5, 7 y 10 cm. Falta confirmar material Cambric en los tres códigos; conservar cada medida por separado. Fuente: Inventario Salta, fila(s) 276, 273, 275.</t>
  </si>
  <si>
    <t>233
195
234</t>
  </si>
  <si>
    <t>Tensiometro Manual
Oximetro de pulso digital
Termometro axilar</t>
  </si>
  <si>
    <t>Conjunto incompleto: posibles tensiómetro (233), oxímetro (195) y termómetro axilar (234). No se identificó estetoscopio. Validar especificaciones de cada componente; estos códigos no representan un kit único. Fuente: Inventario Salta, fila(s) 249, 208, 250.</t>
  </si>
  <si>
    <t>129
37
250
440
249</t>
  </si>
  <si>
    <t>Gasas 10 x 10
Apósitos estériles
Vendas de 5 cm
Venda de 7 cm
Vendas de 10 cm</t>
  </si>
  <si>
    <t>El master agrupa gasas, apósitos y vendas. Salta los registra como artículos separados. Confirmar contenido, tamaños y unidad del conjunto; no existe un único código de kit en el inventario. Fuente: Inventario Salta, fila(s) 132, 45, 276, 273, 275.</t>
  </si>
  <si>
    <t>401
434</t>
  </si>
  <si>
    <t>Torniquete
Tijera de  trauma 18cm</t>
  </si>
  <si>
    <t>Dos componentes separados: torniquete (401) y tijera de trauma (434). Confirmar tipo de torniquete y si el master requiere un kit o la suma de artículos. Fuente: Inventario Salta, fila(s) 257, 253.</t>
  </si>
  <si>
    <t>138
133
135
134</t>
  </si>
  <si>
    <t>Guantes Estériles 8.0
Guantes de latex chico no esteriles
Guantes de latex mediano no esteril
Guantes de latex grande no esteril</t>
  </si>
  <si>
    <t>Cobertura parcial: se encontró estéril Nº 8 y no estériles por talla; falta estéril Nº 7. No sustituir Nº 7 por 7,5. Separar cada variante. Fuente: Inventario Salta, fila(s) 143, 138, 140, 139.</t>
  </si>
  <si>
    <t>133
135
134
136
137
138</t>
  </si>
  <si>
    <t>Guantes de latex chico no esteriles
Guantes de latex mediano no esteril
Guantes de latex grande no esteril
Guantes estériles 6.5
Guantes esteriles 7.5
Guantes Estériles 8.0</t>
  </si>
  <si>
    <t>El master sólo dice Guantes. Salta tiene estériles y no estériles con talles distintos. Definir el tipo requerido y seleccionar los códigos; no fusionar todas las variantes. Fuente: Inventario Salta, fila(s) 138, 140, 139, 141, 142, 143.</t>
  </si>
  <si>
    <t>43
403</t>
  </si>
  <si>
    <t>Barbijos quirúrgicos pqte 50u.
Barbijo N95</t>
  </si>
  <si>
    <t>El master sólo dice Barbijo. Salta tiene quirúrgico (43) y N95 (403), productos distintos. Definir cuál corresponde antes de asociar. Fuente: Inventario Salta, fila(s) 52, 51.</t>
  </si>
  <si>
    <t>410</t>
  </si>
  <si>
    <t>Aspirina comprimidos 100mg</t>
  </si>
  <si>
    <t>Coinciden ácido acetilsalicílico y 100 mg. Salta usa el nombre Aspirina; la diferencia comercial se registra sólo como observación. El master no distingue recubrimiento. Ver referencia Bayer en Inventario Salta original. Fuente: Inventario Salta, fila(s) 46.</t>
  </si>
  <si>
    <t>99</t>
  </si>
  <si>
    <t>Diclofenac Sódico Comprimidos x75mg</t>
  </si>
  <si>
    <t>Coinciden las características que explicita el ítem del master. Fuente: Inventario Salta, fila(s) 113.</t>
  </si>
  <si>
    <t>97</t>
  </si>
  <si>
    <t>Diclofenac inyectable 1 amp=3ml x 75mg</t>
  </si>
  <si>
    <t>Coinciden las características que explicita el ítem del master. Fuente: Inventario Salta, fila(s) 111.</t>
  </si>
  <si>
    <t>96</t>
  </si>
  <si>
    <t>Diclofenac + Pridinol Compromidos x50/4mg</t>
  </si>
  <si>
    <t>Coinciden las características que explicita el ítem del master. Fuente: Inventario Salta, fila(s) 109.</t>
  </si>
  <si>
    <t>Ibuprofeno Comprimidos x 600mg</t>
  </si>
  <si>
    <t>Coinciden ibuprofeno y 600 mg. Salta especifica comprimidos. El master no define forma en Ítem Original; el nombre histórico de costos no se usó para exigir cápsulas. ID duplicado en el origen: se conserva una sola fila de revisión. Fuente: Inventario Salta, fila(s) 157.</t>
  </si>
  <si>
    <t>Coinciden las características que explicita el ítem del master. Fuente: Inventario Salta, fila(s) 166.</t>
  </si>
  <si>
    <t>160</t>
  </si>
  <si>
    <t>Ketorolac 1 amp=30 mgr x 1ml</t>
  </si>
  <si>
    <t>Coinciden las características que explicita el ítem del master. Fuente: Inventario Salta, fila(s) 165.</t>
  </si>
  <si>
    <t>198</t>
  </si>
  <si>
    <t>Paracetamol comprimidos 500mg</t>
  </si>
  <si>
    <t>Coinciden las características que explicita el ítem del master. Fuente: Inventario Salta, fila(s) 211.</t>
  </si>
  <si>
    <t>105</t>
  </si>
  <si>
    <t>Dipirona comprimidos x500mg</t>
  </si>
  <si>
    <t>Coinciden las características que explicita el ítem del master. Fuente: Inventario Salta, fila(s) 119.</t>
  </si>
  <si>
    <t>106</t>
  </si>
  <si>
    <t>Dipirona inyectable 1amp=2ml 1gr</t>
  </si>
  <si>
    <t>Coinciden las características que explicita el ítem del master. Fuente: Inventario Salta, fila(s) 120.</t>
  </si>
  <si>
    <t>Tramadol clorhidrato 1 amp=2ml/100mg</t>
  </si>
  <si>
    <t>Coinciden las características que explicita el ítem del master. Fuente: Inventario Salta, fila(s) 259.</t>
  </si>
  <si>
    <t>343</t>
  </si>
  <si>
    <t>Tramadol clorhidrato + Paracetamol Comprimidos</t>
  </si>
  <si>
    <t>Coinciden las características que explicita el ítem del master. Fuente: Inventario Salta, fila(s) 258.</t>
  </si>
  <si>
    <t>58</t>
  </si>
  <si>
    <t>Caramelos con Antibioticos Caramelos</t>
  </si>
  <si>
    <t>Coinciden las características que explicita el ítem del master. Fuente: Inventario Salta, fila(s) 72.</t>
  </si>
  <si>
    <t>Midazolam 1 amp=3ml/15mg</t>
  </si>
  <si>
    <t>Coinciden las características que explicita el ítem del master. Fuente: Inventario Salta, fila(s) 193.</t>
  </si>
  <si>
    <t>188</t>
  </si>
  <si>
    <t>Nalbufina 1 amp=1ml/10mg</t>
  </si>
  <si>
    <t>Coinciden las características que explicita el ítem del master. Fuente: Inventario Salta, fila(s) 197.</t>
  </si>
  <si>
    <t>Amiodarona 1 amp=3ml 150 mg/3ml</t>
  </si>
  <si>
    <t>Coinciden las características que explicita el ítem del master. Fuente: Inventario Salta, fila(s) 38.</t>
  </si>
  <si>
    <t>13</t>
  </si>
  <si>
    <t>Adenosina 1 amp=2ml 3 mg/1ml</t>
  </si>
  <si>
    <t>Misma concentración expresada de otra manera: Salta 3 mg/ml en 2 ml = 6 mg/2 ml, como pide el master. Fuente: Inventario Salta, fila(s) 16.</t>
  </si>
  <si>
    <t>46</t>
  </si>
  <si>
    <t>Bicarbonato de sodio 1 fco =100ml /8.4gr</t>
  </si>
  <si>
    <t>Misma concentración expresada de otra manera: Salta 8,4 g en 100 ml = 8,4%. Fuente: Inventario Salta, fila(s) 55.</t>
  </si>
  <si>
    <t>109</t>
  </si>
  <si>
    <t>Dopamina, clorhidrato 1 amp=5ml/200mg</t>
  </si>
  <si>
    <t>Coinciden las características que explicita el ítem del master. Fuente: Inventario Salta, fila(s) 121.</t>
  </si>
  <si>
    <t>190</t>
  </si>
  <si>
    <t>Noradrenalina 1 amp=4ml/4mg</t>
  </si>
  <si>
    <t>Coinciden las características que explicita el ítem del master. Fuente: Inventario Salta, fila(s) 201.</t>
  </si>
  <si>
    <t>76</t>
  </si>
  <si>
    <t>Clopidogrel Comprimidos x 75mg</t>
  </si>
  <si>
    <t>Coinciden las características que explicita el ítem del master. Fuente: Inventario Salta, fila(s) 87.</t>
  </si>
  <si>
    <t>111</t>
  </si>
  <si>
    <t>Enalapril Comprimidos x 10mg</t>
  </si>
  <si>
    <t>Coinciden las características que explicita el ítem del master. Fuente: Inventario Salta, fila(s) 123.</t>
  </si>
  <si>
    <t>33</t>
  </si>
  <si>
    <t>Amlodipina Comprimidos x 10mg</t>
  </si>
  <si>
    <t>Coinciden las características que explicita el ítem del master. Fuente: Inventario Salta, fila(s) 39.</t>
  </si>
  <si>
    <t>176</t>
  </si>
  <si>
    <t>Losartan Comprimidos x 50mg</t>
  </si>
  <si>
    <t>Coinciden las características que explicita el ítem del master. Fuente: Inventario Salta, fila(s) 179.</t>
  </si>
  <si>
    <t>Dinitrato de Isosorbide 5mg comp SBL</t>
  </si>
  <si>
    <t>Coinciden las características que explicita el ítem del master. Fuente: Inventario Salta, fila(s) 118.</t>
  </si>
  <si>
    <t>nitroprusiato de sodio 50 mg ampolla (frasco)</t>
  </si>
  <si>
    <t>Coinciden las características que explicita el ítem del master. Código 396: marca declarada nitroprusiato de sodio dihidratado. La marca por sí sola no cambia la clasificación. Fuente: Inventario Salta, fila(s) 200.</t>
  </si>
  <si>
    <t>Acido tranexamico 1 amp=5ml, 500mg/5ml</t>
  </si>
  <si>
    <t>Coinciden las características que explicita el ítem del master. Fuente: Inventario Salta, fila(s) 15.</t>
  </si>
  <si>
    <t>231</t>
  </si>
  <si>
    <t>Sulfato de Magnesio al 25% 1 amp=5ml</t>
  </si>
  <si>
    <t>Coinciden las características que explicita el ítem del master. Fuente: Inventario Salta, fila(s) 248.</t>
  </si>
  <si>
    <t>213</t>
  </si>
  <si>
    <t>Salbutamol 100 mcg Inhal. Aer. x 200 Dosis + aplic.</t>
  </si>
  <si>
    <t>Coinciden las características que explicita el ítem del master. Fuente: Inventario Salta, fila(s) 225.</t>
  </si>
  <si>
    <t>214</t>
  </si>
  <si>
    <t>Salbutamol solución p/neb gotas 5mg/ml</t>
  </si>
  <si>
    <t>Coinciden las características que explicita el ítem del master. Fuente: Inventario Salta, fila(s) 226.</t>
  </si>
  <si>
    <t>Budesonide mcg/ aerosol 200 dosis</t>
  </si>
  <si>
    <t>Coinciden budesonide y aerosol. Salta informa 200 dosis; ninguna fuente explicita aquí la cantidad por dosis. Marca declarada en Salta: BUNESONIDA; sólo se registra como observación. Código 407: marca declarada BUNESONIDA. La marca por sí sola no cambia la clasificación. Fuente: Inventario Salta, fila(s) 60.</t>
  </si>
  <si>
    <t>Dexametasona inyectable 1 amp=2ml x8mg</t>
  </si>
  <si>
    <t>Coinciden las características que explicita el ítem del master. Fuente: Inventario Salta, fila(s) 105.</t>
  </si>
  <si>
    <t>Dexametasona comp 4 mg</t>
  </si>
  <si>
    <t>Coinciden las características que explicita el ítem del master. Fuente: Inventario Salta, fila(s) 103.</t>
  </si>
  <si>
    <t>391</t>
  </si>
  <si>
    <t>Hidrocortisona 500mg fco ampolla</t>
  </si>
  <si>
    <t>Coinciden las características que explicita el ítem del master. Fuente: Inventario Salta, fila(s) 151.</t>
  </si>
  <si>
    <t>173</t>
  </si>
  <si>
    <t>Loratadina Comprimidos 10mgr</t>
  </si>
  <si>
    <t>Coinciden las características que explicita el ítem del master. Fuente: Inventario Salta, fila(s) 177.</t>
  </si>
  <si>
    <t>104</t>
  </si>
  <si>
    <t>Dimenhidrinato Comprimidos x 50mg</t>
  </si>
  <si>
    <t>Coinciden las características que explicita el ítem del master. Fuente: Inventario Salta, fila(s) 117.</t>
  </si>
  <si>
    <t>183</t>
  </si>
  <si>
    <t>Metoclopramida 1 amp=2ml x10mg</t>
  </si>
  <si>
    <t>Coinciden las características que explicita el ítem del master. Fuente: Inventario Salta, fila(s) 190.</t>
  </si>
  <si>
    <t>Hioscina 20mg + Dipirona 2500mg. 1 amp</t>
  </si>
  <si>
    <t>Coinciden las características que explicita el ítem del master. Fuente: Inventario Salta, fila(s) 154.</t>
  </si>
  <si>
    <t>192</t>
  </si>
  <si>
    <t>Omeprazol comp Comprimidos x 20mg</t>
  </si>
  <si>
    <t>Coinciden las características que explicita el ítem del master. Fuente: Inventario Salta, fila(s) 204.</t>
  </si>
  <si>
    <t>144</t>
  </si>
  <si>
    <t>Mylanta masticable (Hidroxido Al + Hidróxido Mg)</t>
  </si>
  <si>
    <t>Coinciden hidróxido de aluminio + hidróxido de magnesio y forma masticable. Salta usa la marca Mylanta: diferencia comercial sólo en observación. Fuente: Inventario Salta, fila(s) 196.</t>
  </si>
  <si>
    <t>172</t>
  </si>
  <si>
    <t>Loperamida Comprimidos x 2mg</t>
  </si>
  <si>
    <t>Coinciden las características que explicita el ítem del master. Fuente: Inventario Salta, fila(s) 176.</t>
  </si>
  <si>
    <t>241</t>
  </si>
  <si>
    <t>Trimebutina-Simeticona comprimido x200mg /120mg</t>
  </si>
  <si>
    <t>Coinciden las características que explicita el ítem del master. Fuente: Inventario Salta, fila(s) 261.</t>
  </si>
  <si>
    <t>215</t>
  </si>
  <si>
    <t>Sales de rehidratación Polvo oral</t>
  </si>
  <si>
    <t>Coinciden las características que explicita el ítem del master. Fuente: Inventario Salta, fila(s) 227.</t>
  </si>
  <si>
    <t>95</t>
  </si>
  <si>
    <t>Diazepam 1 amp=2ml x10mg</t>
  </si>
  <si>
    <t>Coinciden las características que explicita el ítem del master. Fuente: Inventario Salta, fila(s) 107.</t>
  </si>
  <si>
    <t>103</t>
  </si>
  <si>
    <t>Fenitoina 1 amp=2ml x100mg</t>
  </si>
  <si>
    <t>Coinciden las características que explicita el ítem del master. Fuente: Inventario Salta, fila(s) 125.</t>
  </si>
  <si>
    <t>175</t>
  </si>
  <si>
    <t>Lorazepam comprimidos 1mgr SL</t>
  </si>
  <si>
    <t>Coinciden las características que explicita el ítem del master. Fuente: Inventario Salta, fila(s) 178.</t>
  </si>
  <si>
    <t>75</t>
  </si>
  <si>
    <t>Clonazepam comprimidos 2mg</t>
  </si>
  <si>
    <t>Coinciden las características que explicita el ítem del master. Fuente: Inventario Salta, fila(s) 85.</t>
  </si>
  <si>
    <t>189</t>
  </si>
  <si>
    <t>Naloxona 1 amp=1ml x0,4mg</t>
  </si>
  <si>
    <t>Coinciden las características que explicita el ítem del master. Fuente: Inventario Salta, fila(s) 198.</t>
  </si>
  <si>
    <t>Carbon activado</t>
  </si>
  <si>
    <t>Coinciden las características que explicita el ítem del master. Fuente: Inventario Salta, fila(s) 73.</t>
  </si>
  <si>
    <t>36</t>
  </si>
  <si>
    <t>Amoxicilina + Clavulanato Comprimidos X 1g</t>
  </si>
  <si>
    <t>Coinciden las características que explicita el ítem del master. Fuente: Inventario Salta, fila(s) 41.</t>
  </si>
  <si>
    <t>41</t>
  </si>
  <si>
    <t>Azitromicina Comprimidos x 500mg</t>
  </si>
  <si>
    <t>Coinciden las características que explicita el ítem del master. Fuente: Inventario Salta, fila(s) 49.</t>
  </si>
  <si>
    <t>72</t>
  </si>
  <si>
    <t>Ciprofloxacina Comprimidos x 500mg</t>
  </si>
  <si>
    <t>Coinciden las características que explicita el ítem del master. Fuente: Inventario Salta, fila(s) 79.</t>
  </si>
  <si>
    <t>73</t>
  </si>
  <si>
    <t>Claritromicina Comprimidos x 500mg</t>
  </si>
  <si>
    <t>Coinciden las características que explicita el ítem del master. Fuente: Inventario Salta, fila(s) 82.</t>
  </si>
  <si>
    <t>200</t>
  </si>
  <si>
    <t>Penicilina Benzatinica fco ampolla 2400000UI</t>
  </si>
  <si>
    <t>Coinciden las características que explicita el ítem del master. Fuente: Inventario Salta, fila(s) 212.</t>
  </si>
  <si>
    <t>11</t>
  </si>
  <si>
    <t>Aciclovir oral 400 mg Comprimidos</t>
  </si>
  <si>
    <t>Coinciden las características que explicita el ítem del master. Fuente: Inventario Salta, fila(s) 14.</t>
  </si>
  <si>
    <t>125</t>
  </si>
  <si>
    <t>Furosemida 1 amp=2ml x 20mg</t>
  </si>
  <si>
    <t>Coinciden las características que explicita el ítem del master. Fuente: Inventario Salta, fila(s) 129.</t>
  </si>
  <si>
    <t>9</t>
  </si>
  <si>
    <t>Acetazolamida Comprimidos x 250mg</t>
  </si>
  <si>
    <t>Coinciden las características que explicita el ítem del master. Fuente: Inventario Salta, fila(s) 12.</t>
  </si>
  <si>
    <t>Coinciden las características que explicita el ítem del master. Fuente: Inventario Salta, fila(s) 231.</t>
  </si>
  <si>
    <t>Dextrosa al 5% 500ml Baxter 500ml</t>
  </si>
  <si>
    <t>Coinciden dextrosa 5% y 500 ml. Salta menciona Baxter; la marca se conserva sólo en observaciones y no cambia la coincidencia. Fuente: Inventario Salta, fila(s) 106.</t>
  </si>
  <si>
    <t>220</t>
  </si>
  <si>
    <t>Solución ringer lactato 500ml Baxter 500ml</t>
  </si>
  <si>
    <t>Coinciden las características que explicita el ítem del master. Fuente: Inventario Salta, fila(s) 233.</t>
  </si>
  <si>
    <t>Coinciden las características que explicita el ítem del master. Fuente: Inventario Salta, fila(s) 137.</t>
  </si>
  <si>
    <t>70</t>
  </si>
  <si>
    <t>Ciprofloxacina + Dexametasona Gotas oftálmicas x5ml</t>
  </si>
  <si>
    <t>Coinciden las características que explicita el ítem del master. Fuente: Inventario Salta, fila(s) 78.</t>
  </si>
  <si>
    <t>164</t>
  </si>
  <si>
    <t>Lagrimas Artificiales gotas oftalmicas x 15ml</t>
  </si>
  <si>
    <t>Coinciden las características que explicita el ítem del master. Fuente: Inventario Salta, fila(s) 169.</t>
  </si>
  <si>
    <t>Lidocaina 2% 1 amp=5ml</t>
  </si>
  <si>
    <t>Coinciden las características que explicita el ítem del master. Fuente: Inventario Salta, fila(s) 171.</t>
  </si>
  <si>
    <t>301</t>
  </si>
  <si>
    <t>Coinciden las características que explicita el ítem del master. Fuente: Inventario Salta, fila(s) 89.</t>
  </si>
  <si>
    <t>251</t>
  </si>
  <si>
    <t>Vitamina K 1amp=10mlx10mg</t>
  </si>
  <si>
    <t>Coinciden las características que explicita el ítem del master. Fuente: Inventario Salta, fila(s) 277.</t>
  </si>
  <si>
    <t>208</t>
  </si>
  <si>
    <t>Rifamicina Spray x 30ml</t>
  </si>
  <si>
    <t>Coinciden las características que explicita el ítem del master. Fuente: Inventario Salta, fila(s) 222.</t>
  </si>
  <si>
    <t>Abbocath N° 14</t>
  </si>
  <si>
    <t>Coinciden las características que explicita el ítem del master. Fuente: Inventario Salta, fila(s) 6.</t>
  </si>
  <si>
    <t>Abbocath N° 16</t>
  </si>
  <si>
    <t>Coinciden las características que explicita el ítem del master. Fuente: Inventario Salta, fila(s) 7.</t>
  </si>
  <si>
    <t>3</t>
  </si>
  <si>
    <t>Abbocath N° 18</t>
  </si>
  <si>
    <t>Coinciden las características que explicita el ítem del master. Fuente: Inventario Salta, fila(s) 8.</t>
  </si>
  <si>
    <t>4</t>
  </si>
  <si>
    <t>Abbocath N° 20</t>
  </si>
  <si>
    <t>Coinciden las características que explicita el ítem del master. Fuente: Inventario Salta, fila(s) 9.</t>
  </si>
  <si>
    <t>Abbocath N° 22</t>
  </si>
  <si>
    <t>Coinciden las características que explicita el ítem del master. Fuente: Inventario Salta, fila(s) 10.</t>
  </si>
  <si>
    <t>171</t>
  </si>
  <si>
    <t>Llave de 3 vias</t>
  </si>
  <si>
    <t>Coinciden las características que explicita el ítem del master. Fuente: Inventario Salta, fila(s) 175.</t>
  </si>
  <si>
    <t>139</t>
  </si>
  <si>
    <t>Coinciden las características que explicita el ítem del master. Fuente: Inventario Salta, fila(s) 145.</t>
  </si>
  <si>
    <t>140</t>
  </si>
  <si>
    <t>Guia Microgotero</t>
  </si>
  <si>
    <t>Coinciden las características que explicita el ítem del master. Fuente: Inventario Salta, fila(s) 146.</t>
  </si>
  <si>
    <t>Coinciden las características que explicita el ítem del master. Fuente: Inventario Salta, fila(s) 159.</t>
  </si>
  <si>
    <t>158</t>
  </si>
  <si>
    <t>Coinciden las características que explicita el ítem del master. Fuente: Inventario Salta, fila(s) 162.</t>
  </si>
  <si>
    <t>155</t>
  </si>
  <si>
    <t>Coinciden las características que explicita el ítem del master. Fuente: Inventario Salta, fila(s) 160.</t>
  </si>
  <si>
    <t>156</t>
  </si>
  <si>
    <t>Coinciden las características que explicita el ítem del master. Fuente: Inventario Salta, fila(s) 161.</t>
  </si>
  <si>
    <t>20</t>
  </si>
  <si>
    <t>Coinciden las características que explicita el ítem del master. Fuente: Inventario Salta, fila(s) 23.</t>
  </si>
  <si>
    <t>22</t>
  </si>
  <si>
    <t>Coinciden las características que explicita el ítem del master. Fuente: Inventario Salta, fila(s) 25.</t>
  </si>
  <si>
    <t>19</t>
  </si>
  <si>
    <t>Coinciden las características que explicita el ítem del master. Fuente: Inventario Salta, fila(s) 22.</t>
  </si>
  <si>
    <t>69</t>
  </si>
  <si>
    <t>Cinta Hipoalergénica 5cmx9m</t>
  </si>
  <si>
    <t>Coinciden las características que explicita el ítem del master. Fuente: Inventario Salta, fila(s) 77.</t>
  </si>
  <si>
    <t>88</t>
  </si>
  <si>
    <t>Coinciden las características que explicita el ítem del master. Fuente: Inventario Salta, fila(s) 101.</t>
  </si>
  <si>
    <t>227</t>
  </si>
  <si>
    <t>Steri-Strip</t>
  </si>
  <si>
    <t>Coinciden las características que explicita el ítem del master. Fuente: Inventario Salta, fila(s) 244.</t>
  </si>
  <si>
    <t>29</t>
  </si>
  <si>
    <t>Coinciden las características que explicita el ítem del master. Fuente: Inventario Salta, fila(s) 34.</t>
  </si>
  <si>
    <t>43</t>
  </si>
  <si>
    <t>Barbijos quirúrgicos pqte 50u.</t>
  </si>
  <si>
    <t>Coinciden las características que explicita el ítem del master. Fuente: Inventario Salta, fila(s) 52.</t>
  </si>
  <si>
    <t>403</t>
  </si>
  <si>
    <t>Coinciden las características que explicita el ítem del master. Fuente: Inventario Salta, fila(s) 51.</t>
  </si>
  <si>
    <t>Coinciden las características que explicita el ítem del master. Fuente: Inventario Salta, fila(s) 188.</t>
  </si>
  <si>
    <t>Coinciden las características que explicita el ítem del master. Fuente: Inventario Salta, fila(s) 186.</t>
  </si>
  <si>
    <t>56</t>
  </si>
  <si>
    <t>Canula nasal para oxigeno</t>
  </si>
  <si>
    <t>Coinciden las características que explicita el ítem del master. Fuente: Inventario Salta, fila(s) 66.</t>
  </si>
  <si>
    <t>Coinciden las características que explicita el ítem del master. Fuente: Inventario Salta, fila(s) 235.</t>
  </si>
  <si>
    <t>48</t>
  </si>
  <si>
    <t>Bolsa Colectora p/orina</t>
  </si>
  <si>
    <t>Coinciden las características que explicita el ítem del master. Fuente: Inventario Salta, fila(s) 57.</t>
  </si>
  <si>
    <t>237</t>
  </si>
  <si>
    <t>Tiras reactivas FREESTYLE</t>
  </si>
  <si>
    <t>Coinciden tiras reactivas para glucemia. Salta especifica FREESTYLE; se registra como marca, sin reducir confianza por ella. Confirmar compatibilidad con el glucómetro utilizado antes de su aprobación. Fuente: Inventario Salta, fila(s) 255.</t>
  </si>
  <si>
    <t>328</t>
  </si>
  <si>
    <t>Coinciden las características que explicita el ítem del master. Fuente: Inventario Salta, fila(s) 209.</t>
  </si>
  <si>
    <t>24</t>
  </si>
  <si>
    <t>Alcohol 96% x1000 ml</t>
  </si>
  <si>
    <t>Coinciden las características que explicita el ítem del master. Fuente: Inventario Salta, fila(s) 28.</t>
  </si>
  <si>
    <t>15</t>
  </si>
  <si>
    <t>Agua Oxigenada x 1 L.</t>
  </si>
  <si>
    <t>Coinciden las características que explicita el ítem del master. Fuente: Inventario Salta, fila(s) 19.</t>
  </si>
  <si>
    <t>131</t>
  </si>
  <si>
    <t>Glucometro</t>
  </si>
  <si>
    <t>Coinciden las características que explicita el ítem del master. Fuente: Inventario Salta, fila(s) 135.</t>
  </si>
  <si>
    <t>195</t>
  </si>
  <si>
    <t>Oximetro de pulso digital</t>
  </si>
  <si>
    <t>Coinciden las características que explicita el ítem del master. Fuente: Inventario Salta, fila(s) 208.</t>
  </si>
  <si>
    <t>434</t>
  </si>
  <si>
    <t>Tijera de  trauma 18cm</t>
  </si>
  <si>
    <t>Coinciden las características que explicita el ítem del master. Fuente: Inventario Salta, fila(s) 253.</t>
  </si>
  <si>
    <t>165</t>
  </si>
  <si>
    <t>Laringoscopio adulto de tres ramas</t>
  </si>
  <si>
    <t>Coinciden las características que explicita el ítem del master. Fuente: Inventario Salta, fila(s) 170.</t>
  </si>
  <si>
    <t>Otoscopio C/Pilas</t>
  </si>
  <si>
    <t>Coinciden las características que explicita el ítem del master. Fuente: Inventario Salta, fila(s) 206.</t>
  </si>
  <si>
    <t>Antiparras transparentes</t>
  </si>
  <si>
    <t>Coinciden las características que explicita el ítem del master. Fuente: Inventario Salta, fila(s) 44.</t>
  </si>
  <si>
    <t>Coinciden las características que explicita el ítem del master. Fuente: Inventario Salta, fila(s) 45.</t>
  </si>
  <si>
    <t>Coinciden las características que explicita el ítem del master. Fuente: Inventario Salta, fila(s) 132.</t>
  </si>
  <si>
    <t>Coinciden las características que explicita el ítem del master. Fuente: Inventario Salta, fila(s) 182.</t>
  </si>
  <si>
    <t>Coinciden las características que explicita el ítem del master. Fuente: Inventario Salta, fila(s) 174.</t>
  </si>
  <si>
    <t>Aerocamara para adulto</t>
  </si>
  <si>
    <t>Coincide aerocámara. Salta especifica adulto; el ítem del master no define población. Confirmar requerimiento pediátrico sólo si corresponde al uso del kit; no se deduce por el ID. Fuente: Inventario Salta, fila(s) 18.</t>
  </si>
  <si>
    <t>Lagingoscopio pediatrico c/ 3 ramas rectas</t>
  </si>
  <si>
    <t>Coinciden las características que explicita el ítem del master. Fuente: Inventario Salta, fila(s) 168.</t>
  </si>
  <si>
    <t>Coinciden las características que explicita el ítem del master. Fuente: Inventario Salta, fila(s) 92.</t>
  </si>
  <si>
    <t>Coinciden las características que explicita el ítem del master. Fuente: Inventario Salta, fila(s) 221.</t>
  </si>
  <si>
    <t>Gasas Hemostaticas 10x20cm</t>
  </si>
  <si>
    <t>Coinciden las características que explicita el ítem del master. Fuente: Inventario Salta, fila(s) 133.</t>
  </si>
  <si>
    <t>296</t>
  </si>
  <si>
    <t>Cofias</t>
  </si>
  <si>
    <t>Coinciden las características que explicita el ítem del master. Fuente: Inventario Salta, fila(s) 90.</t>
  </si>
  <si>
    <t>Campo Esteril</t>
  </si>
  <si>
    <t>Coinciden las características que explicita el ítem del master. Fuente: Inventario Salta, fila(s) 61.</t>
  </si>
  <si>
    <t>Coinciden gasas. Salta especifica 10x10; el master no indica tamaño ni esterilidad para este ID. Fuente: Inventario Salta, fila(s) 132.</t>
  </si>
  <si>
    <t>No se identificó un candidato en el inventario recibido. Buscar en el catálogo completo de Salta; esto no demuestra que el producto no exista en AVAIN.</t>
  </si>
  <si>
    <t>No se encontró bencidamina. Los caramelos con antibiótico no documentan ese principio activo.</t>
  </si>
  <si>
    <t>No se encontró atorvastatina 20 mg. Rosuvastatina es otro principio activo y no se propone como equivalente.</t>
  </si>
  <si>
    <t>No se encontró solución hipertónica nasal. No se usa glucosado hipertónico ni solución fisiológica como equivalencia por similitud del nombre.</t>
  </si>
  <si>
    <t>No se identificó Caladryl ni una composición explícita equivalente en el inventario recibido.</t>
  </si>
  <si>
    <t>No se encontró una descripción que confirme lidocaína con epinefrina. Los códigos 168/169/170 no declaran esa combinación.</t>
  </si>
  <si>
    <t>El inventario lista manómetros, pero no identifica el tubo de O2 portátil de 2 m³ completo.</t>
  </si>
  <si>
    <t>El inventario lista manómetros, pero no identifica el tubo de O2 fijo de 7 m³ completo.</t>
  </si>
  <si>
    <t>No se identificó lubricante hidrosoluble. Vaselina o lidocaína no se proponen como equivalentes por su función.</t>
  </si>
  <si>
    <t>No se encontraron máscaras laríngeas Nº 1 y 2; el inventario informa Nº 3, 4 y 5.</t>
  </si>
  <si>
    <t>No se encontraron tubos endotraqueales 2,5 / 3 / 4. Las medidas registradas empiezan en 5,5.</t>
  </si>
  <si>
    <t>Master vs SAP · un único cruce para las tres bases</t>
  </si>
  <si>
    <t>284 ítems del master. Códigos SAP candidatos en D/E; el ID común los vincula con Neuquén, San Juan y Salta.</t>
  </si>
  <si>
    <t>Cruce al 25/09/2026. Alta = atributos explícitos compatibles; no es aprobación. Cada código y nombre ocupa la misma línea.</t>
  </si>
  <si>
    <t>Completar por responsables SAP</t>
  </si>
  <si>
    <t>Decisión sobre SAP</t>
  </si>
  <si>
    <t>Nombre SAP confirmado</t>
  </si>
  <si>
    <t>Validó el código SAP (nombre)</t>
  </si>
  <si>
    <t>Estado del cruce SAP</t>
  </si>
  <si>
    <t>1000470</t>
  </si>
  <si>
    <t>PARACETAMOL COMP 1 GRAMO</t>
  </si>
  <si>
    <t>Mismo principio activo, dosis distinta: master paracetamol 500 mg; SAP 1 gramo. No se identificó 500 mg puro. No homologar por fraccionamiento de comprimidos. Fuente: hoja SAP, primera fila por código (mismo orden): 4.</t>
  </si>
  <si>
    <t>1000635</t>
  </si>
  <si>
    <t>TRAMADOL 50MG AMPOLLA</t>
  </si>
  <si>
    <t>Mismo principio activo, dosis distinta: master tramadol 100 mg/2 ml; SAP 50 mg por ampolla, sin volumen. Buscar 100 mg/2 ml y confirmar la descripción. Fuente: hoja SAP, primera fila por código (mismo orden): 825.</t>
  </si>
  <si>
    <t>1000295</t>
  </si>
  <si>
    <t>NORADRENALINA 1MG AMPOLLA DE 1 ML INYEC</t>
  </si>
  <si>
    <t>Concentración equivalente (1 mg/ml), presentación distinta: master 4 mg/4 ml; SAP 1 mg en ampolla de 1 ml. Revisar cantidad total y envase; no sumar ampollas para homologar. Fuente: hoja SAP, primera fila por código (mismo orden): 696.</t>
  </si>
  <si>
    <t>1005292
1000833</t>
  </si>
  <si>
    <t>BISOPROLOL 5MG X 10COMP
BISOPROLOL 5MG 30u COMPRIMIDOS</t>
  </si>
  <si>
    <t>Mismo principio activo, dosis distinta: master bisoprolol 2,5 mg; ambos materiales SAP son 5 mg (envases de 10 y 30). No equivalen a 2,5 mg por el solo hecho de poder fraccionarse. Fuente: hoja SAP, primera fila por código (mismo orden): 266, 901.</t>
  </si>
  <si>
    <t>1000310</t>
  </si>
  <si>
    <t>VITAMINA K 1 ML AMP 1mg/0,5ml</t>
  </si>
  <si>
    <t>Misma vitamina, dosis declarada distinta: master 10 mg; SAP 1 mg/0,5 ml en ampolla de 1 ml (=2 mg por ampolla). Verificar descripción y presentación; no tratarla como 10 mg. Fuente: hoja SAP, primera fila por código (mismo orden): 704.</t>
  </si>
  <si>
    <t>1000497
1000590</t>
  </si>
  <si>
    <t>IODOPOVIDONA SOLUC 10% X 60 ML
IODOPOVIDONA SOLUCION 10% X 100ML</t>
  </si>
  <si>
    <t>Coincide iodopovidona 10%, pero el master pide 1 litro y SAP registra 60/100 ml. Revisar volumen. No se encontró 1 litro explícito. Fuente: hoja SAP, primera fila por código (mismo orden): 235, 815.</t>
  </si>
  <si>
    <t>5001822</t>
  </si>
  <si>
    <t>CILINDRO ULTRALIVIANO 0,5 M3 ALUMINIO</t>
  </si>
  <si>
    <t>Capacidad distinta: master tubo portátil de 2 m³ con manómetro; SAP cilindro ultraliviano de 0,5 m³, sin manómetro ni gas explícitos. No es equivalencia confirmada. Verificar equipo completo de 2 m³. Fuente: hoja SAP, primera fila por código (mismo orden): 386.</t>
  </si>
  <si>
    <t>5004118</t>
  </si>
  <si>
    <t>CILINDRO DE OXIGENO MED 10.6M3 7.5 ACERO</t>
  </si>
  <si>
    <t>Capacidad declarada distinta: master 7 m³ con manómetro; SAP dice 10.6M3 7.5 ACERO, sin manómetro. Aclarar qué representa 7.5 y buscar la capacidad requerida; no interpretar ese número como 7 m³. Fuente: hoja SAP, primera fila por código (mismo orden): 388.</t>
  </si>
  <si>
    <t>2000403
2000404
2001254</t>
  </si>
  <si>
    <t>CANULA DE GUEDEL 90CM N2 AMARILLO
CANULA DE GUEDEL 10CM N4 ROJO
CANULA DE GUEDEL 12CM N5 NARANJA</t>
  </si>
  <si>
    <t>Medidas declaradas distintas: master 9-10-12 mm; SAP 90CM, 10CM y 12CM. Hay posibles errores de unidad/numeración; no corregir por intuición. Validar ambas descripciones antes de asociar. Fuente: hoja SAP, primera fila por código (mismo orden): 452, 1358, 1750.</t>
  </si>
  <si>
    <t>1000193</t>
  </si>
  <si>
    <t>MIGRAL COMPRIMIDO</t>
  </si>
  <si>
    <t>Candidato por marca Migral, cuya familia contiene ergotamina en combinaciones. El master no define composición ni dosis y SAP no indica la variante. Confirmar la formulación completa. La marca sola no acredita qué combinación es. R2. Fuente: hoja SAP, primera fila por código (mismo orden): 672.</t>
  </si>
  <si>
    <t>1000748</t>
  </si>
  <si>
    <t>BENCIDAMINA COMP</t>
  </si>
  <si>
    <t>Coinciden bencidamina y comprimidos. SAP no aclara si son desleíbles; confirmar la forma solicitada. Fuente: hoja SAP, primera fila por código (mismo orden): 394.</t>
  </si>
  <si>
    <t>1005141</t>
  </si>
  <si>
    <t>ETOMIDATO 20MG AMP</t>
  </si>
  <si>
    <t>Coinciden etomidato 20 mg y ampolla; SAP no indica los 10 ml del master. Confirmar volumen. Fuente: hoja SAP, primera fila por código (mismo orden): 306.</t>
  </si>
  <si>
    <t>2000012</t>
  </si>
  <si>
    <t>BICARBONATO DE SODIO 100 ML</t>
  </si>
  <si>
    <t>Coincide bicarbonato de sodio, pero SAP sólo informa 100 ml. No indica 8,4%; no inferir concentración a partir del volumen. No usar 2001561 de 100 gramos como solución inyectable. Fuente: hoja SAP, primera fila por código (mismo orden): 1019.</t>
  </si>
  <si>
    <t>1000013</t>
  </si>
  <si>
    <t>NITROGLICERINA 25 MG AMPOLLA</t>
  </si>
  <si>
    <t>SAP cubre nitroglicerina 25 mg ampolla. El master agrupa 25-50 mg; no se encontró una descripción explícita de 50 mg. Aclarar si son alternativas o si debe cubrir ambas dosis. Fuente: hoja SAP, primera fila por código (mismo orden): 404.</t>
  </si>
  <si>
    <t>1000634</t>
  </si>
  <si>
    <t>LABETALOL 20MG AMPOLLA</t>
  </si>
  <si>
    <t>Coinciden labetalol 20 mg y ampolla. SAP omite el volumen de 4 ml requerido; confirmar. Fuente: hoja SAP, primera fila por código (mismo orden): 303.</t>
  </si>
  <si>
    <t>1000236</t>
  </si>
  <si>
    <t>NITROPRUSIATO SE SODIO</t>
  </si>
  <si>
    <t>Coincide nitroprusiato de sodio, con un error ortográfico en SAP (SE SODIO). Falta confirmar 50 mg y forma; no completarlos por suposición. Fuente: hoja SAP, primera fila por código (mismo orden): 688.</t>
  </si>
  <si>
    <t>1000660</t>
  </si>
  <si>
    <t>ACIDO TRANEXAMICO</t>
  </si>
  <si>
    <t>SAP sólo identifica ácido tranexámico. Faltan 500 mg/5 ml y forma. Confirmar presentación. Fuente: hoja SAP, primera fila por código (mismo orden): 483.</t>
  </si>
  <si>
    <t>1000093</t>
  </si>
  <si>
    <t>SALBUTAMOL 0,5% GOTAS FRASCO DE 20ML</t>
  </si>
  <si>
    <t>Coinciden salbutamol y gotas. SAP informa 0,5% y 20 ml, pero no explicita uso para nebulizar. Confirmar vía de administración. Fuente: hoja SAP, primera fila por código (mismo orden): 352.</t>
  </si>
  <si>
    <t>1000130
1001128</t>
  </si>
  <si>
    <t>BROMURO IPRATROPIO 0.25 MG/ ML GOTAS
IPRATROPIO SOL. X 20ML</t>
  </si>
  <si>
    <t>Los textos identifican bromuro de ipratropio en gotas/solución. Falta declarar uso para nebulización en SAP; confirmar vía y cuál material corresponde. No asumir que una solución es un aerosol. Fuente: hoja SAP, primera fila por código (mismo orden): 638, 463.</t>
  </si>
  <si>
    <t>1000839</t>
  </si>
  <si>
    <t>BUDESONIDA 200MCG 200DS SPRAY</t>
  </si>
  <si>
    <t>SAP declara budesonida 200 mcg, 200 dosis, spray. Confirmar que sea aerosol inhalatorio y no nasal; el texto no explicita la vía. Fuente: hoja SAP, primera fila por código (mismo orden): 905.</t>
  </si>
  <si>
    <t>1000783</t>
  </si>
  <si>
    <t>HYPERSOL SOLUC X 25ML</t>
  </si>
  <si>
    <t>Coincide la marca Hypersol. SAP sólo dice solución de 25 ml; faltan concentración hipertónica y vía nasal. La revisión responde a esos datos faltantes, no a la marca. Fuente: hoja SAP, primera fila por código (mismo orden): 879.</t>
  </si>
  <si>
    <t>1001091</t>
  </si>
  <si>
    <t>CORTICAS RETARD 6MG 2ML AMP</t>
  </si>
  <si>
    <t>Corticas Retard corresponde a betametasona de acción prolongada (R3). SAP abrevia 6 mg/2 ml; el prospecto declara dos sales de 6 mg cada una. Confirmar descripción completa. La marca sola no reduce la confianza. Fuente: hoja SAP, primera fila por código (mismo orden): 927.</t>
  </si>
  <si>
    <t>1000524</t>
  </si>
  <si>
    <t>OMEPRAZOL DE 40 MG AMPOLLAS</t>
  </si>
  <si>
    <t>Coinciden omeprazol 40 mg y presentación inyectable. SAP dice ampollas; el master frasco ampolla. Confirmar si es una abreviación o una diferencia real de envase. Fuente: hoja SAP, primera fila por código (mismo orden): 117.</t>
  </si>
  <si>
    <t>1000183
1001267</t>
  </si>
  <si>
    <t>MYLANTA TABLETAS COMPRIMIDOS
AMYLANTA COMP MAST FRUTI X24</t>
  </si>
  <si>
    <t>Candidatos Mylanta/Amylanta masticables, sin composición explícita. Las líneas comerciales pueden incorporar otros activos o sales; no inferir Al+Mg sólo por la marca. Confirmar formulación exacta (R5). Fuente: hoja SAP, primera fila por código (mismo orden): 458, 485.</t>
  </si>
  <si>
    <t>1000090</t>
  </si>
  <si>
    <t>LORAZEPAM COMPRIMIDO SUBLINGUAL 1GR</t>
  </si>
  <si>
    <t>Coinciden lorazepam, comprimido y sublingual, pero SAP dice 1GR y el master 1 mg. Posible error de unidad: mantener la nomenclatura original y pedir corrección; no interpretar automáticamente como 1 mg. Fuente: hoja SAP, primera fila por código (mismo orden): 603.</t>
  </si>
  <si>
    <t>1000174</t>
  </si>
  <si>
    <t>SUERO ANTIOFIDICO AMP</t>
  </si>
  <si>
    <t>Coincide suero antiofídico ampolla. SAP no informa polivalente, especificación requerida por el master. Confirmar composición/cobertura con el responsable. Fuente: hoja SAP, primera fila por código (mismo orden): 420.</t>
  </si>
  <si>
    <t>1000527
1000816</t>
  </si>
  <si>
    <t>AMOXIDAL CLAVULANICO 1 G
AMOXICILINA+AC.CLA 875MG/125MG x 14 COMP</t>
  </si>
  <si>
    <t>SAP presenta amoxicilina/clavulánico 1 g y 875/125 mg. El master no aclara si 1 g es el total de ambos o la cantidad de amoxicilina. No asumir equivalencia por sumar 875+125; confirmar composición exacta antes de elegir. Fuente: hoja SAP, primera fila por código (mismo orden): 503, 21.</t>
  </si>
  <si>
    <t>1000526</t>
  </si>
  <si>
    <t>CLARITROMICINA 500 COMPRIMIDOS</t>
  </si>
  <si>
    <t>Coinciden claritromicina, 500 y comprimidos, pero SAP omite unidad mg. Confirmar la unidad antes de homologar. Fuente: hoja SAP, primera fila por código (mismo orden): 159.</t>
  </si>
  <si>
    <t>1005227</t>
  </si>
  <si>
    <t>SULFAMETOXAZOL + TRIMETOPRIMA 800 + 160M</t>
  </si>
  <si>
    <t>SAP identifica sulfametoxazol 800 + trimetoprima 160, pero la unidad final queda truncada en M. El master usa TMP-SMX 800/160 sin detallar el orden. Confirmar mg, cantidades por componente y forma antes de asociar. Fuente: hoja SAP, primera fila por código (mismo orden): 307.</t>
  </si>
  <si>
    <t>1000626</t>
  </si>
  <si>
    <t>AMPICILINA 1GR SULBACTAN 500</t>
  </si>
  <si>
    <t>SAP dice ampicilina 1GR y sulbactam 500, sin unidad de este último ni forma. Si fueran 500 mg sumaría 1,5 g, pero debe confirmarse; no completar la unidad por inferencia. Fuente: hoja SAP, primera fila por código (mismo orden): 819.</t>
  </si>
  <si>
    <t>1000016</t>
  </si>
  <si>
    <t>AGUA BIDESTILADA AMPOLLA POR 5ML</t>
  </si>
  <si>
    <t>Coinciden agua y ampolla de 5 ml. El master dice destilada; SAP bidestilada. Confirmar especificación para uso inyectable/diluyente, sin decidir sólo por semejanza de nombre. Fuente: hoja SAP, primera fila por código (mismo orden): 186.</t>
  </si>
  <si>
    <t>1000784
1001083
1005277</t>
  </si>
  <si>
    <t>LAGRIMAS NATURALES GOTAS OFTALM
ALCON LAGRIMAS II 15ML
LACRIGESTINA LAGRIMAS SOL. OFTALMOLOG</t>
  </si>
  <si>
    <t>SAP describe lágrimas naturales/Lágrimas II/Lacrigestina. El master sólo pide lágrimas artificiales, sin composición ni conservantes. Confirmar qué formulaciones admite; las marcas quedan como observación. Fuente: hoja SAP, primera fila por código (mismo orden): 255, 512, 316.</t>
  </si>
  <si>
    <t>1000158</t>
  </si>
  <si>
    <t>FLUORESCEINA SODICA 0.25 %</t>
  </si>
  <si>
    <t>Coincide fluoresceína sódica. SAP indica 0,25% pero no forma en gotas ni vía; confirmar. Fuente: hoja SAP, primera fila por código (mismo orden): 457.</t>
  </si>
  <si>
    <t>1000920</t>
  </si>
  <si>
    <t>FUSADICO ACIDO+BETA.VALERATO 15G CREMA</t>
  </si>
  <si>
    <t>SAP escribe FUSADICO ACIDO+BETA.VALERATO en crema de 15 g. Candidato probable para ácido fusídico + betametasona, pero la abreviatura BETA y el error del nombre requieren confirmar composición. Fuente: hoja SAP, primera fila por código (mismo orden): 912.</t>
  </si>
  <si>
    <t>2000026
2000451</t>
  </si>
  <si>
    <t>JERINGA TUBERCULINA X 1 CC
JERINGA DE 1ML C AGUJA 25G</t>
  </si>
  <si>
    <t>Jeringas de 1 cc/1 ml disponibles como tuberculina y con aguja 25G. El master sólo indica capacidad; confirmar el tipo requerido antes de elegir. No se selecciona automáticamente la jeringa de insulina. Fuente: hoja SAP, primera fila por código (mismo orden): 209, 1404.</t>
  </si>
  <si>
    <t>2000101
5000149</t>
  </si>
  <si>
    <t>BOLSA ROJA GRANDE
BOLSA ROJA</t>
  </si>
  <si>
    <t>SAP informa bolsa roja grande y bolsa roja genérica. Falta especificación para residuos patógenos; confirmar resistencia, tamaño y uso antes de homologar. Fuente: hoja SAP, primera fila por código (mismo orden): 1086, 2598.</t>
  </si>
  <si>
    <t>2001249
2001327
2001422</t>
  </si>
  <si>
    <t>TIRAS REACTIVAS OPTIUM NEO H
TIRAS REACTIVAS FREESTYLE OPTIUM S/CODIF
TIRAS REACTIVAS ON CALL PLUS</t>
  </si>
  <si>
    <t>Candidatos de tiras Optium Neo H, Freestyle Optium y On Call Plus. El master no define glucómetro; confirmar compatibilidad. La marca sola no determina equivalencia funcional. Fuente: hoja SAP, primera fila por código (mismo orden): 1746, 1802, 1857.</t>
  </si>
  <si>
    <t>2001204</t>
  </si>
  <si>
    <t>PAPEL TÉRMICO PARA ECG</t>
  </si>
  <si>
    <t>SAP identifica papel térmico para ECG. El master pide rollo; confirmar formato, medida y compatibilidad con el equipo. Fuente: hoja SAP, primera fila por código (mismo orden): 1724.</t>
  </si>
  <si>
    <t>1000089
1000791</t>
  </si>
  <si>
    <t>SOLUCION FISIOLOGICA DE 500CC
SOLUCION FISIOLOGICA 100ML</t>
  </si>
  <si>
    <t>SAP ofrece solución fisiológica de 500/100 ml. No confirma frasco ni uso para lavado; el master no fija volumen. Confirmar envase/uso antes de elegir. Fuente: hoja SAP, primera fila por código (mismo orden): 53, 891.</t>
  </si>
  <si>
    <t>5003898
ELEC7561</t>
  </si>
  <si>
    <t>DESFRIBILADOR BIFAS INSTRAMED CARDIOMAX
DESFIBRILADOR BENEHEART D3</t>
  </si>
  <si>
    <t>SAP identifica desfibriladores Cardiomax y Beneheart D3. Falta confirmar modo DEA requerido por el master y configuración del equipo. No usar códigos de certificación como equipo. Fuente: hoja SAP, primera fila por código (mismo orden): 537, 2724.</t>
  </si>
  <si>
    <t>2002434</t>
  </si>
  <si>
    <t>BOMA DE INFUSION VOLUM MUX VP50 PRO</t>
  </si>
  <si>
    <t>SAP dice BOMA DE INFUSION VOLUM MUX VP50 PRO. Candidato a bomba de infusión, con error ortográfico; confirmar funcionamiento continuo y configuración antes de homologar. Fuente: hoja SAP, primera fila por código (mismo orden): 1942.</t>
  </si>
  <si>
    <t>2000728</t>
  </si>
  <si>
    <t>TABLA ESPINAL ADULTO PLASTICA</t>
  </si>
  <si>
    <t>Coincide tabla espinal adulta plástica. SAP no declara longitud ni los 7 velcros del master. Confirmar dimensiones y accesorios. Fuente: hoja SAP, primera fila por código (mismo orden): 1537.</t>
  </si>
  <si>
    <t>2000587</t>
  </si>
  <si>
    <t>SET DE DRENAJE TORAXICO</t>
  </si>
  <si>
    <t>SAP identifica set de drenaje torácico. Falta confirmar que incluya el catéter con trócar requerido; no asumir contenido del set. Los catéteres Argyle sólo indican número, sin trócar. Fuente: hoja SAP, primera fila por código (mismo orden): 1486.</t>
  </si>
  <si>
    <t>2001529</t>
  </si>
  <si>
    <t>ACCESO VASCULAR INTRAOSEO</t>
  </si>
  <si>
    <t>SAP sólo dice acceso vascular intraóseo. Confirmar que sea la pistola/dispositivo completo, y no aguja o accesorio. Fuente: hoja SAP, primera fila por código (mismo orden): 1891.</t>
  </si>
  <si>
    <t>8000032
8000446</t>
  </si>
  <si>
    <t>CAMILLA DE TRANSPORTE
CAMILLA TRASLADO PARDO ATICA</t>
  </si>
  <si>
    <t>Camillas de transporte/traslado candidatas. SAP no especifica trauma; confirmar prestaciones del equipo antes de asociar. Fuente: hoja SAP, primera fila por código (mismo orden): 2706, 2708.</t>
  </si>
  <si>
    <t>2000039</t>
  </si>
  <si>
    <t>BOLSA DE RESUCITACION MANUAL (TIPO AMBU)</t>
  </si>
  <si>
    <t>Coincide bolsa de resucitación manual tipo Ambú. SAP no declara reservorio; confirmar que lo incluya. Fuente: hoja SAP, primera fila por código (mismo orden): 436.</t>
  </si>
  <si>
    <t>2000350
2001814</t>
  </si>
  <si>
    <t>ASPIRADOR MANUAL RES Q VAC
ASPIRADOR MANUAL</t>
  </si>
  <si>
    <t>Coincide aspirador manual. Falta confirmar frasco y sondas incluidos, como exige el master. Fuente: hoja SAP, primera fila por código (mismo orden): 489, 1922.</t>
  </si>
  <si>
    <t>2000256
2001253</t>
  </si>
  <si>
    <t>FILTRO HMEF C/PTO LUER LOCK REF-70313
FILTRO RESP TQT HMEF ADULTO</t>
  </si>
  <si>
    <t>SAP identifica filtros HMEF; el master escribe MHEF. Confirmar si es una transposición de letras y el tipo/conexión requerido. No equiparar automáticamente un HME sin filtro con HMEF. Fuente: hoja SAP, primera fila por código (mismo orden): 1223, 1749.</t>
  </si>
  <si>
    <t>3000521</t>
  </si>
  <si>
    <t>FRAZADA TERMICA</t>
  </si>
  <si>
    <t>SAP indica frazada térmica. Confirmar que corresponda a la manta requerida para el kit; el texto no define material ni uso de emergencia. No usar una manta de lana como equivalente sin revisión. Fuente: hoja SAP, primera fila por código (mismo orden): 2435.</t>
  </si>
  <si>
    <t>2000049
2000086</t>
  </si>
  <si>
    <t>COLLAR CERVICAL CHICO
COLLAR CERVICAL PEQUEÑO</t>
  </si>
  <si>
    <t>SAP registra collares chico/pequeño, sin uso pediátrico explícito. Confirmar rango de talla; chico no demuestra que sea pediátrico. Fuente: hoja SAP, primera fila por código (mismo orden): 1038, 1073.</t>
  </si>
  <si>
    <t>2000492</t>
  </si>
  <si>
    <t>BOLSA RESUCITACION MANUAL(TIPO AMBU)PED</t>
  </si>
  <si>
    <t>Coincide Ambú pediátrico. SAP no declara reservorio; confirmar su inclusión. Fuente: hoja SAP, primera fila por código (mismo orden): 1440.</t>
  </si>
  <si>
    <t>SAP sólo indica frazada térmica. Falta confirmar material aluminizado y uso para rescate, requeridos por el master. No se presume a partir de la palabra térmica. Fuente: hoja SAP, primera fila por código (mismo orden): 2435.</t>
  </si>
  <si>
    <t>1000089
1005145</t>
  </si>
  <si>
    <t>SOLUCION FISIOLOGICA DE 500CC
CLORURO DE SODIO 0,9%/500ML</t>
  </si>
  <si>
    <t>Coinciden solución fisiológica y 500 ml. SAP no explicita envase/uso para lavado; confirmar antes de aprobar ese destino. Fuente: hoja SAP, primera fila por código (mismo orden): 53, 1010.</t>
  </si>
  <si>
    <t>1001271
1000534
1000688</t>
  </si>
  <si>
    <t>SULFADIZINA DE PLATA X 30GRS
SULFADIAZINA DE PLATA CREMA X 400 GR
SULFADIAZINA DE PLATA CREMA X 50 GR</t>
  </si>
  <si>
    <t>Sulfadiazina de plata de 30, 400 y 50 gramos. El master no fija presentación. Elegir los tamaños que debe cubrir el ID común y mantener cada material; no incluir combinaciones con otros principios activos. Fuente: hoja SAP, primera fila por código (mismo orden): 432, 795, 842.</t>
  </si>
  <si>
    <t>2000044
2000045</t>
  </si>
  <si>
    <t>AGUJA PERICRANEAL 21G T/BUTTERFLY
AGUJA PERICRANEAL 23G T/BUTTERFLY</t>
  </si>
  <si>
    <t>Grupo completo: butterfly 21G y 23G, un código por calibre. Confirmar registro de cada variante del master. Fuente: hoja SAP, primera fila por código (mismo orden): 1033, 1034.</t>
  </si>
  <si>
    <t>2000025</t>
  </si>
  <si>
    <t>HOJA DE BISTURI Nº20</t>
  </si>
  <si>
    <t>SAP identifica hoja Nº20. No se encontró hoja Nº22 explícita. Confirmar si el master requiere ambos tamaños o admite el Nº20 como alternativa. Fuente: hoja SAP, primera fila por código (mismo orden): 1023.</t>
  </si>
  <si>
    <t>2000038
2000339
2000459
2001054
2001699</t>
  </si>
  <si>
    <t>ALGODON HIDROFILO X 500GR
ALGODON HIDROFILO X 70GR
ALGODÓN HIDROFILO  X 200 Grs
ALGODÓN HIDROFILO CLASICO X 300 Grs
ALGODON HIDROFILO CLASICO X 140 Grs.</t>
  </si>
  <si>
    <t>El master pide algodón en paquete sin peso. SAP tiene 500/70/200/300/140 g. Elegir presentación o mantener cada código por peso; no mezclar unidades para el costo. Fuente: hoja SAP, primera fila por código (mismo orden): 233, 1303, 1412, 1620, 1908.</t>
  </si>
  <si>
    <t>2001051
2001052
2001053</t>
  </si>
  <si>
    <t>SUTURA MONONYLON 3-0 AGUJA REDONDA
SUTURA MONONYLON 4-0 AGUJA REDONDA
SUTURA MONONYLON 5-0 AGUJA REDONDA</t>
  </si>
  <si>
    <t>Grupo completo: sutura mononylon 3-0, 4-0 y 5-0 con aguja redonda. Un código por calibre. El master no fija tipo de aguja; confirmar al validar. Fuente: hoja SAP, primera fila por código (mismo orden): 1617, 1618, 1619.</t>
  </si>
  <si>
    <t>2000270
2000158
2000157</t>
  </si>
  <si>
    <t>GUANTES DE EXAMINACION TALLE S
GUANTES DE EXAMINACIÓN TALLE M
GUANTES DE EXAMINACIÓN TALLE L</t>
  </si>
  <si>
    <t>Guantes de examen S/M/L en códigos separados. SAP no informa caja, unidad pedida por el master. Confirmar empaque y cobertura por talle. Fuente: hoja SAP, primera fila por código (mismo orden): 7, 3, 32.</t>
  </si>
  <si>
    <t>2000014
1005328</t>
  </si>
  <si>
    <t>DESCARTADOR DE PUNZANTES DE 5LT
DESCARTADOR DE PUNZANTES CHICO DE 1/2LT</t>
  </si>
  <si>
    <t>Descartadores de 5 litros y de 1/2 litro. El master no fija capacidad; definir cuáles corresponden y mantener códigos separados. Fuente: hoja SAP, primera fila por código (mismo orden): 267, 1014.</t>
  </si>
  <si>
    <t>2000363
2000364</t>
  </si>
  <si>
    <t>MASCARA PARA O2 ADULTO CON RESERVORIO
MASCARA PARA O2 PEDIATRICA CON RESERVORI</t>
  </si>
  <si>
    <t>Máscaras con reservorio adulta y pediátrica, con códigos separados. El master no fija tamaño; definir la cobertura del ID. Fuente: hoja SAP, primera fila por código (mismo orden): 5, 1325.</t>
  </si>
  <si>
    <t>2000090
2000167</t>
  </si>
  <si>
    <t>MASCARA PARA NEBULIZAR ADULTO
MASCARA PARA NEBULIZAR PEDIATRICA</t>
  </si>
  <si>
    <t>Máscaras de nebulización adulta y pediátrica en códigos separados. El master no especifica población; confirmar variantes incluidas. Fuente: hoja SAP, primera fila por código (mismo orden): 140, 1141.</t>
  </si>
  <si>
    <t>2000243
2000369
2000811
2001270</t>
  </si>
  <si>
    <t>SONDA DE ASPIRACION K-30P TOM FAC
SONDA DE ASPIRACION K-30P BIOFIL
SONDA C/REGULADOR PARA ASPIRACION N°K30
SONDA ASPIRACION K30 S/REGUL</t>
  </si>
  <si>
    <t>Sondas de aspiración K30: códigos por proveedor y por presencia/ausencia de regulador. El master no indica regulador para este ID. Confirmar variante y conservar códigos; no confundir con sonda nasogástrica K30. Fuente: hoja SAP, primera fila por código (mismo orden): 1210, 1330, 1548, 1762.</t>
  </si>
  <si>
    <t>2000244
2000093
2000066
2000330
2000201</t>
  </si>
  <si>
    <t>SONDA FOLEY 2 VIAS Nº16 DE LÁTEX
SONDA VESICAL DE 2 VIAS Nº 16  (LÁTEX)
SONDA FOLEY 100% SILICONA 2 VÍAS Nº18
SONDA FOLEY 2 VIAS Nº 18 100% SILICONA
SONDA VESICAL DE 2 VIAS Nº 18 (LATEX)</t>
  </si>
  <si>
    <t>Cobertura de sondas vesicales/Foley 16 y 18, con variantes de látex y silicona y posibles duplicados. Confirmar material y un código por tamaño; no fusionar variantes. Fuente: hoja SAP, primera fila por código (mismo orden): 1211, 1079, 1054, 1294, 1174.</t>
  </si>
  <si>
    <t>2000077
2000019
2000078
2000442
2001365</t>
  </si>
  <si>
    <t>TUBO ENDOTRAQ Nº 7 C/BALON
TUBO ENDOTRAQ N° 7.5 C/BALON
TUBO ENDOTRAQ N° 8 C/BALON
TUBO ENDOTRAQ N° 7 S/BALON
TUBO ENDOTRAQ Nº 8 S/BALON</t>
  </si>
  <si>
    <t>SAP cubre TET 7/7,5/8 con balón; también 7/8 sin balón. El master no fija balón. Confirmar cada medida y variante, manteniendo códigos separados. Fuente: hoja SAP, primera fila por código (mismo orden): 1065, 1022, 1066, 1395, 1823.</t>
  </si>
  <si>
    <t>2000414
2000404
2001254</t>
  </si>
  <si>
    <t>CANULA DE GUEDEL 11CM N3 CELESTE
CANULA DE GUEDEL 10CM N4 ROJO
CANULA DE GUEDEL 12CM N5 NARANJA</t>
  </si>
  <si>
    <t>SAP identifica cánulas Guedel Nº3, Nº4 y Nº5. Las longitudes declaradas son 11, 10 y 12 cm respectivamente: confirmar la relación número/longitud con la ficha, porque no debe corregirse por intuición. Fuente: hoja SAP, primera fila por código (mismo orden): 1367, 1358, 1750.</t>
  </si>
  <si>
    <t>2000397
2000398</t>
  </si>
  <si>
    <t>MASCARA LARINGEA Nº 4
MASCARA LARINGEA Nº 5</t>
  </si>
  <si>
    <t>Grupo completo de máscaras laríngeas Nº4 y Nº5, un código por tamaño. Fuente: hoja SAP, primera fila por código (mismo orden): 469, 391.</t>
  </si>
  <si>
    <t>2000749
2000087
2001294</t>
  </si>
  <si>
    <t>SET FERULAS RIGIDAS 4 PIEZAS
SET FERULAS INFLABLES PARA MIEMBROS INF.
SET FERULAS INFLABL. MIEMBROS SUPERIORES</t>
  </si>
  <si>
    <t>SAP ofrece set rígido de 4 piezas y sets inflables separados para miembros inferiores y superiores. Definir alternativa/composición que cubra MMSS-MMII; no sumar ni fusionar los tres códigos automáticamente. Fuente: hoja SAP, primera fila por código (mismo orden): 1541, 1074, 1778.</t>
  </si>
  <si>
    <t>8000032
8000051
8000446</t>
  </si>
  <si>
    <t>CAMILLA DE TRANSPORTE
CAMILLA FIJA
CAMILLA TRASLADO PARDO ATICA</t>
  </si>
  <si>
    <t>SAP distingue camilla de transporte, fija y traslado Pardo Atica. El master dice Camilla sin tipo; elegir variante antes de asociar. Marca y función se conservan por separado. Fuente: hoja SAP, primera fila por código (mismo orden): 2706, 2707, 2708.</t>
  </si>
  <si>
    <t>2000483
2000030</t>
  </si>
  <si>
    <t>LINTERNA LAPICERA
MARTILLO DE REFLEJOS</t>
  </si>
  <si>
    <t>Se identificaron linterna lapicera y martillo de reflejos en materiales separados. Aclarar si la barra del master significa alternativa o conjunto de ambos. Fuente: hoja SAP, primera fila por código (mismo orden): 1432, 1024.</t>
  </si>
  <si>
    <t>Cobertura parcial de tamaños 4-5-6: SAP identifica Nº4 y Nº5, sin Nº6 explícito. No cerrar el grupo como completo hasta resolver el faltante. Fuente: hoja SAP, primera fila por código (mismo orden): 469, 391.</t>
  </si>
  <si>
    <t>2000077
2000019
2000078
2000020
2000442
2001365</t>
  </si>
  <si>
    <t>TUBO ENDOTRAQ Nº 7 C/BALON
TUBO ENDOTRAQ N° 7.5 C/BALON
TUBO ENDOTRAQ N° 8 C/BALON
TUBO ENDOTRAQ N° 8.5 C/BALON
TUBO ENDOTRAQ N° 7 S/BALON
TUBO ENDOTRAQ Nº 8 S/BALON</t>
  </si>
  <si>
    <t>SAP cubre 7/7,5/8/8,5 con balón y 7/8 sin balón. Confirmar variante de balón requerida y un código por medida. No confundir alternativas con componentes adicionales. Fuente: hoja SAP, primera fila por código (mismo orden): 1065, 1022, 1066, 219, 1395, 1823.</t>
  </si>
  <si>
    <t>2000015
2000061
2000433
2000434</t>
  </si>
  <si>
    <t>MANDRIL P/LARINGO ADULTO ESTERIL
MANDRIL ESTERIL PEDIATRICO 2MM
MANDRIL ESTERIL DE 4.3MM
MANDRIL ESTERIL DE 3.3MM</t>
  </si>
  <si>
    <t>Mandriles estériles adultos, pediátricos y por diámetro. El master no especifica tipo/medida; definir la cobertura del grupo y conservar cada material. Fuente: hoja SAP, primera fila por código (mismo orden): 468, 1049, 1386, 1387.</t>
  </si>
  <si>
    <t>2000021
2000022</t>
  </si>
  <si>
    <t>GUANTES ESTERILES Nº 7.5 POR PAR
GUANTES ESTERILES Nº 8 POR PAR</t>
  </si>
  <si>
    <t>Grupo completo: guantes estériles por par Nº7,5 y Nº8, un código por talle. Fuente: hoja SAP, primera fila por código (mismo orden): 43, 33.</t>
  </si>
  <si>
    <t>Guantes de examen S/M/L, cada talle con código SAP. El master no fija talle; confirmar cuáles incluir. Fuente: hoja SAP, primera fila por código (mismo orden): 7, 3, 32.</t>
  </si>
  <si>
    <t>2000354
2000355
2000098</t>
  </si>
  <si>
    <t>APOSITO ESTERIL (G+A) 10X20CM
APOSITO ESTERIL (G+A) 15X20CM
APOSITO QUIRURGICO ESTERIL 10X20CM-SYRA</t>
  </si>
  <si>
    <t>El master pide apósitos estériles sin medida. SAP tiene 10x20 y 15x20, entre otros. Definir tamaño y material activo; las marcas quedan en observaciones. Fuente: hoja SAP, primera fila por código (mismo orden): 96, 1317, 1084.</t>
  </si>
  <si>
    <t>2000386
2000387
2002477
2000388
2000404
2000414
2001254</t>
  </si>
  <si>
    <t>CANULA DE GUEDEL 40MM N000 ROSA
CANULA DE GUEDEL 50 MM N00 AZUL
CANULA DE GUEDEL 60MM NEGRO
CANULA DE GUEDEL 70 MM N1 BLANCO
CANULA DE GUEDEL 10CM N4 ROJO
CANULA DE GUEDEL 11CM N3 CELESTE
CANULA DE GUEDEL 12CM N5 NARANJA</t>
  </si>
  <si>
    <t>Cánulas Guedel de varias longitudes/números. El master no define el conjunto. Confirmar medidas y numeración; se excluyen del grupo propuesto las descripciones de 80CM/90CM/100CM hasta aclarar sus unidades. Fuente: hoja SAP, primera fila por código (mismo orden): 1345, 1346, 384, 1347, 1358, 1367, 1750.</t>
  </si>
  <si>
    <t>2000025
2000453
2000454
2000455
2000456</t>
  </si>
  <si>
    <t>HOJA DE BISTURI Nº20
HOJA DE BISTURI Nº 11
HOJA DE BISTURI Nº 23
HOJA DE BISTURI Nº 24
HOJA DE BISTURI Nº 15</t>
  </si>
  <si>
    <t>Hojas de bisturí Nº20/11/23/24/15. El master no define tamaño; seleccionar variantes requeridas antes de asociar. Fuente: hoja SAP, primera fila por código (mismo orden): 1023, 1406, 1407, 1408, 1409.</t>
  </si>
  <si>
    <t>2000298
2000428
2000825</t>
  </si>
  <si>
    <t>AEROCAMARA ADULTO CON MASCARA
AEROCAMARA PEDIATRICO C/MASCARA
AEROCAMARA ESPACIADORA NEO</t>
  </si>
  <si>
    <t>Aerocámaras adulta/pediátrica con máscara y espaciadora neonatal. El master no fija población ni conexión; elegir variante antes de homologar. Fuente: hoja SAP, primera fila por código (mismo orden): 1262, 1381, 1551.</t>
  </si>
  <si>
    <t>2000394
2000395</t>
  </si>
  <si>
    <t>MASCARA LARINGEA Nº 1
MASCARA LARINGEA Nº 2</t>
  </si>
  <si>
    <t>Grupo completo de máscaras laríngeas Nº1 y Nº2, con material separado por tamaño. Fuente: hoja SAP, primera fila por código (mismo orden): 1352, 1353.</t>
  </si>
  <si>
    <t>2000068
2000069
2000072
2001095
2000437
2000439</t>
  </si>
  <si>
    <t>TUBO ENDOTRAQ. Nº 2.5 C/BALON
TUBO ENDOTRAQ. Nº 3 C/BALON
TUBO ENDOTRAQ. Nº 4 C/BALON
TUBO ENDOTRAQ. Nº 2.5 S/BALON
TUBO ENDOTRAQ Nº 3 S/BALON
TUBO ENDOTRAQ Nº 4 S/BALON</t>
  </si>
  <si>
    <t>SAP cubre TET 2,5/3/4 con y sin balón. El master no define balón; seleccionar la variante y conservar cada código por medida. Fuente: hoja SAP, primera fila por código (mismo orden): 1056, 1057, 1060, 1645, 1390, 1392.</t>
  </si>
  <si>
    <t>2000031
2000416
2000406</t>
  </si>
  <si>
    <t>SONDA NASOGASTRICA K-30 KOLLER
SONDA NASOGASTRICA K-30 TOM FAC
SONDA NASOGASTRICA K-33 KOLLER</t>
  </si>
  <si>
    <t>SAP declara sondas nasogástricas K30 y K33, con dos proveedores para K30. Confirmar uso pediátrico y correspondencia de cada variante. No se usan sondas de aspiración sólo por compartir K30/K33. Fuente: hoja SAP, primera fila por código (mismo orden): 1025, 1369, 1360.</t>
  </si>
  <si>
    <t>2000006
2000641</t>
  </si>
  <si>
    <t>CATETER INTRAVENOSO 22G T/ABBOCATH
CATETER INTRAVENOSO 24G T/ABBOCATH.</t>
  </si>
  <si>
    <t>Grupo completo de catéteres tipo Abbocath 22G y 24G, un código por calibre. Fuente: hoja SAP, primera fila por código (mismo orden): 42, 1517.</t>
  </si>
  <si>
    <t>2000156
2002459
2000022</t>
  </si>
  <si>
    <t>GUANTES ESTERILES Nº 7 POR PAR
GUANTE ESTERIL Nº 7
GUANTES ESTERILES Nº 8 POR PAR</t>
  </si>
  <si>
    <t>SAP identifica guantes estériles Nº7 y Nº8, con dos códigos para Nº7. Confirmar tipo quirúrgico y unidad por par en el registro 2002459; mantener talles separados. Fuente: hoja SAP, primera fila por código (mismo orden): 1133, 212, 33.</t>
  </si>
  <si>
    <t>2000080
2000314
2002475
2000079</t>
  </si>
  <si>
    <t>VENDA TIPO CAMBRIC X 5 CM
VENDA TIPO CAMBRIC X 5 CM
VENDAS TIPO CAMBRIC - 7CM
VENDA TIPO CAMBRIC X 10 CM</t>
  </si>
  <si>
    <t>Cobertura de Cambric 5/7/10 cm; dos códigos para 5 cm. No se usa 7,5 cm como si fuera 7 cm. Conservar un material por medida tras validación. Fuente: hoja SAP, primera fila por código (mismo orden): 1067, 1278, 1956, 139.</t>
  </si>
  <si>
    <t>2000016
2000035
2001219
2000037</t>
  </si>
  <si>
    <t>ESTETOSCOPIO ADULTO
TENSIOMETRO ADULTO
OXIMETRO DE PULSO
TERMOMETRO DIGITAL</t>
  </si>
  <si>
    <t>Se identificó un material para cada componente: estetoscopio, tensiómetro, oxímetro y termómetro. Son cuatro artículos, no un código único de kit. Confirmar composición y cantidades. Fuente: hoja SAP, primera fila por código (mismo orden): 435, 1028, 437, 1030.</t>
  </si>
  <si>
    <t>2000039
2000491
2000492
2000493</t>
  </si>
  <si>
    <t>BOLSA DE RESUCITACION MANUAL (TIPO AMBU)
BOLSA RESUCITACION MANUAL(TIPO AMBU)ADUL
BOLSA RESUCITACION MANUAL(TIPO AMBU)PED
BOLSA RESUCITACION MANUAL(TIPO AMBU) NEO</t>
  </si>
  <si>
    <t>SAP tiene bolsa de resucitación genérica, adulta, pediátrica y neonatal. El master no define tamaño; elegir las variantes requeridas, sin fusionar códigos. Fuente: hoja SAP, primera fila por código (mismo orden): 436, 1439, 1440, 1441.</t>
  </si>
  <si>
    <t>2000900
2000354
2000080
2000079</t>
  </si>
  <si>
    <t>GASA ESTERIL 10X10CM
APOSITO ESTERIL (G+A) 10X20CM
VENDA TIPO CAMBRIC X 5 CM
VENDA TIPO CAMBRIC X 10 CM</t>
  </si>
  <si>
    <t>Se identificaron gasas, apósitos y vendas como artículos separados. La lista propone componentes; confirmar medidas, cantidades y contenido del kit. No representa un único material SAP. Fuente: hoja SAP, primera fila por código (mismo orden): 147, 96, 1067, 139.</t>
  </si>
  <si>
    <t>2000553
2000209</t>
  </si>
  <si>
    <t>TORNIQUETE TACTICO
TIJERA  PARA VENDAJES  (TRAUMA)</t>
  </si>
  <si>
    <t>Torniquete táctico y tijera de trauma identificados por separado. Confirmar si el master requiere kit o dos componentes y sus cantidades. Fuente: hoja SAP, primera fila por código (mismo orden): 1464, 1180.</t>
  </si>
  <si>
    <t>2000156
2002459
2000022
2000270
2000158
2000157</t>
  </si>
  <si>
    <t>GUANTES ESTERILES Nº 7 POR PAR
GUANTE ESTERIL Nº 7
GUANTES ESTERILES Nº 8 POR PAR
GUANTES DE EXAMINACION TALLE S
GUANTES DE EXAMINACIÓN TALLE M
GUANTES DE EXAMINACIÓN TALLE L</t>
  </si>
  <si>
    <t>Cobertura de estériles Nº7/8 y guantes de examen S/M/L. Definir el contenido del grupo, validar unidad por par/caja y mantener variantes separadas. Fuente: hoja SAP, primera fila por código (mismo orden): 1133, 212, 33, 7, 3, 32.</t>
  </si>
  <si>
    <t>2000270
2000158
2000157
2000794
2001761
2000156
2002459
2000021
2000022
2000089</t>
  </si>
  <si>
    <t>GUANTES DE EXAMINACION TALLE S
GUANTES DE EXAMINACIÓN TALLE M
GUANTES DE EXAMINACIÓN TALLE L
GUANTES ESTERILES Nº 6 POR PAR
GUANTES ESTERILES Nº 6.5 POR PAR
GUANTES ESTERILES Nº 7 POR PAR
GUANTE ESTERIL Nº 7
GUANTES ESTERILES Nº 7.5 POR PAR
GUANTES ESTERILES Nº 8 POR PAR
GUANTES ESTERILES Nº 8.5 POR PAR</t>
  </si>
  <si>
    <t>El master sólo dice Guantes. SAP incluye examen y estériles de varios talles. Definir tipo, talla y unidad; estos códigos son opciones clínicas, no una aprobación conjunta. Se excluyen guantes industriales. Fuente: hoja SAP, primera fila por código (mismo orden): 7, 3, 32, 1546, 44, 1133, 212, 43, 33, 1076.</t>
  </si>
  <si>
    <t>2001263
2000041
2000917
2000918
2001251</t>
  </si>
  <si>
    <t>BARBIJOS QUIRURGICOS IMPORTADOS
BARBIJO TRIPLE RECTO C/ELÁSTI
Barbijo 3M N95 mod 8210
Barbijo 3M Modelo 8210 Nº95V
BARBIJO KN95</t>
  </si>
  <si>
    <t>El master sólo dice Barbijo. SAP distingue quirúrgicos, triple, N95/N95V y KN95. Definir tipo requerido; no tratar normas/modelos distintos como equivalentes por el nombre genérico. Fuente: hoja SAP, primera fila por código (mismo orden): 1755, 9, 1575, 1576, 1747.</t>
  </si>
  <si>
    <t>2000048
2001124</t>
  </si>
  <si>
    <t>CAMISOLIN AZUL 25GR PUÑO C/ELASTICO 1MT
CAMISOLIN COTEADO/LAMINADO 45 GR. 1,20M</t>
  </si>
  <si>
    <t>Camisolines de 25 g y laminado de 45 g, con características distintas. El master no fija protección/material; seleccionar presentación antes de homologar. Fuente: hoja SAP, primera fila por código (mismo orden): 1037, 1667.</t>
  </si>
  <si>
    <t>2000900
2000901
2000902
2000607</t>
  </si>
  <si>
    <t>GASA ESTERIL 10X10CM
GASA ESTERIL 20X20CM
GASA ESTERIL 30X30CM
GASA ESTERIL 5X5CM</t>
  </si>
  <si>
    <t>El master sólo dice Gasas. Se identificaron gasas estériles de 10x10/20x20/30x30/5x5; definir tamaño/esterilidad requeridos. No agrupar medidas diferentes para costear. Fuente: hoja SAP, primera fila por código (mismo orden): 147, 1565, 1566, 1502.</t>
  </si>
  <si>
    <t>1001237
1000802
1000136</t>
  </si>
  <si>
    <t>ACIDO ACETILSALICILICO 100MG
ACIDO ACETILSALICILICO 100MG x 20 COMP
ASPIRINA DE 100 MG</t>
  </si>
  <si>
    <t>Ácido acetilsalicílico 100 mg: hay tres materiales compatibles. SAP usa genérico y Aspirina; la marca no reduce la confianza. El master no fija cantidad por envase. Confirmar el material activo a utilizar. Fuente: hoja SAP, primera fila por código (mismo orden): 373, 899, 99.</t>
  </si>
  <si>
    <t>1000125</t>
  </si>
  <si>
    <t>DICLOFENAC 75 MG COMPRIMIDOS</t>
  </si>
  <si>
    <t>Coinciden los atributos que explicita el ítem del master. Fuente: hoja SAP, primera fila por código (mismo orden): 20.</t>
  </si>
  <si>
    <t>1000045</t>
  </si>
  <si>
    <t>DICLOFENAC 75MG AMPOLLA 3ML</t>
  </si>
  <si>
    <t>Coinciden los atributos que explicita el ítem del master. Fuente: hoja SAP, primera fila por código (mismo orden): 30.</t>
  </si>
  <si>
    <t>1000889</t>
  </si>
  <si>
    <t>DICLOFENAC+PRIDINOL COMPRIMIDOS</t>
  </si>
  <si>
    <t>Coinciden diclofenac + pridinol y comprimidos. Se prioriza la descripción que declara la forma. También existen 1000520 y 1000509, sin forma explícita; no se mezclan automáticamente. Fuente: hoja SAP, primera fila por código (mismo orden): 90.</t>
  </si>
  <si>
    <t>1000124</t>
  </si>
  <si>
    <t>IBUPROFENO COMP 600MG</t>
  </si>
  <si>
    <t>Coinciden ibuprofeno y 600 mg. SAP indica comprimidos; el master no especifica forma en Ítem Original. Se conserva un solo ID común aunque M01-005 estaba duplicado en origen. Fuente: hoja SAP, primera fila por código (mismo orden): 13.</t>
  </si>
  <si>
    <t>1000129</t>
  </si>
  <si>
    <t>KETOROLAC 10MG SUBLINGUAL</t>
  </si>
  <si>
    <t>Coinciden los atributos que explicita el ítem del master. Fuente: hoja SAP, primera fila por código (mismo orden): 17.</t>
  </si>
  <si>
    <t>1000196</t>
  </si>
  <si>
    <t>KETOROLAC 30 MG/1ML AMP</t>
  </si>
  <si>
    <t>Coinciden 30 mg y ampolla de 1 ml. Se descarta 1001291 (30 mg/2 ml) para este ID por volumen distinto. Fuente: hoja SAP, primera fila por código (mismo orden): 23.</t>
  </si>
  <si>
    <t>1005149</t>
  </si>
  <si>
    <t>DIPIRONA 500MG COMPRIMIDOS</t>
  </si>
  <si>
    <t>Coinciden los atributos que explicita el ítem del master. Fuente: hoja SAP, primera fila por código (mismo orden): 68.</t>
  </si>
  <si>
    <t>1000022</t>
  </si>
  <si>
    <t>DIPIRONA 1G AMPOLLA DE 2ML INYECTABLE</t>
  </si>
  <si>
    <t>Coinciden los atributos que explicita el ítem del master. Fuente: hoja SAP, primera fila por código (mismo orden): 106.</t>
  </si>
  <si>
    <t>1000673</t>
  </si>
  <si>
    <t>TRAMADOL + PARACETAMOL COMP.</t>
  </si>
  <si>
    <t>Coinciden los atributos que explicita el ítem del master. Fuente: hoja SAP, primera fila por código (mismo orden): 840.</t>
  </si>
  <si>
    <t>1001288</t>
  </si>
  <si>
    <t>FLEXIDOL 15mg COMP X 30comp</t>
  </si>
  <si>
    <t>SAP usa la marca Flexidol y declara 15 mg. La documentación oficial identifica meloxicam como principio activo. Marca distinta sólo en observación; no se confunde con Flexidol Relax. Referencia R1 en SAP original. Fuente: hoja SAP, primera fila por código (mismo orden): 517.</t>
  </si>
  <si>
    <t>1001305</t>
  </si>
  <si>
    <t>COLCHICINA 1MG COMP</t>
  </si>
  <si>
    <t>Coinciden los atributos que explicita el ítem del master. Fuente: hoja SAP, primera fila por código (mismo orden): 978.</t>
  </si>
  <si>
    <t>1001129</t>
  </si>
  <si>
    <t>BUCOANGIN CARAM ANTIB X9</t>
  </si>
  <si>
    <t>SAP declara caramelos con antibiótico Bucoangin. El master no fija principio activo ni cantidad por envase; la marca se conserva en observaciones. Fuente: hoja SAP, primera fila por código (mismo orden): 72.</t>
  </si>
  <si>
    <t>1000528</t>
  </si>
  <si>
    <t>KETOROLAC  20 MG COMPRIMIDOS</t>
  </si>
  <si>
    <t>Coinciden ketorolac 20 mg comprimidos. No se usa 1005260, que especifica sublingual, como si fuera la misma presentación. Fuente: hoja SAP, primera fila por código (mismo orden): 46.</t>
  </si>
  <si>
    <t>1000098</t>
  </si>
  <si>
    <t>MIDAZOLAN 15MG/3ML AMPOLLA INYECTABLE</t>
  </si>
  <si>
    <t>Coinciden midazolam 15 mg/3 ml y ampolla. SAP escribe MIDAZOLAN; se conserva el texto original y se señala la variación ortográfica. Fuente: hoja SAP, primera fila por código (mismo orden): 610.</t>
  </si>
  <si>
    <t>1000104</t>
  </si>
  <si>
    <t>NALBUFINA 10MG/1ML AMPOLLA</t>
  </si>
  <si>
    <t>Coinciden los atributos que explicita el ítem del master. Fuente: hoja SAP, primera fila por código (mismo orden): 619.</t>
  </si>
  <si>
    <t>1000402</t>
  </si>
  <si>
    <t>SUCCINILCOLINA 100 mg</t>
  </si>
  <si>
    <t>Coinciden los atributos que explicita el ítem del master. Fuente: hoja SAP, primera fila por código (mismo orden): 738.</t>
  </si>
  <si>
    <t>1000002</t>
  </si>
  <si>
    <t>ADRENALINA 1MG AMPOLLA DE 1 ML INYEC</t>
  </si>
  <si>
    <t>Coinciden los atributos que explicita el ítem del master. Fuente: hoja SAP, primera fila por código (mismo orden): 185.</t>
  </si>
  <si>
    <t>1000007</t>
  </si>
  <si>
    <t>ATROPINA 1MG AMPOLLA DE 1ML</t>
  </si>
  <si>
    <t>Coinciden los atributos que explicita el ítem del master. Fuente: hoja SAP, primera fila por código (mismo orden): 170.</t>
  </si>
  <si>
    <t>1000005</t>
  </si>
  <si>
    <t>AMIODARONA 150MG AMPOLLA DE 3 ML INYEC</t>
  </si>
  <si>
    <t>Coinciden los atributos que explicita el ítem del master. Fuente: hoja SAP, primera fila por código (mismo orden): 274.</t>
  </si>
  <si>
    <t>1000304</t>
  </si>
  <si>
    <t>ADENOSINA 2 ML AMP 3 MG/1 ML</t>
  </si>
  <si>
    <t>SAP expresa 3 mg/ml en ampolla de 2 ml: equivale a 6 mg/2 ml, como pide el master. Fuente: hoja SAP, primera fila por código (mismo orden): 397.</t>
  </si>
  <si>
    <t>1005248</t>
  </si>
  <si>
    <t>GLUCONATO DE CALCIO 10% X 10ML AMPOLLA</t>
  </si>
  <si>
    <t>Coinciden los atributos que explicita el ítem del master. Fuente: hoja SAP, primera fila por código (mismo orden): 378.</t>
  </si>
  <si>
    <t>1000023</t>
  </si>
  <si>
    <t>DOPAMINA 200MG AMPOLLA I.V DE 5 ML</t>
  </si>
  <si>
    <t>Coinciden los atributos que explicita el ítem del master. Fuente: hoja SAP, primera fila por código (mismo orden): 294.</t>
  </si>
  <si>
    <t>1001315</t>
  </si>
  <si>
    <t>CLORURO DE POTASIO AMP X 5ML</t>
  </si>
  <si>
    <t>Coinciden los atributos que explicita el ítem del master. Fuente: hoja SAP, primera fila por código (mismo orden): 261.</t>
  </si>
  <si>
    <t>1000488</t>
  </si>
  <si>
    <t>CLOPIDOGREL 75MG COMP</t>
  </si>
  <si>
    <t>Coinciden los atributos que explicita el ítem del master. Fuente: hoja SAP, primera fila por código (mismo orden): 226.</t>
  </si>
  <si>
    <t>1000422
1005233
5004158</t>
  </si>
  <si>
    <t>ATENOLOL 50 mg
ATENOLOL 50MG X 10COMP
ATENOLOL 50MG X 15COMP</t>
  </si>
  <si>
    <t>Tres materiales describen atenolol 50 mg. El master no define cantidad por envase. Mantener trazabilidad de los tres y confirmar cuál está activo; 5004158 figura con tipo ZUNB, dato original a revisar administrativamente. Fuente: hoja SAP, primera fila por código (mismo orden): 740, 269, 183.</t>
  </si>
  <si>
    <t>1005140</t>
  </si>
  <si>
    <t>ENALAPRIL 10MG X 10COMP</t>
  </si>
  <si>
    <t>Coinciden los atributos que explicita el ítem del master. Fuente: hoja SAP, primera fila por código (mismo orden): 137.</t>
  </si>
  <si>
    <t>1000387</t>
  </si>
  <si>
    <t>AMLODIPINA 10 mg COMPRIMIDOS</t>
  </si>
  <si>
    <t>Coinciden los atributos que explicita el ítem del master. Fuente: hoja SAP, primera fila por código (mismo orden): 128.</t>
  </si>
  <si>
    <t>1005231</t>
  </si>
  <si>
    <t>LOSARTAN 50MG COMP</t>
  </si>
  <si>
    <t>Coinciden los atributos que explicita el ítem del master. Fuente: hoja SAP, primera fila por código (mismo orden): 71.</t>
  </si>
  <si>
    <t>1000011</t>
  </si>
  <si>
    <t>DINITRATO DE ISOSORBIDE 5 MG COMP SL</t>
  </si>
  <si>
    <t>Coinciden los atributos que explicita el ítem del master. Fuente: hoja SAP, primera fila por código (mismo orden): 562.</t>
  </si>
  <si>
    <t>1000063</t>
  </si>
  <si>
    <t>DIGOXINA 0,25 MG/ML AMPOLLA DE 1ML</t>
  </si>
  <si>
    <t>Coinciden los atributos que explicita el ítem del master. Fuente: hoja SAP, primera fila por código (mismo orden): 223.</t>
  </si>
  <si>
    <t>1000725</t>
  </si>
  <si>
    <t>ATORVASTATINA 20MG</t>
  </si>
  <si>
    <t>Coinciden los atributos que explicita el ítem del master. Fuente: hoja SAP, primera fila por código (mismo orden): 253.</t>
  </si>
  <si>
    <t>1000544</t>
  </si>
  <si>
    <t>NIFEDIPINA 30MG</t>
  </si>
  <si>
    <t>Coinciden los atributos que explicita el ítem del master. Fuente: hoja SAP, primera fila por código (mismo orden): 799.</t>
  </si>
  <si>
    <t>1000671</t>
  </si>
  <si>
    <t>SULFATO DE MAGNESIO AL 25% AMP</t>
  </si>
  <si>
    <t>Coinciden los atributos que explicita el ítem del master. Fuente: hoja SAP, primera fila por código (mismo orden): 366.</t>
  </si>
  <si>
    <t>1000087</t>
  </si>
  <si>
    <t>SALBUTAMOL PUFF ("AEROS" 250 DOSIS) 100M</t>
  </si>
  <si>
    <t>Coinciden salbutamol y puff/aerosol. SAP termina en 100M, unidad incompleta; el master no fija dosis por disparo. Confirmar esa unidad antes del posterior costeo por presentación. Fuente: hoja SAP, primera fila por código (mismo orden): 406.</t>
  </si>
  <si>
    <t>1000478</t>
  </si>
  <si>
    <t>DEXAMETASONA 8MG/2ML AMPOLLA</t>
  </si>
  <si>
    <t>Coinciden los atributos que explicita el ítem del master. Fuente: hoja SAP, primera fila por código (mismo orden): 22.</t>
  </si>
  <si>
    <t>1000529</t>
  </si>
  <si>
    <t>DEXAMETASONA 4 MG COMPRIMIDOS</t>
  </si>
  <si>
    <t>Coinciden los atributos que explicita el ítem del master. Fuente: hoja SAP, primera fila por código (mismo orden): 38.</t>
  </si>
  <si>
    <t>1000010</t>
  </si>
  <si>
    <t>HIDROCORTISONA 500MG  AMPOLLA</t>
  </si>
  <si>
    <t>Coinciden los atributos que explicita el ítem del master. Fuente: hoja SAP, primera fila por código (mismo orden): 275.</t>
  </si>
  <si>
    <t>1001233</t>
  </si>
  <si>
    <t>DIFENHIDRAMINA 10 MG X 1 ML AMP</t>
  </si>
  <si>
    <t>Coinciden los atributos que explicita el ítem del master. Fuente: hoja SAP, primera fila por código (mismo orden): 133.</t>
  </si>
  <si>
    <t>1000144</t>
  </si>
  <si>
    <t>LORATADINA 10 MG COMP</t>
  </si>
  <si>
    <t>Coinciden los atributos que explicita el ítem del master. Fuente: hoja SAP, primera fila por código (mismo orden): 18.</t>
  </si>
  <si>
    <t>1000178</t>
  </si>
  <si>
    <t>DRAMAMINE COMPRIMIDO</t>
  </si>
  <si>
    <t>SAP usa Dramamine comprimido. ANMAT documenta dimenhidrinato 50 mg por comprimido para esta presentación argentina (R4). Marca distinta sólo en observación; confirmar material activo en SAP. Fuente: hoja SAP, primera fila por código (mismo orden): 474.</t>
  </si>
  <si>
    <t>1000890</t>
  </si>
  <si>
    <t>CALADRYL 70CR 70G CREMA</t>
  </si>
  <si>
    <t>Coincide Caladryl crema. El master admite crema/spray; se identifica la alternativa crema. No se identificó un spray explícito. La solución 1000187 no se presume spray. Fuente: hoja SAP, primera fila por código (mismo orden): 462.</t>
  </si>
  <si>
    <t>1000105</t>
  </si>
  <si>
    <t>METOCLOPRAMIDA 10MG/2ML AMPOLLA</t>
  </si>
  <si>
    <t>Coinciden los atributos que explicita el ítem del master. Fuente: hoja SAP, primera fila por código (mismo orden): 16.</t>
  </si>
  <si>
    <t>1000122</t>
  </si>
  <si>
    <t>METOCLOPRAMIDA DE 10MG SL</t>
  </si>
  <si>
    <t>Coinciden metoclopramida 10 mg SL, una de las formas admitidas por el master. El material 1000182 de comprimidos no indica dosis; no se agrega como equivalencia confirmada. Fuente: hoja SAP, primera fila por código (mismo orden): 48.</t>
  </si>
  <si>
    <t>1000059</t>
  </si>
  <si>
    <t>BUTIL BROMURO DE HIOSCINA 20MG AMPOLLA</t>
  </si>
  <si>
    <t>Coinciden los atributos que explicita el ítem del master. Fuente: hoja SAP, primera fila por código (mismo orden): 108.</t>
  </si>
  <si>
    <t>1005326</t>
  </si>
  <si>
    <t>BUTIL BROMURO DE HIOSCINA 10MG COMP</t>
  </si>
  <si>
    <t>Coinciden los atributos que explicita el ítem del master. Fuente: hoja SAP, primera fila por código (mismo orden): 73.</t>
  </si>
  <si>
    <t>1000684
1000244</t>
  </si>
  <si>
    <t>HIOSCINA+DIPIRONA AMP X 5 ML IV/IM
Hioscina Butilbromuro 10 mg,Dipirona AMP</t>
  </si>
  <si>
    <t>Ambos materiales declaran hioscina + dipirona en ampolla. El master no fija dosis. Preservar los dos códigos y definir cuál corresponde antes de costear. Fuente: hoja SAP, primera fila por código (mismo orden): 252, 174.</t>
  </si>
  <si>
    <t>1000133</t>
  </si>
  <si>
    <t>OMEPRAZOL DE 20MG COMPRIMIDOS</t>
  </si>
  <si>
    <t>Coinciden omeprazol 20 mg y comprimidos. No se sustituyen por los materiales SAP de cápsulas. Fuente: hoja SAP, primera fila por código (mismo orden): 156.</t>
  </si>
  <si>
    <t>1000667</t>
  </si>
  <si>
    <t>FAMOTIDINA 20MG COMP.</t>
  </si>
  <si>
    <t>Coinciden los atributos que explicita el ítem del master. Fuente: hoja SAP, primera fila por código (mismo orden): 833.</t>
  </si>
  <si>
    <t>1000597</t>
  </si>
  <si>
    <t>LOPERAMIDA 2MG COMPRIMIDO</t>
  </si>
  <si>
    <t>Coinciden los atributos que explicita el ítem del master. Fuente: hoja SAP, primera fila por código (mismo orden): 60.</t>
  </si>
  <si>
    <t>1001039</t>
  </si>
  <si>
    <t>TRIMEBUTINA+SIMETICONA 200MG/120MG 30 CO</t>
  </si>
  <si>
    <t>Coinciden los atributos que explicita el ítem del master. Fuente: hoja SAP, primera fila por código (mismo orden): 922.</t>
  </si>
  <si>
    <t>1001118</t>
  </si>
  <si>
    <t>SALES REHIDRATANTES SOBRE POLVO</t>
  </si>
  <si>
    <t>Coinciden los atributos que explicita el ítem del master. Fuente: hoja SAP, primera fila por código (mismo orden): 229.</t>
  </si>
  <si>
    <t>1000021</t>
  </si>
  <si>
    <t>DIAZEPAM 10MG AMPOLLA DE 2ML INYECTABLE</t>
  </si>
  <si>
    <t>Coinciden los atributos que explicita el ítem del master. Fuente: hoja SAP, primera fila por código (mismo orden): 120.</t>
  </si>
  <si>
    <t>1000103</t>
  </si>
  <si>
    <t>FENITOINA 100MG /2ML AMPOLLA</t>
  </si>
  <si>
    <t>Coinciden los atributos que explicita el ítem del master. Fuente: hoja SAP, primera fila por código (mismo orden): 80.</t>
  </si>
  <si>
    <t>1000309</t>
  </si>
  <si>
    <t>LORAZEPAM AMP 4mg/1ml</t>
  </si>
  <si>
    <t>Coinciden los atributos que explicita el ítem del master. Fuente: hoja SAP, primera fila por código (mismo orden): 359.</t>
  </si>
  <si>
    <t>1000108</t>
  </si>
  <si>
    <t>HALOPERIDOL  5MG/1ML AMPOLLA</t>
  </si>
  <si>
    <t>Coinciden los atributos que explicita el ítem del master. Fuente: hoja SAP, primera fila por código (mismo orden): 191.</t>
  </si>
  <si>
    <t>1005103
1000543</t>
  </si>
  <si>
    <t>CLONAZEPAM 2MG COMPRIMIDO
CLONAZEPAM 2MG x 15 COMPRIMIDOS</t>
  </si>
  <si>
    <t>Ambos materiales declaran clonazepam 2 mg comprimidos. El master no fija cantidad por envase; mantener códigos separados hasta confirmar material activo. Fuente: hoja SAP, primera fila por código (mismo orden): 178, 798.</t>
  </si>
  <si>
    <t>1000307</t>
  </si>
  <si>
    <t>NALOXONA AMPOLLA 0,4mg/1ml</t>
  </si>
  <si>
    <t>Coinciden los atributos que explicita el ítem del master. Fuente: hoja SAP, primera fila por código (mismo orden): 701.</t>
  </si>
  <si>
    <t>1000480
1005092</t>
  </si>
  <si>
    <t>CEFALEXINA 500MG COMPRIMIDOS
BUTEFINA 500MG X 80COMP</t>
  </si>
  <si>
    <t>Cefalexina 500 mg genérica y Butefina 500 mg. El fabricante confirma cefalexina en Butefina (R6). La marca se informa sin penalizar la coincidencia; el master no fija tamaño de envase. Fuente: hoja SAP, primera fila por código (mismo orden): 767, 105.</t>
  </si>
  <si>
    <t>1000486</t>
  </si>
  <si>
    <t>AZITROMICINA 500 MG COMP</t>
  </si>
  <si>
    <t>Coinciden los atributos que explicita el ítem del master. Fuente: hoja SAP, primera fila por código (mismo orden): 153.</t>
  </si>
  <si>
    <t>1000485
1000853</t>
  </si>
  <si>
    <t>CIPROFLOXACINA 500MG COMP
CIPROFLOXACINA 500MG x 20 COMPRIMIDOS</t>
  </si>
  <si>
    <t>Dos materiales de ciprofloxacina 500 mg comprimidos; uno explicita envase de 20. El master no fija cantidad por envase. Confirmar código activo, conservando ambos como candidatos. Fuente: hoja SAP, primera fila por código (mismo orden): 86, 906.</t>
  </si>
  <si>
    <t>1000565</t>
  </si>
  <si>
    <t>LEVOFLOXACINA 500MG</t>
  </si>
  <si>
    <t>Coinciden los atributos que explicita el ítem del master. Fuente: hoja SAP, primera fila por código (mismo orden): 461.</t>
  </si>
  <si>
    <t>1001249</t>
  </si>
  <si>
    <t>Clindamicina 300mgs caps</t>
  </si>
  <si>
    <t>Coinciden los atributos que explicita el ítem del master. Fuente: hoja SAP, primera fila por código (mismo orden): 160.</t>
  </si>
  <si>
    <t>1000779</t>
  </si>
  <si>
    <t>METRONIDAZOL COMP. 500mg</t>
  </si>
  <si>
    <t>Coinciden los atributos que explicita el ítem del master. Fuente: hoja SAP, primera fila por código (mismo orden): 70.</t>
  </si>
  <si>
    <t>1000663</t>
  </si>
  <si>
    <t>CEFTRIAXONA 1G FRA.AMPOLLA</t>
  </si>
  <si>
    <t>Coinciden los atributos que explicita el ítem del master. Fuente: hoja SAP, primera fila por código (mismo orden): 827.</t>
  </si>
  <si>
    <t>1000484</t>
  </si>
  <si>
    <t>PENICILINA G BENZATINICA 2.400.000 U.I</t>
  </si>
  <si>
    <t>Coinciden los atributos que explicita el ítem del master. Fuente: hoja SAP, primera fila por código (mismo orden): 770.</t>
  </si>
  <si>
    <t>1001250</t>
  </si>
  <si>
    <t>Aciclovir 400mg comp</t>
  </si>
  <si>
    <t>Coinciden los atributos que explicita el ítem del master. Fuente: hoja SAP, primera fila por código (mismo orden): 950.</t>
  </si>
  <si>
    <t>1000100</t>
  </si>
  <si>
    <t>FUROSEMIDA AMPOLLA DE 20 MG/2ML</t>
  </si>
  <si>
    <t>Coinciden los atributos que explicita el ítem del master. Fuente: hoja SAP, primera fila por código (mismo orden): 173.</t>
  </si>
  <si>
    <t>1000471</t>
  </si>
  <si>
    <t>ACETAZOLAMIDA 250 MG</t>
  </si>
  <si>
    <t>Coinciden los atributos que explicita el ítem del master. Fuente: hoja SAP, primera fila por código (mismo orden): 762.</t>
  </si>
  <si>
    <t>1000669</t>
  </si>
  <si>
    <t>MANITOL AL 15% x 500ML</t>
  </si>
  <si>
    <t>Coinciden los atributos que explicita el ítem del master. Fuente: hoja SAP, primera fila por código (mismo orden): 838.</t>
  </si>
  <si>
    <t>Coinciden solución fisiológica / cloruro de sodio 0,9% y 500 ml (500 cc). Hay dos materiales compatibles; confirmar cuál está activo sin fusionarlos automáticamente. Fuente: hoja SAP, primera fila por código (mismo orden): 53, 1010.</t>
  </si>
  <si>
    <t>1000033</t>
  </si>
  <si>
    <t>SOLUCIÓN DEXTROSA AL 5% DE 500 CC</t>
  </si>
  <si>
    <t>Coinciden los atributos que explicita el ítem del master. Fuente: hoja SAP, primera fila por código (mismo orden): 171.</t>
  </si>
  <si>
    <t>1000035</t>
  </si>
  <si>
    <t>SOLUCIÓN RINGER LACTATO 500 ML</t>
  </si>
  <si>
    <t>Coinciden los atributos que explicita el ítem del master. Fuente: hoja SAP, primera fila por código (mismo orden): 75.</t>
  </si>
  <si>
    <t>1000288</t>
  </si>
  <si>
    <t>SOLUCIÓN DEXTROSA AL 25% 500 CC</t>
  </si>
  <si>
    <t>SAP declara dextrosa 25% y 500 cc, equivalente al volumen de 500 ml del master. Este cruce es independiente de las diferencias detectadas en las bases. Fuente: hoja SAP, primera fila por código (mismo orden): 358.</t>
  </si>
  <si>
    <t>1000078</t>
  </si>
  <si>
    <t>SOLUCION GLUCOSADA HIPERTONICA 25% AMP</t>
  </si>
  <si>
    <t>Coinciden los atributos que explicita el ítem del master. Fuente: hoja SAP, primera fila por código (mismo orden): 320.</t>
  </si>
  <si>
    <t>1005232</t>
  </si>
  <si>
    <t>CIPROFLOXACINA+DEXAMETASONA GTS OFT</t>
  </si>
  <si>
    <t>Coinciden los atributos que explicita el ítem del master. Fuente: hoja SAP, primera fila por código (mismo orden): 221.</t>
  </si>
  <si>
    <t>1000082
1001306</t>
  </si>
  <si>
    <t>LIDOCAINA AL 2% SIN EPINEFRINA AMPOLLA
LIDOCAINA 2% 5 ML AMPOLLA</t>
  </si>
  <si>
    <t>Ambos materiales indican lidocaína 2% ampolla; el primero explicita sin epinefrina y el segundo 5 ml. Confirmar el material activo y la composición del segundo si corresponde. Fuente: hoja SAP, primera fila por código (mismo orden): 594, 979.</t>
  </si>
  <si>
    <t>2001616</t>
  </si>
  <si>
    <t>LIDOCAINA C/EPINEFRINA 2% 20 ML</t>
  </si>
  <si>
    <t>Coinciden los atributos que explicita el ítem del master. Fuente: hoja SAP, primera fila por código (mismo orden): 1902.</t>
  </si>
  <si>
    <t>1000095</t>
  </si>
  <si>
    <t>LIDOCAINA AL 2% JALEA</t>
  </si>
  <si>
    <t>Coinciden los atributos que explicita el ítem del master. Fuente: hoja SAP, primera fila por código (mismo orden): 608.</t>
  </si>
  <si>
    <t>1000665
1000870</t>
  </si>
  <si>
    <t>CLOTRIMAZOL CREMA
CLOTRIMAZOL 1% 20 GR CREMA</t>
  </si>
  <si>
    <t>Clotrimazol crema genérico y clotrimazol 1% de 20 g. El master no define concentración/envase en Ítem Original; confirmar qué material se utilizará sin penalizar una marca. Fuente: hoja SAP, primera fila por código (mismo orden): 327, 273.</t>
  </si>
  <si>
    <t>2000002
1001262</t>
  </si>
  <si>
    <t>CATETER INTRAVENOSO 14G T/ABBOCATH
CATETER IV N14</t>
  </si>
  <si>
    <t>Ambos materiales identifican catéter IV Nº14. El primero explicita tipo Abbocath. La diferencia de tipo de material ZDES/ZMED debe revisarse administrativamente, sin alterar el producto. Fuente: hoja SAP, primera fila por código (mismo orden): 1017, 465.</t>
  </si>
  <si>
    <t>2000003
2001218</t>
  </si>
  <si>
    <t>CATETER INTRAVENOSO 16G T/ABBOCATH
CATETER IV N° 16</t>
  </si>
  <si>
    <t>Ambos códigos identifican catéter IV Nº16. Se conserva la nomenclatura SAP; confirmar material activo. Fuente: hoja SAP, primera fila por código (mismo orden): 180, 211.</t>
  </si>
  <si>
    <t>2000004</t>
  </si>
  <si>
    <t>CATETER INTRAVENOSO 18G T/ABBOCATH</t>
  </si>
  <si>
    <t>Coinciden los atributos que explicita el ítem del master. Fuente: hoja SAP, primera fila por código (mismo orden): 290.</t>
  </si>
  <si>
    <t>2000005</t>
  </si>
  <si>
    <t>CATETER INTRAVENOSO 20G T/ABBOCATH</t>
  </si>
  <si>
    <t>Coinciden los atributos que explicita el ítem del master. Fuente: hoja SAP, primera fila por código (mismo orden): 24.</t>
  </si>
  <si>
    <t>2000006</t>
  </si>
  <si>
    <t>CATETER INTRAVENOSO 22G T/ABBOCATH</t>
  </si>
  <si>
    <t>Coinciden los atributos que explicita el ítem del master. Fuente: hoja SAP, primera fila por código (mismo orden): 42.</t>
  </si>
  <si>
    <t>2000060</t>
  </si>
  <si>
    <t>LLAVE DE 3 VIAS</t>
  </si>
  <si>
    <t>Coinciden los atributos que explicita el ítem del master. Fuente: hoja SAP, primera fila por código (mismo orden): 1048.</t>
  </si>
  <si>
    <t>2000023</t>
  </si>
  <si>
    <t>GUIA MACROGOTERO Nª14</t>
  </si>
  <si>
    <t>Coinciden los atributos que explicita el ítem del master. Fuente: hoja SAP, primera fila por código (mismo orden): 10.</t>
  </si>
  <si>
    <t>2000024</t>
  </si>
  <si>
    <t>GUIA MICROGOTERO Nº17</t>
  </si>
  <si>
    <t>Coinciden los atributos que explicita el ítem del master. Fuente: hoja SAP, primera fila por código (mismo orden): 208.</t>
  </si>
  <si>
    <t>2000027</t>
  </si>
  <si>
    <t>JERINGA DE 5 ML</t>
  </si>
  <si>
    <t>Coinciden los atributos que explicita el ítem del master. Fuente: hoja SAP, primera fila por código (mismo orden): 28.</t>
  </si>
  <si>
    <t>2000028</t>
  </si>
  <si>
    <t>JERINGA 10 ML</t>
  </si>
  <si>
    <t>Coinciden los atributos que explicita el ítem del master. Fuente: hoja SAP, primera fila por código (mismo orden): 8.</t>
  </si>
  <si>
    <t>2000029
2002429
2002430</t>
  </si>
  <si>
    <t>JERINGA 20 ML
JERINGA 20 ML X100UN
JERINGA 20 ML X50UN</t>
  </si>
  <si>
    <t>Tres códigos de jeringa 20 ml (=20 cc), con cajas de 100/50 cuando se explicita. El master no fija envase. Mantener unidad/caja diferenciadas al costear; confirmar material activo. Fuente: hoja SAP, primera fila por código (mismo orden): 451, 1938, 1939.</t>
  </si>
  <si>
    <t>2000008</t>
  </si>
  <si>
    <t>AGUJA HIPODERMICA 21G x 1 - 25/8</t>
  </si>
  <si>
    <t>Coinciden los atributos que explicita el ítem del master. Fuente: hoja SAP, primera fila por código (mismo orden): 11.</t>
  </si>
  <si>
    <t>2000009</t>
  </si>
  <si>
    <t>AGUJA HIPODERMICA 21G x 1 ½ - 40/8</t>
  </si>
  <si>
    <t>Coinciden los atributos que explicita el ítem del master. Fuente: hoja SAP, primera fila por código (mismo orden): 15.</t>
  </si>
  <si>
    <t>2000007</t>
  </si>
  <si>
    <t>AGUJA HIPODERMICA 25G x ⅝ - 16/5</t>
  </si>
  <si>
    <t>Coinciden los atributos que explicita el ítem del master. Fuente: hoja SAP, primera fila por código (mismo orden): 19.</t>
  </si>
  <si>
    <t>2000900
2000147
2000281
2000299</t>
  </si>
  <si>
    <t>GASA ESTERIL 10X10CM
GASA ESTERIL 10X10 GASANA
GASA ESTERIL 10X10 LA CEADE
GASA ESTERIL 10X10 - SYRA</t>
  </si>
  <si>
    <t>Todos declaran gasa estéril 10x10. Las marcas Gasana, La Ceade y Syra son observaciones, sin reducir confianza. No se incorporan gasas para traqueostomía ni impregnadas como equivalentes. Fuente: hoja SAP, primera fila por código (mismo orden): 147, 1126, 1246, 1263.</t>
  </si>
  <si>
    <t>2000354
2000098
2000278
2000279</t>
  </si>
  <si>
    <t>APOSITO ESTERIL (G+A) 10X20CM
APOSITO QUIRURGICO ESTERIL 10X20CM-SYRA
APOS ESTERIL (G+A) 10X20 IGALTEX S/POUCH
APOSITO ESTERIL (G+A) 10X20CM - INSXXI</t>
  </si>
  <si>
    <t>Todos declaran apósito estéril 10x20. Marcas y detalle sin pouch se conservan en SAP; verificar unidad/envase antes de costear. No se incluyen apósitos no estériles. Fuente: hoja SAP, primera fila por código (mismo orden): 96, 1084, 1243, 1244.</t>
  </si>
  <si>
    <t>2000080
2000314</t>
  </si>
  <si>
    <t>VENDA TIPO CAMBRIC X 5 CM
VENDA TIPO CAMBRIC X 5 CM</t>
  </si>
  <si>
    <t>Dos códigos SAP con la misma descripción: venda tipo Cambric de 5 cm. Confirmar cuál está activo; no elegir por orden de aparición. Fuente: hoja SAP, primera fila por código (mismo orden): 1067, 1278.</t>
  </si>
  <si>
    <t>2000079</t>
  </si>
  <si>
    <t>VENDA TIPO CAMBRIC X 10 CM</t>
  </si>
  <si>
    <t>Coinciden los atributos que explicita el ítem del master. Fuente: hoja SAP, primera fila por código (mismo orden): 139.</t>
  </si>
  <si>
    <t>2000205
2000289
2001334</t>
  </si>
  <si>
    <t>TELA ADHE HIPOALERGENICA DE SEDA 5CM
TELA ADHES DURAPORE X 5CM SEDA HIPOALARG
TELA ADHE MICROPOROSA HIPOALER 5CM</t>
  </si>
  <si>
    <t>Los tres declaran tela de 5 cm hipoalergénica. Difieren en seda/microporosa/marca, características no fijadas por el master; confirmar preferencia de material al validar. Fuente: hoja SAP, primera fila por código (mismo orden): 381, 1253, 1808.</t>
  </si>
  <si>
    <t>2000532</t>
  </si>
  <si>
    <t>CURITAS TELA ELASTICA</t>
  </si>
  <si>
    <t>Coinciden los atributos que explicita el ítem del master. Fuente: hoja SAP, primera fila por código (mismo orden): 310.</t>
  </si>
  <si>
    <t>2000033</t>
  </si>
  <si>
    <t>STERI STRIP 3M REF 1547</t>
  </si>
  <si>
    <t>Steri-Strip, referencia 3M 1547. La marca se conserva. Existen otras medidas de cintas de aproximación, pero el master no define tamaño; confirmar la medida elegida. Fuente: hoja SAP, primera fila por código (mismo orden): 317.</t>
  </si>
  <si>
    <t>2000021</t>
  </si>
  <si>
    <t>GUANTES ESTERILES Nº 7.5 POR PAR</t>
  </si>
  <si>
    <t>Coinciden los atributos que explicita el ítem del master. Fuente: hoja SAP, primera fila por código (mismo orden): 43.</t>
  </si>
  <si>
    <t>2000022</t>
  </si>
  <si>
    <t>GUANTES ESTERILES Nº 8 POR PAR</t>
  </si>
  <si>
    <t>Coinciden los atributos que explicita el ítem del master. Fuente: hoja SAP, primera fila por código (mismo orden): 33.</t>
  </si>
  <si>
    <t>2001263</t>
  </si>
  <si>
    <t>BARBIJOS QUIRURGICOS IMPORTADOS</t>
  </si>
  <si>
    <t>Coinciden los atributos que explicita el ítem del master. Fuente: hoja SAP, primera fila por código (mismo orden): 1755.</t>
  </si>
  <si>
    <t>2000917</t>
  </si>
  <si>
    <t>Barbijo 3M N95 mod 8210</t>
  </si>
  <si>
    <t>Coinciden los atributos que explicita el ítem del master. Fuente: hoja SAP, primera fila por código (mismo orden): 1575.</t>
  </si>
  <si>
    <t>2000462</t>
  </si>
  <si>
    <t>BIGOTERA DESCARTABLE</t>
  </si>
  <si>
    <t>SAP usa el sinónimo bigotera descartable. Coincide con cánula nasal O2; el master también explicita bigotera. Fuente: hoja SAP, primera fila por código (mismo orden): 65.</t>
  </si>
  <si>
    <t>2000867</t>
  </si>
  <si>
    <t>SONDA NASOGASTRICA K-10</t>
  </si>
  <si>
    <t>Coinciden los atributos que explicita el ítem del master. Fuente: hoja SAP, primera fila por código (mismo orden): 1555.</t>
  </si>
  <si>
    <t>2000100</t>
  </si>
  <si>
    <t>BOLSA COLECTORA DE ORINA X 2000 ML</t>
  </si>
  <si>
    <t>Coinciden los atributos que explicita el ítem del master. Fuente: hoja SAP, primera fila por código (mismo orden): 380.</t>
  </si>
  <si>
    <t>2001464</t>
  </si>
  <si>
    <t>ELECTRODOS ECG</t>
  </si>
  <si>
    <t>Coinciden los atributos que explicita el ítem del master. Fuente: hoja SAP, primera fila por código (mismo orden): 142.</t>
  </si>
  <si>
    <t>2000058</t>
  </si>
  <si>
    <t>LANCETA ESTERIL</t>
  </si>
  <si>
    <t>Coinciden los atributos que explicita el ítem del master. Fuente: hoja SAP, primera fila por código (mismo orden): 1046.</t>
  </si>
  <si>
    <t>2001679</t>
  </si>
  <si>
    <t>TEST DE TROPONINA</t>
  </si>
  <si>
    <t>Coinciden los atributos que explicita el ítem del master. Fuente: hoja SAP, primera fila por código (mismo orden): 1904.</t>
  </si>
  <si>
    <t>1000053</t>
  </si>
  <si>
    <t>ALCOHOL AL 96% X 1000ML</t>
  </si>
  <si>
    <t>Coinciden los atributos que explicita el ítem del master. Fuente: hoja SAP, primera fila por código (mismo orden): 281.</t>
  </si>
  <si>
    <t>1000001</t>
  </si>
  <si>
    <t>AGUA OXIGENADA 10 VOL. X 1000ML</t>
  </si>
  <si>
    <t>Coinciden los atributos que explicita el ítem del master. Fuente: hoja SAP, primera fila por código (mismo orden): 546.</t>
  </si>
  <si>
    <t>5003897
5000972</t>
  </si>
  <si>
    <t>ELECTROCARDIOGRAFO BIOCARE MOD.iE300
ELECTROCARDIOGRAFO JOTATEC</t>
  </si>
  <si>
    <t>Dos electrocardiógrafos identificados por marca/modelo. El master no exige uno específico; marca sólo en observación. Se excluyen los códigos de certificación/calibración, que son servicios. Fuente: hoja SAP, primera fila por código (mismo orden): 413, 442.</t>
  </si>
  <si>
    <t>5003900</t>
  </si>
  <si>
    <t>MONITOR MULTIPARAMETRICO CONTEC CMS8000</t>
  </si>
  <si>
    <t>SAP declara monitor multiparamétrico Contec CMS8000. La marca no reduce confianza. Los registros de certificación de monitores no representan el equipo. Fuente: hoja SAP, primera fila por código (mismo orden): 538.</t>
  </si>
  <si>
    <t>5004244</t>
  </si>
  <si>
    <t>DEA RADIANQBIO HR-501</t>
  </si>
  <si>
    <t>Coinciden los atributos que explicita el ítem del master. Fuente: hoja SAP, primera fila por código (mismo orden): 2697.</t>
  </si>
  <si>
    <t>1000535</t>
  </si>
  <si>
    <t>MEDIDOR GLUCEMIA FREESTYLE OPTIUM NEO H</t>
  </si>
  <si>
    <t>Coincide medidor de glucemia. SAP especifica Freestyle Optium Neo H; marca/modelo sólo en observación. Confirmar compatibilidad de tiras por separado. Fuente: hoja SAP, primera fila por código (mismo orden): 796.</t>
  </si>
  <si>
    <t>2001219
5000971
5004072
2001510</t>
  </si>
  <si>
    <t>OXIMETRO DE PULSO
OXIMETRO DE PULSO
OXIMETRO/SATUROMETRO DE PULSO SILFAB
SATUROMETRO PORTATIL PILAS SAN-UP A310</t>
  </si>
  <si>
    <t>Cuatro materiales describen oxímetro/saturómetro de pulso. Las marcas se conservan sin reducir confianza. Confirmar material activo/configuración; no se incluyen sensores de repuesto ni servicios de certificación. Fuente: hoja SAP, primera fila por código (mismo orden): 437, 234, 444, 1888.</t>
  </si>
  <si>
    <t>5003899
5004243</t>
  </si>
  <si>
    <t>ASPIR DE SECRECIONES C/BAT MAVERICK 7E-G
ASP DE SECRECIONES C/BAT YUWELL 7E-G</t>
  </si>
  <si>
    <t>SAP declara aspiradores de secreciones con batería, compatibles con funcionamiento eléctrico. Las marcas/modelos son observaciones; no se confunden con aspiradores manuales. Fuente: hoja SAP, primera fila por código (mismo orden): 443, 2696.</t>
  </si>
  <si>
    <t>SAP tiene aspirador manual RES Q VAC y aspirador manual genérico. La marca no reduce confianza; confirmar material activo sin fusionar códigos. Fuente: hoja SAP, primera fila por código (mismo orden): 489, 1922.</t>
  </si>
  <si>
    <t>5004246</t>
  </si>
  <si>
    <t>VENTILADOR PULMONAR P/TRANS PR5-TOUCH</t>
  </si>
  <si>
    <t>SAP identifica ventilador pulmonar para transporte PR5-TOUCH. Coincide con respirador/ciclador de transporte; no se usan circuitos ni filtros como equipo completo. Fuente: hoja SAP, primera fila por código (mismo orden): 2699.</t>
  </si>
  <si>
    <t>3000002</t>
  </si>
  <si>
    <t>CHALECO DE EXTRICACION</t>
  </si>
  <si>
    <t>Coinciden los atributos que explicita el ítem del master. Fuente: hoja SAP, primera fila por código (mismo orden): 1974.</t>
  </si>
  <si>
    <t>2001909</t>
  </si>
  <si>
    <t>INMOV DE CABEZA P/TABLA 3PIEZAS</t>
  </si>
  <si>
    <t>SAP identifica inmovilizador de cabeza para tabla de 3 piezas, compatible con head blocks. Mantener la descripción y confirmar sujeción al validar. Fuente: hoja SAP, primera fila por código (mismo orden): 1932.</t>
  </si>
  <si>
    <t>2001447</t>
  </si>
  <si>
    <t>COLLAR CERVICAL AJUSTABLE ADULTO</t>
  </si>
  <si>
    <t>Coinciden los atributos que explicita el ítem del master. Fuente: hoja SAP, primera fila por código (mismo orden): 1876.</t>
  </si>
  <si>
    <t>2000553</t>
  </si>
  <si>
    <t>TORNIQUETE TACTICO</t>
  </si>
  <si>
    <t>Coincide torniquete táctico. CAT figura como referencia comercial en el master; SAP no identifica marca. La ausencia/diferencia de marca no reduce confianza por sí sola; confirmar especificación del dispositivo al validar. Fuente: hoja SAP, primera fila por código (mismo orden): 1464.</t>
  </si>
  <si>
    <t>2000209</t>
  </si>
  <si>
    <t>TIJERA  PARA VENDAJES  (TRAUMA)</t>
  </si>
  <si>
    <t>Coinciden los atributos que explicita el ítem del master. Fuente: hoja SAP, primera fila por código (mismo orden): 1180.</t>
  </si>
  <si>
    <t>1005210
5001334</t>
  </si>
  <si>
    <t>SILLA DE RUEDAS
SILLA DE RUEDAS</t>
  </si>
  <si>
    <t>Dos materiales con la misma denominación SILLA DE RUEDAS, en tipos de material distintos. Confirmar código activo; el texto respalda el mismo ítem. Fuente: hoja SAP, primera fila por código (mismo orden): 1012, 2654.</t>
  </si>
  <si>
    <t>2000491</t>
  </si>
  <si>
    <t>BOLSA RESUCITACION MANUAL(TIPO AMBU)ADUL</t>
  </si>
  <si>
    <t>Coinciden los atributos que explicita el ítem del master. Fuente: hoja SAP, primera fila por código (mismo orden): 1439.</t>
  </si>
  <si>
    <t>1000027</t>
  </si>
  <si>
    <t>LARINGOSCOPIO ADULTO DE TRES RAMAS</t>
  </si>
  <si>
    <t>Coinciden los atributos que explicita el ítem del master. Fuente: hoja SAP, primera fila por código (mismo orden): 454.</t>
  </si>
  <si>
    <t>2001340
1000202</t>
  </si>
  <si>
    <t>PINZA MAGILL ADULTO
PINZA DE MAGUIL ADULTO</t>
  </si>
  <si>
    <t>Ambos textos corresponden a pinza Magill adulta. SAP escribe MAGUIL en uno de ellos; se conserva el original y se señala la variación ortográfica. Fuente: hoja SAP, primera fila por código (mismo orden): 1813, 681.</t>
  </si>
  <si>
    <t>2002615</t>
  </si>
  <si>
    <t>VARA/INTROD. ESCHMANN ADULT 70</t>
  </si>
  <si>
    <t>SAP identifica vara/introductor Eschmann adulto 70. Se prioriza esta descripción explícita frente a 2002481, que dice HEICHMANN y necesita aclaración. Fuente: hoja SAP, primera fila por código (mismo orden): 1972.</t>
  </si>
  <si>
    <t>2000573</t>
  </si>
  <si>
    <t>Coinciden los atributos que explicita el ítem del master. Fuente: hoja SAP, primera fila por código (mismo orden): 1474.</t>
  </si>
  <si>
    <t>2001491</t>
  </si>
  <si>
    <t>SET VIA CENTRAL</t>
  </si>
  <si>
    <t>Coinciden los atributos que explicita el ítem del master. Fuente: hoja SAP, primera fila por código (mismo orden): 1887.</t>
  </si>
  <si>
    <t>2000035</t>
  </si>
  <si>
    <t>TENSIOMETRO ADULTO</t>
  </si>
  <si>
    <t>Coinciden los atributos que explicita el ítem del master. Fuente: hoja SAP, primera fila por código (mismo orden): 1028.</t>
  </si>
  <si>
    <t>2000016</t>
  </si>
  <si>
    <t>ESTETOSCOPIO ADULTO</t>
  </si>
  <si>
    <t>Coinciden los atributos que explicita el ítem del master. Fuente: hoja SAP, primera fila por código (mismo orden): 435.</t>
  </si>
  <si>
    <t>2000037</t>
  </si>
  <si>
    <t>TERMOMETRO DIGITAL</t>
  </si>
  <si>
    <t>Coinciden los atributos que explicita el ítem del master. Fuente: hoja SAP, primera fila por código (mismo orden): 1030.</t>
  </si>
  <si>
    <t>2000470</t>
  </si>
  <si>
    <t>Coinciden los atributos que explicita el ítem del master. Fuente: hoja SAP, primera fila por código (mismo orden): 1422.</t>
  </si>
  <si>
    <t>5001239</t>
  </si>
  <si>
    <t>CARRO DE PARO</t>
  </si>
  <si>
    <t>Coinciden los atributos que explicita el ítem del master. Fuente: hoja SAP, primera fila por código (mismo orden): 490.</t>
  </si>
  <si>
    <t>2000363</t>
  </si>
  <si>
    <t>MASCARA PARA O2 ADULTO CON RESERVORIO</t>
  </si>
  <si>
    <t>Coinciden los atributos que explicita el ítem del master. Fuente: hoja SAP, primera fila por código (mismo orden): 5.</t>
  </si>
  <si>
    <t>2000090</t>
  </si>
  <si>
    <t>MASCARA PARA NEBULIZAR ADULTO</t>
  </si>
  <si>
    <t>Coinciden los atributos que explicita el ítem del master. Fuente: hoja SAP, primera fila por código (mismo orden): 140.</t>
  </si>
  <si>
    <t>2000811</t>
  </si>
  <si>
    <t>SONDA C/REGULADOR PARA ASPIRACION N°K30</t>
  </si>
  <si>
    <t>Coinciden los atributos que explicita el ítem del master. Fuente: hoja SAP, primera fila por código (mismo orden): 1548.</t>
  </si>
  <si>
    <t>2000010</t>
  </si>
  <si>
    <t>ANTIPARRA DE PLASTICO</t>
  </si>
  <si>
    <t>Coinciden los atributos que explicita el ítem del master. Fuente: hoja SAP, primera fila por código (mismo orden): 1018.</t>
  </si>
  <si>
    <t>Se proponen gasas que explicitan 10x10 y además esterilidad. El master no exige ni excluye esterilidad en este ID. Marcas distintas sólo en observación; confirmar el material activo. Fuente: hoja SAP, primera fila por código (mismo orden): 147, 1126, 1246, 1263.</t>
  </si>
  <si>
    <t>2000463</t>
  </si>
  <si>
    <t>SABANAS ESTERILES DESCARTABLES</t>
  </si>
  <si>
    <t>Coinciden los atributos que explicita el ítem del master. Fuente: hoja SAP, primera fila por código (mismo orden): 1415.</t>
  </si>
  <si>
    <t>2000464</t>
  </si>
  <si>
    <t>PARCHE OCULAR DESCARTABLE</t>
  </si>
  <si>
    <t>Coinciden los atributos que explicita el ítem del master. Fuente: hoja SAP, primera fila por código (mismo orden): 1416.</t>
  </si>
  <si>
    <t>2000483</t>
  </si>
  <si>
    <t>LINTERNA LAPICERA</t>
  </si>
  <si>
    <t>Coinciden los atributos que explicita el ítem del master. Fuente: hoja SAP, primera fila por código (mismo orden): 1432.</t>
  </si>
  <si>
    <t>2000063</t>
  </si>
  <si>
    <t>PINZA MAGILL PEDIATRICA</t>
  </si>
  <si>
    <t>Coinciden los atributos que explicita el ítem del master. Fuente: hoja SAP, primera fila por código (mismo orden): 1051.</t>
  </si>
  <si>
    <t>2000364</t>
  </si>
  <si>
    <t>MASCARA PARA O2 PEDIATRICA CON RESERVORI</t>
  </si>
  <si>
    <t>Coinciden los atributos que explicita el ítem del master. Fuente: hoja SAP, primera fila por código (mismo orden): 1325.</t>
  </si>
  <si>
    <t>2000167</t>
  </si>
  <si>
    <t>MASCARA PARA NEBULIZAR PEDIATRICA</t>
  </si>
  <si>
    <t>Coinciden los atributos que explicita el ítem del master. Fuente: hoja SAP, primera fila por código (mismo orden): 1141.</t>
  </si>
  <si>
    <t>1000028</t>
  </si>
  <si>
    <t>LARINGOSCOPIO PEDIATRICO DE TRES RAMAS</t>
  </si>
  <si>
    <t>Coinciden los atributos que explicita el ítem del master. Fuente: hoja SAP, primera fila por código (mismo orden): 573.</t>
  </si>
  <si>
    <t>2000017</t>
  </si>
  <si>
    <t>ESTETOSCOPIO PEDIATRICO</t>
  </si>
  <si>
    <t>Coinciden los atributos que explicita el ítem del master. Fuente: hoja SAP, primera fila por código (mismo orden): 1021.</t>
  </si>
  <si>
    <t>2000036</t>
  </si>
  <si>
    <t>TENSIOMETRO PEDIATRICO</t>
  </si>
  <si>
    <t>Coinciden los atributos que explicita el ítem del master. Fuente: hoja SAP, primera fila por código (mismo orden): 1029.</t>
  </si>
  <si>
    <t>2001538</t>
  </si>
  <si>
    <t>GASA FURACINADA AL 0,2% x 20U</t>
  </si>
  <si>
    <t>Coincide gasa furacinada al 0,2%. El master usa la misma denominación y explicita nitrofurazona. Confirmar material activo sin sustituir por gasas con otros medicamentos. Fuente: hoja SAP, primera fila por código (mismo orden): 471.</t>
  </si>
  <si>
    <t>2001706
2001447</t>
  </si>
  <si>
    <t>Collares cervicales regulables
COLLAR CERVICAL AJUSTABLE ADULTO</t>
  </si>
  <si>
    <t>Ambos materiales describen collar cervical regulable/ajustable; uno explicita adulto. El master no define población en este ID. Confirmar rango requerido al validar. Fuente: hoja SAP, primera fila por código (mismo orden): 1911, 1876.</t>
  </si>
  <si>
    <t>2001545
2001546</t>
  </si>
  <si>
    <t>APOSITO CHITOSAM 3X4 CT100-B-EN
APOSITO CHITOSAM 3X6 CT100-C-EN</t>
  </si>
  <si>
    <t>Las referencias CT100-B-EN/CT100-C-EN corresponden a ChitoSAM hemostático del fabricante (R7). El master no fija tamaño. La marca queda sólo en observación; SAP omite unidades de 3x4/3x6, que deben completarse para el costeo. Fuente: hoja SAP, primera fila por código (mismo orden): 1898, 1899.</t>
  </si>
  <si>
    <t>2000366</t>
  </si>
  <si>
    <t>COFIA PLISADA 20GR. BLANCA C/AJUST ELAST</t>
  </si>
  <si>
    <t>Coinciden los atributos que explicita el ítem del master. Fuente: hoja SAP, primera fila por código (mismo orden): 1327.</t>
  </si>
  <si>
    <t>2000102</t>
  </si>
  <si>
    <t>CAMPOS ESTERILES 90x90</t>
  </si>
  <si>
    <t>Coinciden los atributos que explicita el ítem del master. Fuente: hoja SAP, primera fila por código (mismo orden): 488.</t>
  </si>
  <si>
    <t>No se identificó un candidato respaldado en la hoja SAP recibida. Confirmar con el catálogo completo o solicitar el alta; la ausencia en este archivo no demuestra ausencia en el sistema.</t>
  </si>
  <si>
    <t>No se encontró alteplasa explícita. Metalyse no se asigna por similitud de uso o por ser un trombolítico; debe confirmarse el principio activo solicitado.</t>
  </si>
  <si>
    <t>No se identificó insulina corriente/regular humana. El material de insulina aspártica no corresponde al mismo tipo de insulina.</t>
  </si>
  <si>
    <t>No se encontró una descripción explícita de la sutura/material y calibres requeridos. No usar mononylon como ácido poliglicólico. Aclarar además la especificación genérica y comercial del master.</t>
  </si>
  <si>
    <t>No se identificó lubricante hidrosoluble explícito. Gel conductor, gel neutro, vaselina o geles de curación no se consideran equivalentes por una función parecida.</t>
  </si>
  <si>
    <t>No se encontró un set de férulas que declare uso pediátrico. Un inmovilizador pediátrico aislado o una férula digital no acredita el conjunto requerido.</t>
  </si>
  <si>
    <t>No se identificaron tarjetas de triage/trauma. Los formularios asistenciales genéricos no se proponen como sustitutos.</t>
  </si>
  <si>
    <t>Datos originales del relevamiento</t>
  </si>
  <si>
    <t>Fuente: Vademecum_Homologado_AVAIN__NQN-SJN.xlsx, hoja Homologación AVAIN. Se conservan las 285 filas originales.</t>
  </si>
  <si>
    <t>La confianza Alta/Media/Baja es histórica. No equivale a la aprobación de la base. Los campos de costo quedan fuera de este trabajo.</t>
  </si>
  <si>
    <t>Nomenclatura Original proviene de la homologación histórica a costos; la propuesta común usa Ítem Original.</t>
  </si>
  <si>
    <t>Fila en archivo original</t>
  </si>
  <si>
    <t>Tipo de Master</t>
  </si>
  <si>
    <t>ID Original</t>
  </si>
  <si>
    <t>Ítem Original</t>
  </si>
  <si>
    <t>Nomenclatura Original</t>
  </si>
  <si>
    <t>Código AVAIN Nqn</t>
  </si>
  <si>
    <t>Codigo AVAIN SJN</t>
  </si>
  <si>
    <t>Nomenclatura AVAIN Nqn</t>
  </si>
  <si>
    <t>Nomenclatura AVAIN SJN</t>
  </si>
  <si>
    <t>Nivel de Confianza NQN</t>
  </si>
  <si>
    <t>Nivel de Confianza SJN</t>
  </si>
  <si>
    <t>Observaciones NQN</t>
  </si>
  <si>
    <t>Observaciones SJN</t>
  </si>
  <si>
    <t>Categoría</t>
  </si>
  <si>
    <t>Principio Activo</t>
  </si>
  <si>
    <t>Concentración</t>
  </si>
  <si>
    <t>Forma</t>
  </si>
  <si>
    <t>Vía</t>
  </si>
  <si>
    <t>MEDICAMENTO</t>
  </si>
  <si>
    <t>SALBUTAMOL CON AEROCAMARA</t>
  </si>
  <si>
    <t>Coincidencia razonable de principio activo/nombre, pero con diferencias menores (forma, dosis o presentación) no confirmadas del todo: revisar antes de usar. Alternativa igualmente plausible: «VENTOLIN» (cód. 235).</t>
  </si>
  <si>
    <t>Coincidencia de nombre, principio activo y presentación con alta similitud textual.</t>
  </si>
  <si>
    <t>RESPIRATORIO · BRONCODILATADORES</t>
  </si>
  <si>
    <t>Salbutamol</t>
  </si>
  <si>
    <t>100 µg/dosis</t>
  </si>
  <si>
    <t>Inhalador</t>
  </si>
  <si>
    <t>Inhalatoria</t>
  </si>
  <si>
    <t>DICLOFENAC 75 COMP</t>
  </si>
  <si>
    <t>Se corrigió a "DICLOFENAC 75 COMP" (forma comprimido); el algoritmo había preferido por error la presentación en ampolla.</t>
  </si>
  <si>
    <t>ANALGÉSICOS Y ANTIINFLAMATORIOS</t>
  </si>
  <si>
    <t>Diclofenac sódico</t>
  </si>
  <si>
    <t>75 mg</t>
  </si>
  <si>
    <t>Comprimido</t>
  </si>
  <si>
    <t>Oral</t>
  </si>
  <si>
    <t>DICLOFENAC SODICO 75 MG AMPOLLA</t>
  </si>
  <si>
    <t>Coincidencia razonable de principio activo/nombre, pero con diferencias menores (forma, dosis o presentación) no confirmadas del todo: revisar antes de usar.</t>
  </si>
  <si>
    <t>75 mg / 3 ml</t>
  </si>
  <si>
    <t>Ampolla</t>
  </si>
  <si>
    <t>IM/EV</t>
  </si>
  <si>
    <t>No hay en AVAIN una solución hipertónica nasal ni glucosado hipertónico equivalente a "Hypersol"; el candidato más cercano por texto (Ringer Lactato) es una solución distinta. Se prefiere dejar sin homologar.</t>
  </si>
  <si>
    <t>No se encontró un equivalente confiable en AVAIN San Juan (catálogo SJN es más acotado que el de Neuquén: 125 códigos vs. 462).</t>
  </si>
  <si>
    <t>NaCl hipertónica</t>
  </si>
  <si>
    <t>-</t>
  </si>
  <si>
    <t>Spray nasal</t>
  </si>
  <si>
    <t>Nasal</t>
  </si>
  <si>
    <t>IBUPROFENO 600 MG CAPSULA BLANDA</t>
  </si>
  <si>
    <t>Coincidencia razonable de principio activo/nombre, pero con diferencias menores (forma, dosis o presentación) no confirmadas del todo: revisar antes de usar. Alternativa igualmente plausible: «IBUPROFENO600MGCAPSULABLANDA» (cód. 136).</t>
  </si>
  <si>
    <t>Ibuprofeno</t>
  </si>
  <si>
    <t>600 mg</t>
  </si>
  <si>
    <t>CORTEROID BETAMETASONA</t>
  </si>
  <si>
    <t>Se prefirió "CORTEROIDBETAMETASONA" (betametasona pura) sobre las combinaciones con diclofenac; AVAIN no especifica si es formulación retard.</t>
  </si>
  <si>
    <t>AVAIN SJN no tiene betametasona; el corticoide disponible más cercano es dexametasona (amp x 2 ml), principio activo distinto.</t>
  </si>
  <si>
    <t>CORTICOIDES</t>
  </si>
  <si>
    <t>Betametasona</t>
  </si>
  <si>
    <t>2 ml</t>
  </si>
  <si>
    <t>Fco. ampolla</t>
  </si>
  <si>
    <t>IM</t>
  </si>
  <si>
    <t>ANTIHISTAMÍNICOS / ANTIALÉRGICOS</t>
  </si>
  <si>
    <t>Crema/Spray</t>
  </si>
  <si>
    <t>Tópica</t>
  </si>
  <si>
    <t>AVAIN solo registra Omeprazol en comprimidos de 20 mg (uso oral); el ítem pide frasco-ampolla EV de 40 mg. Ni la forma farmacéutica ni la dosis coinciden: se prefiere dejar sin homologar.</t>
  </si>
  <si>
    <t>DIGESTIVO</t>
  </si>
  <si>
    <t>Omeprazol</t>
  </si>
  <si>
    <t>40 mg</t>
  </si>
  <si>
    <t>EV</t>
  </si>
  <si>
    <t>PARACETAMOL 500 MG</t>
  </si>
  <si>
    <t>Mismo principio activo; AVAIN SJN solo tiene la presentación de 1 g, no 500 mg. Dosis no coincide: verificar antes de usar (podría fraccionarse el comprimido).</t>
  </si>
  <si>
    <t>Paracetamol</t>
  </si>
  <si>
    <t>500 mg</t>
  </si>
  <si>
    <t>AMOXICILINA + AC. CLAVULANICO</t>
  </si>
  <si>
    <t>ANTIBIÓTICOS / ANTIVIRALES</t>
  </si>
  <si>
    <t>Amox+Clav</t>
  </si>
  <si>
    <t>1 g</t>
  </si>
  <si>
    <t>DIPIRONA AMP</t>
  </si>
  <si>
    <t>Dipirona</t>
  </si>
  <si>
    <t>1 g / 2 ml</t>
  </si>
  <si>
    <t>TRAMADOL 100 MG AMP</t>
  </si>
  <si>
    <t>Tramadol</t>
  </si>
  <si>
    <t>100 mg / 2 ml</t>
  </si>
  <si>
    <t>IM/EV/SC</t>
  </si>
  <si>
    <t>Cefalexina</t>
  </si>
  <si>
    <t>Azitromicina</t>
  </si>
  <si>
    <t>No se encontró un artículo equivalente confiable en AVAIN San Juan con la evidencia disponible.</t>
  </si>
  <si>
    <t>1 mg</t>
  </si>
  <si>
    <t>3 mg</t>
  </si>
  <si>
    <t>Comp. desleíble</t>
  </si>
  <si>
    <t>"Caramelos con antibiótico" (pastillas para garganta) no tiene equivalente identificable en AVAIN.</t>
  </si>
  <si>
    <t>AVAIN SJN no tiene caramelos "con antibiótico"; el único producto de la categoría es "Caramelos antigripales con benzocaína", con un principio activo distinto (anestésico local, no antibiótico).</t>
  </si>
  <si>
    <t>Pastilla</t>
  </si>
  <si>
    <t>MIDAZOLAM 5MG AMP</t>
  </si>
  <si>
    <t>Único registro de midazolam en AVAIN es de 5 mg por ampolla; el ítem pide 15 mg/3 ml (equivalente a 5 mg/ml en concentración, pero distinta presentación total). Revisar si corresponde usar varias ampollas de 5 mg o si existe otra presentación no cargada.</t>
  </si>
  <si>
    <t>SEDACIÓN · ANALGESIA · RSI</t>
  </si>
  <si>
    <t>Midazolam</t>
  </si>
  <si>
    <t>15 mg / 3 ml</t>
  </si>
  <si>
    <t>EV/IM</t>
  </si>
  <si>
    <t>FENTANILO AMP</t>
  </si>
  <si>
    <t>Fentanilo</t>
  </si>
  <si>
    <t>250 µg / 5 ml</t>
  </si>
  <si>
    <t>MORFINA 10MG AMP</t>
  </si>
  <si>
    <t>Morfina</t>
  </si>
  <si>
    <t>10 mg / 1 ml</t>
  </si>
  <si>
    <t>EV/IM/SC</t>
  </si>
  <si>
    <t>NALBUFINA AMP</t>
  </si>
  <si>
    <t>Nalbufina</t>
  </si>
  <si>
    <t>2 mg / ml</t>
  </si>
  <si>
    <t>10 mg / ml</t>
  </si>
  <si>
    <t>Coincidencia razonable de principio activo/nombre, pero con diferencias menores (forma, dosis o presentación) no confirmadas del todo: revisar antes de usar. Alternativa igualmente plausible: «CIPROFLOXACINA» (cód. 56).</t>
  </si>
  <si>
    <t>Ciprofloxacina</t>
  </si>
  <si>
    <t>ADRENALINA INY</t>
  </si>
  <si>
    <t>Coincidencia razonable de principio activo/nombre, pero con diferencias menores (forma, dosis o presentación) no confirmadas del todo: revisar antes de usar. Alternativa igualmente plausible: «ADRENALINAINY» (cód. 3).</t>
  </si>
  <si>
    <t>DROGAS RCP / PARO</t>
  </si>
  <si>
    <t>Adrenalina</t>
  </si>
  <si>
    <t>1 mg / 1 ml</t>
  </si>
  <si>
    <t>ATROPINA AMP</t>
  </si>
  <si>
    <t>Atropina</t>
  </si>
  <si>
    <t>AMIODARONA AMP</t>
  </si>
  <si>
    <t>Amiodarona</t>
  </si>
  <si>
    <t>150 mg / 3 ml</t>
  </si>
  <si>
    <t>ADENOSINA AMP</t>
  </si>
  <si>
    <t>Adenosina</t>
  </si>
  <si>
    <t>6 mg / 2 ml</t>
  </si>
  <si>
    <t>AVAIN solo registra Aciclovir en presentación tópica (ACICLOVIR 5% crema, cód. 1); no existe la forma oral 400 mg solicitada. Se prefiere dejar sin homologar antes que asignar un código de forma farmacéutica distinta.</t>
  </si>
  <si>
    <t>Aciclovir</t>
  </si>
  <si>
    <t>400 mg</t>
  </si>
  <si>
    <t>GLUCONATO DE CALCIO AMP</t>
  </si>
  <si>
    <t>Gluconato Ca</t>
  </si>
  <si>
    <t>10%</t>
  </si>
  <si>
    <t>200 mg / 5 ml</t>
  </si>
  <si>
    <t>Noradrenalina</t>
  </si>
  <si>
    <t>4 mg / 4 ml</t>
  </si>
  <si>
    <t>250 mg / 20 ml</t>
  </si>
  <si>
    <t>No se encontró cloruro de potasio en AVAIN. El candidato con mayor similitud de texto ("cloruro de sodio hipertónico") es un electrolito distinto: no corresponde homologar por el riesgo de confusión entre ambos.</t>
  </si>
  <si>
    <t>KCl</t>
  </si>
  <si>
    <t>EV (diluido)</t>
  </si>
  <si>
    <t>CARDIOVASCULAR</t>
  </si>
  <si>
    <t>ATENOLOL 50 MG COMP</t>
  </si>
  <si>
    <t>Coincidencia razonable de principio activo/nombre, pero con diferencias menores (forma, dosis o presentación) no confirmadas del todo: revisar antes de usar. Alternativa igualmente plausible: «ATENOLOL50MGCOMP» (cód. 314).</t>
  </si>
  <si>
    <t>Atenolol</t>
  </si>
  <si>
    <t>50 mg</t>
  </si>
  <si>
    <t>ENALAPRIL COMP</t>
  </si>
  <si>
    <t>Se corrigió a "ENALAPRIL COMP" (forma oral); el ítem pide comprimido, no la forma inyectable (enalaprilato).</t>
  </si>
  <si>
    <t>Enalapril</t>
  </si>
  <si>
    <t>10 mg</t>
  </si>
  <si>
    <t>AVAIN SJN solo registra Dextrosa al 5% (no 25%); volumen de 500 ml coincide (presentación en sachet). Concentración no coincide: verificar antes de usar.</t>
  </si>
  <si>
    <t>SOLUCIONES PARENTERALES</t>
  </si>
  <si>
    <t>Dextrosa 25%</t>
  </si>
  <si>
    <t>500 ml</t>
  </si>
  <si>
    <t>Baxter</t>
  </si>
  <si>
    <t>Losartán</t>
  </si>
  <si>
    <t>DINITRATO DE ISOSORBIDE</t>
  </si>
  <si>
    <t>Isosorbide DN</t>
  </si>
  <si>
    <t>5 mg</t>
  </si>
  <si>
    <t>Comprimido SL</t>
  </si>
  <si>
    <t>Sublingual</t>
  </si>
  <si>
    <t>Mismo principio activo y formato de ampolla (3 ml); AVAIN SJN no especifica la dosis por ampolla.</t>
  </si>
  <si>
    <t>25–50 mg</t>
  </si>
  <si>
    <t>Digoxina</t>
  </si>
  <si>
    <t>0,25 mg / 1 ml</t>
  </si>
  <si>
    <t>20 mg / 4 ml</t>
  </si>
  <si>
    <t>No se encontró nitroprusiato de sodio en AVAIN.</t>
  </si>
  <si>
    <t>20 mg</t>
  </si>
  <si>
    <t>2,5 mg</t>
  </si>
  <si>
    <t>30 mg</t>
  </si>
  <si>
    <t>Ác. tranexámico</t>
  </si>
  <si>
    <t>500 mg / 5 ml</t>
  </si>
  <si>
    <t>AVAIN no registra insulina corriente/regular; solo aparecen presentaciones de insulina de acción distinta (mix) o insumos de aplicación. No corresponde asignar un código de otro tipo de insulina.</t>
  </si>
  <si>
    <t>Insulina regular</t>
  </si>
  <si>
    <t>100 UI/ml</t>
  </si>
  <si>
    <t>SC/EV</t>
  </si>
  <si>
    <t>No se encontraron lágrimas artificiales en AVAIN.</t>
  </si>
  <si>
    <t>Coincidencia de nombre y categoría (lágrimas/lubricante oftálmico).</t>
  </si>
  <si>
    <t>OFTÁLMICOS</t>
  </si>
  <si>
    <t>Gotas oftálmicas</t>
  </si>
  <si>
    <t>Oftálmica</t>
  </si>
  <si>
    <t>Coincidencia de principio activo (ácido fusídico + betametasona); AVAIN no especifica forma farmacéutica (crema) en la nomenclatura.</t>
  </si>
  <si>
    <t>ANESTÉSICOS LOCALES / TÓPICOS</t>
  </si>
  <si>
    <t>Ác. fusídico+Beta</t>
  </si>
  <si>
    <t>15–50 g</t>
  </si>
  <si>
    <t>Crema</t>
  </si>
  <si>
    <t>DESCARTABLE</t>
  </si>
  <si>
    <t>GUIA MACROGOTERO V13/14</t>
  </si>
  <si>
    <t>ACCESOS VASCULARES</t>
  </si>
  <si>
    <t>Gasas 10x10cm</t>
  </si>
  <si>
    <t>Se corrigió a "Gasas 10 x 10 cm" (coincidencia exacta de tamaño); el algoritmo había preferido por error "Apósitos estériles", un producto distinto.</t>
  </si>
  <si>
    <t>CURACIÓN</t>
  </si>
  <si>
    <t>Apositos esteril</t>
  </si>
  <si>
    <t>DEXAMETASONA AMP</t>
  </si>
  <si>
    <t>Coincidencia razonable de principio activo/nombre, pero con diferencias menores (forma, dosis o presentación) no confirmadas del todo: revisar antes de usar. Alternativa igualmente plausible: «DECADRONA.L.DEXAMETASONA» (cód. 66).</t>
  </si>
  <si>
    <t>Dexametasona</t>
  </si>
  <si>
    <t>8 mg / 2 ml</t>
  </si>
  <si>
    <t>VENDA CAMBRIC 5CM</t>
  </si>
  <si>
    <t>AVAIN SJN solo tiene vendas de 7 cm de ancho; no hay presentación de 5 cm.</t>
  </si>
  <si>
    <t>HIDROCORTISONA 500 MG AMP</t>
  </si>
  <si>
    <t>Hidrocortisona</t>
  </si>
  <si>
    <t>AVAIN SJN solo tiene vendas de 7 cm de ancho; no hay presentación de 10 cm.</t>
  </si>
  <si>
    <t>Difenhidramina</t>
  </si>
  <si>
    <t>LORATADINA COMP</t>
  </si>
  <si>
    <t>Loratadina</t>
  </si>
  <si>
    <t>Cinta adhesiva traspore</t>
  </si>
  <si>
    <t>Coincidencia exacta de nombre y medida (5 cm).</t>
  </si>
  <si>
    <t>METOCLOPRAMIDA AMP</t>
  </si>
  <si>
    <t>Coincidencia razonable de principio activo/nombre, pero con diferencias menores (forma, dosis o presentación) no confirmadas del todo: revisar antes de usar. Alternativa igualmente plausible: «RELIVERAN» (cód. 196).</t>
  </si>
  <si>
    <t>Metoclopramida</t>
  </si>
  <si>
    <t>10 mg / 2 ml</t>
  </si>
  <si>
    <t>TEST DE DROGA SALIVA (CAJA X 25 UNIDADES)</t>
  </si>
  <si>
    <t>AVAIN registra "guantes látex S" como posible equivalente genérico de guantes de examen; no se especifica si son estériles o no ni la cantidad por caja.</t>
  </si>
  <si>
    <t>Coincidencia razonable de principio activo/nombre, pero con diferencias menores (forma, dosis o presentación) no confirmadas del todo: revisar antes de usar. Alternativa igualmente plausible: «Guantes de examinacion G c/u» (cód. DESC67).</t>
  </si>
  <si>
    <t>BIOSEGURIDAD</t>
  </si>
  <si>
    <t>HIOSCINA SIMPLE AMP</t>
  </si>
  <si>
    <t>Coincidencia razonable de principio activo/nombre, pero con diferencias menores (forma, dosis o presentación) no confirmadas del todo: revisar antes de usar. Alternativa igualmente plausible: «BUSCAPINA» (cód. 36).</t>
  </si>
  <si>
    <t>Hioscina</t>
  </si>
  <si>
    <t>20 mg / ml</t>
  </si>
  <si>
    <t>BOLSA COLECTORA ORINA</t>
  </si>
  <si>
    <t>20 mg / 2,5 g / 5 ml</t>
  </si>
  <si>
    <t>No se encontró test de troponina en AVAIN.</t>
  </si>
  <si>
    <t>MONITOREO / DIAGNÓSTICO</t>
  </si>
  <si>
    <t>Al/Mg hidróxido</t>
  </si>
  <si>
    <t>Comp. masticable</t>
  </si>
  <si>
    <t>EQUIPAMIENTO</t>
  </si>
  <si>
    <t>TUBO ENDOTRAQUEALES 8.5</t>
  </si>
  <si>
    <t>AVAIN solo tiene un tubo de oxígeno portátil de 0,500 m³ (cód. 290); no hay un tubo fijo de 7 m³. Diferencia de capacidad y tipo de instalación demasiado grande para homologar con confianza.</t>
  </si>
  <si>
    <t>ELECTROMEDICINA</t>
  </si>
  <si>
    <t>200/120 mg</t>
  </si>
  <si>
    <t>SRO</t>
  </si>
  <si>
    <t>Polvo (sobre)</t>
  </si>
  <si>
    <t>DIAZEPAM AMP</t>
  </si>
  <si>
    <t>Coincidencia razonable de principio activo/nombre, pero con diferencias menores (forma, dosis o presentación) no confirmadas del todo: revisar antes de usar. Alternativa igualmente plausible: «DIAZEPAMAMP» (cód. 77).</t>
  </si>
  <si>
    <t>ANTICONVULSIVANTES / NEURO</t>
  </si>
  <si>
    <t>Diazepam</t>
  </si>
  <si>
    <t>FENITOINA AMP</t>
  </si>
  <si>
    <t>Fenitoína</t>
  </si>
  <si>
    <t>TABLA RIGIDA c/INMOVILIZADOR CERVICAL</t>
  </si>
  <si>
    <t>Coincidencia directa: "tabla rígida con inmovilizador cervical" corresponde a la tabla larga rígida solicitada.</t>
  </si>
  <si>
    <t>INMOVILIZACIÓN / TRAUMA</t>
  </si>
  <si>
    <t>CHALECO ESTIRCACION (KENDRICH)</t>
  </si>
  <si>
    <t>HALOPERIDOL AMP</t>
  </si>
  <si>
    <t>Haloperidol</t>
  </si>
  <si>
    <t>5 mg / 1 ml</t>
  </si>
  <si>
    <t>NALOXONA AMP</t>
  </si>
  <si>
    <t>Coincidencia razonable de principio activo/nombre, pero con diferencias menores (forma, dosis o presentación) no confirmadas del todo: revisar antes de usar. Alternativa igualmente plausible: «NALOXONAAMP» (cód. 166).</t>
  </si>
  <si>
    <t>ANTÍDOTOS</t>
  </si>
  <si>
    <t>Naloxona</t>
  </si>
  <si>
    <t>0,4 mg / ml</t>
  </si>
  <si>
    <t>FLUMAZENIL AMP</t>
  </si>
  <si>
    <t>Flumazenil</t>
  </si>
  <si>
    <t>0,5 mg / 5 ml</t>
  </si>
  <si>
    <t>AVAIN no tiene un collar cervical como artículo independiente; solo existe combinado dentro de "tabla rígida c/inmovilizador cervical" (cód. 422), que es un producto distinto (tabla espinal, no collar).</t>
  </si>
  <si>
    <t>Coincidencia exacta de nombre (suero antiofídico polivalente = antiveneno); AVAIN lo registra como una sola palabra.</t>
  </si>
  <si>
    <t>Antiveneno</t>
  </si>
  <si>
    <t>Liofilizado+amp</t>
  </si>
  <si>
    <t>"AMBU" es el nombre comercial estándar para la bolsa-válvula-máscara solicitada.</t>
  </si>
  <si>
    <t>VÍA AÉREA (NO DESC.)</t>
  </si>
  <si>
    <t>No se encontró pinza de Magill en AVAIN.</t>
  </si>
  <si>
    <t>Coincidencia razonable de principio activo/nombre, pero con diferencias menores (forma, dosis o presentación) no confirmadas del todo: revisar antes de usar. Alternativa igualmente plausible: «ClaritromicinaAmp.» (cód. 510).</t>
  </si>
  <si>
    <t>Claritromicina</t>
  </si>
  <si>
    <t>300 mg</t>
  </si>
  <si>
    <t>No se encontró trimetoprima-sulfametoxazol (Bactrim Forte) en AVAIN.</t>
  </si>
  <si>
    <t>TMP-SMX</t>
  </si>
  <si>
    <t>800/160 mg</t>
  </si>
  <si>
    <t>No se encontró un artículo equivalente confiable en AVAIN con la evidencia disponible.</t>
  </si>
  <si>
    <t>Amp/Sulb</t>
  </si>
  <si>
    <t>1000/500 mg</t>
  </si>
  <si>
    <t>"2.4 millones" (AVAIN) equivale a 2.400.000 UI. Coincidencia de dosis confirmada tras normalizar formato numérico.</t>
  </si>
  <si>
    <t>Pen. benzatínica</t>
  </si>
  <si>
    <t>2.400.000 UI</t>
  </si>
  <si>
    <t>Tensiometro manual + estetoscopio</t>
  </si>
  <si>
    <t>CONTROL SIGNOS VITALES</t>
  </si>
  <si>
    <t>FUROSEMIDA AMP</t>
  </si>
  <si>
    <t>Se prefirió FUROSEMIDA AMP (forma ampolla, coincide con la vía EV/IM solicitada) por sobre FUROSEMIDA COMP 40MG (forma comprimido, no coincide con "amp." del ítem). AVAIN no especifica la dosis por ampolla; no se pudo confirmar 20 mg/2 ml.</t>
  </si>
  <si>
    <t>Mismo principio activo y formato de ampolla (2 ml); AVAIN SJN no especifica la dosis por ampolla.</t>
  </si>
  <si>
    <t>DIURÉTICOS</t>
  </si>
  <si>
    <t>Furosemida</t>
  </si>
  <si>
    <t>20 mg / 2 ml</t>
  </si>
  <si>
    <t>250 mg</t>
  </si>
  <si>
    <t>No se encontró hidroclorotiazida en AVAIN; el candidato más cercano por texto es hidrocortisona, un principio activo distinto.</t>
  </si>
  <si>
    <t>Mismo principio activo; AVAIN SJN solo tiene la presentación de 50 mg, no 25 mg. Dosis no coincide: verificar antes de usar.</t>
  </si>
  <si>
    <t>HCTZ</t>
  </si>
  <si>
    <t>25 mg</t>
  </si>
  <si>
    <t>15% / 500 ml</t>
  </si>
  <si>
    <t>DEXTROSA AL 5 %</t>
  </si>
  <si>
    <t>AVAIN no tiene Dextrosa al 5%; solo Dextrosa 10% (cód. 75), Dextrosa 25% (cód. 516) y una entrada genérica "SOLUCION DEXTROSA" sin concentración especificada (cód. 211, elegida). Verificar concentración real disponible en depósito.</t>
  </si>
  <si>
    <t>Dextrosa 5%</t>
  </si>
  <si>
    <t>Cubre-camilla</t>
  </si>
  <si>
    <t>ALTA COMPLEJIDAD (SHOCK)</t>
  </si>
  <si>
    <t>COMPONENTE KIT</t>
  </si>
  <si>
    <t>MASCARA DE OXIGENO CON RESERVORIO</t>
  </si>
  <si>
    <t>BOLSO DE VÍA AÉREA (adulto)</t>
  </si>
  <si>
    <t>10 ml / 250 mg/ml</t>
  </si>
  <si>
    <t>Guantes no esteriles M</t>
  </si>
  <si>
    <t>No se encontraron mandriles/guías estériles en AVAIN.</t>
  </si>
  <si>
    <t>No se encontró guía/bougie de Eschmann en AVAIN.</t>
  </si>
  <si>
    <t>Sonda de aspiracion</t>
  </si>
  <si>
    <t>Coincidencia razonable de concepto (sonda de aspiración con regulador); el calibre en AVAIN (32P) difiere levemente de K30.</t>
  </si>
  <si>
    <t>Calibre más cercano disponible es K29 (no K30); AVAIN SJN no especifica si incluye regulador.</t>
  </si>
  <si>
    <t>VIBRAGEL (NASAL)</t>
  </si>
  <si>
    <t>Fluoresceína</t>
  </si>
  <si>
    <t>5 ml</t>
  </si>
  <si>
    <t>LIDOCAINA S/EPI 1% AMP</t>
  </si>
  <si>
    <t>Se corrigió a "LIDOCAINA 2% SIN EPINEFRINA X5ML", que coincide exactamente con la concentración solicitada (2%); el algoritmo había preferido por error XILOCAINA 5%.</t>
  </si>
  <si>
    <t>Lidocaína</t>
  </si>
  <si>
    <t>20 mg/ml / 5 ml</t>
  </si>
  <si>
    <t>SC/infiltr.</t>
  </si>
  <si>
    <t>AVAIN no tiene un collar cervical como artículo independiente; solo existe combinado dentro de "tabla rígida c/inmovilizador cervical" (cód. 422), que es un producto distinto.</t>
  </si>
  <si>
    <t>BOLSO DE TRAUMA</t>
  </si>
  <si>
    <t>LIDOCAINA EN JALEA</t>
  </si>
  <si>
    <t>25 ml</t>
  </si>
  <si>
    <t>Pomo</t>
  </si>
  <si>
    <t>No se encontró sulfadiazina de plata en AVAIN.</t>
  </si>
  <si>
    <t>Sulfadiazina Ag</t>
  </si>
  <si>
    <t>Crema/Ungüento</t>
  </si>
  <si>
    <t>Guantes n°7</t>
  </si>
  <si>
    <t>Coincidencia razonable de principio activo/nombre, pero con diferencias menores (forma, dosis o presentación) no confirmadas del todo: revisar antes de usar. Alternativa igualmente plausible: «Guantesn°8» (cód. 275).</t>
  </si>
  <si>
    <t>Coincidencia razonable de principio activo/nombre, pero con diferencias menores (forma, dosis o presentación) no confirmadas del todo: revisar antes de usar. Alternativa igualmente plausible: «Guantes de examinacion M c/u» (cód. DESC68).</t>
  </si>
  <si>
    <t>OTROS</t>
  </si>
  <si>
    <t>Jeringa prellenada</t>
  </si>
  <si>
    <t>SC</t>
  </si>
  <si>
    <t>RIFAMICINA SV 1% X 30ML</t>
  </si>
  <si>
    <t>Rifamicina</t>
  </si>
  <si>
    <t>30 ml</t>
  </si>
  <si>
    <t>Spray</t>
  </si>
  <si>
    <t>AVAIN no tiene Abbocath Nº 22; alternativas más cercanas por calibre: Nº 20 (cód. 266, elegido) y Nº 24 (cód. 267). Confirmar calibre exacto requerido.</t>
  </si>
  <si>
    <t>No se encontró llave de 3 vías en AVAIN.</t>
  </si>
  <si>
    <t>No se encontró aguja mariposa (butterfly/scalp vein) en AVAIN.</t>
  </si>
  <si>
    <t>AVAIN solo tiene "sábana para quemado estéril"; no hay una sábana estéril genérica. Verificar si corresponde este uso específico.</t>
  </si>
  <si>
    <t>BOLSO PEDIÁTRICO</t>
  </si>
  <si>
    <t>AVAIN solo tiene "AMBU" genérico (sin distinción adulto/pediátrico ni reservorio); no se pudo confirmar la versión pediátrica con reservorio.</t>
  </si>
  <si>
    <t>sonda k30</t>
  </si>
  <si>
    <t>Coincidencia de categoría (sonda nasogástrica); AVAIN solo especifica calibre Nº10, no el calibre pediátrico K30/K33 solicitado.</t>
  </si>
  <si>
    <t>BOLSO DE QUEMADO</t>
  </si>
  <si>
    <t>Coincidencia razonable de principio activo/nombre, pero con diferencias menores (forma, dosis o presentación) no confirmadas del todo: revisar antes de usar. Alternativa igualmente plausible: «VENDACAMBRIC5CM» (cód. 334).</t>
  </si>
  <si>
    <t>No se encontró Steri-Strip en AVAIN.</t>
  </si>
  <si>
    <t>AGUA OXIGENADA 500 Ml</t>
  </si>
  <si>
    <t>AVAIN registra solución fisiológica genérica sin volumen especificado; existe además una presentación de 5 ml (cód. 213) que no corresponde al uso de lavado.</t>
  </si>
  <si>
    <t>SUTURAS</t>
  </si>
  <si>
    <t>No se encontró sutura de ácido poliglicólico / Vicryl en AVAIN.</t>
  </si>
  <si>
    <t>El ítem agrupa 4 equipos distintos; de ellos, AVAIN SJN solo tiene Saturómetro como artículo individual (DESC113). No se encontraron tensiómetro, estetoscopio ni termómetro por separado en este listado, aunque el estetoscopio y el termómetro digital sí están homologados en otras filas del master.</t>
  </si>
  <si>
    <t>BOLSO PRIMERA RESPUESTA</t>
  </si>
  <si>
    <t>"AMBU" es el nombre comercial estándar para la bolsa de resucitación manual.</t>
  </si>
  <si>
    <t>Coincidencia exacta de nombre y tipo (N95 c/válvula).</t>
  </si>
  <si>
    <t>Coincidencia razonable de principio activo/nombre, pero con diferencias menores (forma, dosis o presentación) no confirmadas del todo: revisar antes de usar. Alternativa igualmente plausible: «DESCARTADORCORTOPUZANTES7LTS» (cód. 360).</t>
  </si>
  <si>
    <t>El ítem agrupa 3 insumos distintos; AVAIN SJN solo tiene "Apósitos estériles" como artículo individual de los tres (gasas y vendas se homologan por separado en otras filas).</t>
  </si>
  <si>
    <t>FURASIN GASA</t>
  </si>
  <si>
    <t>No se encontró gasa hemostática en AVAIN.</t>
  </si>
  <si>
    <t>No se encontró cánula nasal de oxígeno (bigotera) en AVAIN. El candidato con mayor similitud de texto ("cánula de Mayo") es un producto distinto (vía aérea orofaríngea, no cánula nasal).</t>
  </si>
  <si>
    <t>Coincidencia directa de nombre y función (cánula nasal de oxígeno).</t>
  </si>
  <si>
    <t>VÍA AÉREA / SONDAS</t>
  </si>
  <si>
    <t>No se encontró un equivalente confiable en AVAIN San Juan (catálogo SJN es más acotado que el de Neuquén: 125 códigos vs. 462). (el candidato con mayor similitud de texto, "Apósitos estériles", es un producto distinto: apósito/gasa, no campo quirúrgico).</t>
  </si>
  <si>
    <t>KIT BIOSEGURIDAD</t>
  </si>
  <si>
    <t>AAS = Ácido acetilsalicílico = Aspirina (equivalencia de nombre comercial/genérico). Coincidencia de principio activo confirmada.</t>
  </si>
  <si>
    <t>AAS</t>
  </si>
  <si>
    <t>100 mg</t>
  </si>
  <si>
    <t>DICLOFENAC + PRIDINOL</t>
  </si>
  <si>
    <t>Diclofenac+Pridinol</t>
  </si>
  <si>
    <t>50/4 mg</t>
  </si>
  <si>
    <t>Coincidencia razonable de principio activo/nombre, pero con diferencias menores (forma, dosis o presentación) no confirmadas del todo: revisar antes de usar. Alternativa igualmente plausible: «KETOROLAC» (cód. 146).</t>
  </si>
  <si>
    <t>Ketorolac</t>
  </si>
  <si>
    <t>Coincidencia razonable de principio activo/nombre, pero con diferencias menores (forma, dosis o presentación) no confirmadas del todo: revisar antes de usar. Alternativa igualmente plausible: «KETOROLACSL» (cód. 148).</t>
  </si>
  <si>
    <t>Coincidencia razonable de principio activo/nombre, pero con diferencias menores (forma, dosis o presentación) no confirmadas del todo: revisar antes de usar. Alternativa igualmente plausible: «CANULASDEMAYON°4» (cód. 355).</t>
  </si>
  <si>
    <t>30 mg / 1 ml</t>
  </si>
  <si>
    <t>No se encontraron electrodos de ECG en AVAIN.</t>
  </si>
  <si>
    <t>DIPIRONA COMP</t>
  </si>
  <si>
    <t>No se encontró dipirona/metamizol en AVAIN SJN. El candidato con mayor similitud de texto (Ibuprofeno) es un principio activo distinto: no corresponde homologar.</t>
  </si>
  <si>
    <t>No se encontraron lancetas en AVAIN.</t>
  </si>
  <si>
    <t>37,5/325 mg</t>
  </si>
  <si>
    <t>No se encontró rollo de papel para electrocardiógrafo en AVAIN.</t>
  </si>
  <si>
    <t>Coincidencia exacta de producto (rollo de papel para electrocardiógrafo).</t>
  </si>
  <si>
    <t>ALCOHOL ETILICO 96% X 1 LTS</t>
  </si>
  <si>
    <t>ANTISÉPTICOS</t>
  </si>
  <si>
    <t>MELOXICAM 15G</t>
  </si>
  <si>
    <t>Meloxicam</t>
  </si>
  <si>
    <t>15 mg</t>
  </si>
  <si>
    <t>SUCCINILCOLINA 500 MG</t>
  </si>
  <si>
    <t>Único registro de succinilcolina en AVAIN es de 500 mg; el ítem del vademécum pide 100 mg. Mismo principio activo pero concentración distinta a la disponible: revisar antes de usar (puede tratarse de la única presentación estocada).</t>
  </si>
  <si>
    <t>Succinilcolina</t>
  </si>
  <si>
    <t>BICABORNATO MOLAR SCT</t>
  </si>
  <si>
    <t>Equivalencia farmacéutica estándar: "solución molar de bicarbonato de sodio" corresponde a una concentración de 8,4% (1 mEq/mL). El "100" en la nomenclatura AVAIN indica volumen (100 ml), no concentración.</t>
  </si>
  <si>
    <t>Mismo principio activo (bicarbonato de sodio); AVAIN SJN no especifica la concentración (solo volumen: frasco de 100 ml).</t>
  </si>
  <si>
    <t>Bicarbonato Na</t>
  </si>
  <si>
    <t>8,4%</t>
  </si>
  <si>
    <t>Ampolla/Sachet</t>
  </si>
  <si>
    <t>No se encontró electrocardiógrafo en AVAIN.</t>
  </si>
  <si>
    <t>No se encontró monitor multiparamétrico en AVAIN.</t>
  </si>
  <si>
    <t>Amlodipina</t>
  </si>
  <si>
    <t>Mg sulfato</t>
  </si>
  <si>
    <t>25%</t>
  </si>
  <si>
    <t>SALBUTAMOL SOLUCION PARA NEBULIZAR</t>
  </si>
  <si>
    <t>Coincidencia razonable de principio activo/nombre, pero con diferencias menores (forma, dosis o presentación) no confirmadas del todo: revisar antes de usar. Alternativa igualmente plausible: «SALBUTAMOL» (cód. 204).</t>
  </si>
  <si>
    <t>5 mg/ml</t>
  </si>
  <si>
    <t>Frasco gotero</t>
  </si>
  <si>
    <t>Nebulización</t>
  </si>
  <si>
    <t>IPRATROPIO BROMURO AEROSOL X 250 DOSIS</t>
  </si>
  <si>
    <t>Coincidencia razonable de principio activo/nombre, pero con diferencias menores (forma, dosis o presentación) no confirmadas del todo: revisar antes de usar. Alternativa igualmente plausible: «BROMURODEIPRATROPIO» (cód. 465).</t>
  </si>
  <si>
    <t>Ipratropio</t>
  </si>
  <si>
    <t>0,25 mg/ml</t>
  </si>
  <si>
    <t>AVAIN solo tiene aspirador manual; no hay un aspirador de secreciones eléctrico.</t>
  </si>
  <si>
    <t>Coincidencia razonable de principio activo/nombre, pero con diferencias menores (forma, dosis o presentación) no confirmadas del todo: revisar antes de usar. Alternativa igualmente plausible: «Budesonide» (cód. 315).</t>
  </si>
  <si>
    <t>Budesonide</t>
  </si>
  <si>
    <t>200 µg</t>
  </si>
  <si>
    <t>Coincidencia parcial de categoría (equipo respirador); AVAIN lo describe como "fijo en ambulancia", no como ciclador de transporte portátil.</t>
  </si>
  <si>
    <t>No se encontró bomba de infusión continua en AVAIN.</t>
  </si>
  <si>
    <t>DEXAMETASONA COMP</t>
  </si>
  <si>
    <t>4 mg</t>
  </si>
  <si>
    <t>Dimenhidrinato</t>
  </si>
  <si>
    <t>Coincidencia de principio activo, dosis y forma comprimido; existe además una presentación específica sublingual (MED132) si corresponde esa vía.</t>
  </si>
  <si>
    <t>Comprimido (SL)</t>
  </si>
  <si>
    <t>Oral/SL</t>
  </si>
  <si>
    <t>BUSCAPINA ® HIOSCINA BUTILBROMURO</t>
  </si>
  <si>
    <t>Mismo principio activo; AVAIN SJN solo tiene presentación en ampolla de 20 mg, no comprimido de 10 mg. Forma y dosis no coinciden: verificar antes de usar.</t>
  </si>
  <si>
    <t>LOPERAMIDA COMP</t>
  </si>
  <si>
    <t>Loperamida</t>
  </si>
  <si>
    <t>2 mg</t>
  </si>
  <si>
    <t>LORAZEPAM SUBLINGUAL COMP</t>
  </si>
  <si>
    <t>Único registro de lorazepam en AVAIN es comprimido sublingual; el ítem pide ampolla EV de 4 mg. Forma farmacéutica y dosis no coinciden: verificar antes de usar.</t>
  </si>
  <si>
    <t>Lorazepam</t>
  </si>
  <si>
    <t>4 mg / 1 ml</t>
  </si>
  <si>
    <t>AVAIN registra "férulas con cierre abrojo (juegos)", que corresponde mejor al set de férulas rígidas/inflables que la alternativa de férulas digitales.</t>
  </si>
  <si>
    <t>CLONAZEPAN SL</t>
  </si>
  <si>
    <t>Clonazepam</t>
  </si>
  <si>
    <t>CARBÓN ACTIVADO</t>
  </si>
  <si>
    <t>30 g</t>
  </si>
  <si>
    <t>Polvo/Bolsa</t>
  </si>
  <si>
    <t>SOLUCIÓN FISIOLÓGICA</t>
  </si>
  <si>
    <t>AVAIN registra solución fisiológica genérica sin volumen especificado; existe además una presentación de 5 ml (cód. 213) que no corresponde al volumen de 500 ml solicitado.</t>
  </si>
  <si>
    <t>NaCl 0,9%</t>
  </si>
  <si>
    <t>SOLUCIÓN RINGER LACTATO</t>
  </si>
  <si>
    <t>Ringer lactato</t>
  </si>
  <si>
    <t>AGUA DESTILADA AMP</t>
  </si>
  <si>
    <t>Agua destilada</t>
  </si>
  <si>
    <t>Diluyente</t>
  </si>
  <si>
    <t>No se encontró guía/vara de Eschmann en AVAIN.</t>
  </si>
  <si>
    <t>No se encontró set de cricotomía en AVAIN (el candidato con mayor similitud de texto, "CIRIACOTIX", es un producto en gotas sin relación).</t>
  </si>
  <si>
    <t>No se encontró set de vía central en AVAIN.</t>
  </si>
  <si>
    <t>No se encontró catéter de drenaje torácico con trócar en AVAIN.</t>
  </si>
  <si>
    <t>GOTAS OFTÁLMICAS (TOBRA + DEXA)</t>
  </si>
  <si>
    <t>Coincide el antibiótico (ciprofloxacina); el corticoide difiere (AVAIN: hidrocortisona; ítem pide dexametasona). Verificar si es la combinación correcta.</t>
  </si>
  <si>
    <t>Cipro+Dexa</t>
  </si>
  <si>
    <t>POEN CAINAPOEN CAINA ® PROPARACAINA CLORHIDRATO 500 MG</t>
  </si>
  <si>
    <t>Única coincidencia de principio activo (proparacaína) en AVAIN; la nomenclatura expresa la concentración como "500 mg" en vez de "%", formato no directamente comparable. Verificar equivalencia de concentración antes de usar.</t>
  </si>
  <si>
    <t>Proparacaína</t>
  </si>
  <si>
    <t>0,5% / 10 ml</t>
  </si>
  <si>
    <t>LIDOCAINA 2 % SIN EPINEFRINA X 5 ML</t>
  </si>
  <si>
    <t>Coincidencia razonable de principio activo/nombre, pero con diferencias menores (forma, dosis o presentación) no confirmadas del todo: revisar antes de usar. Alternativa igualmente plausible: «LIDOCAINA2%SINEPINEFRINAX5ML» (cód. 150).</t>
  </si>
  <si>
    <t>Lido+Epi</t>
  </si>
  <si>
    <t>2%</t>
  </si>
  <si>
    <t>Infiltración</t>
  </si>
  <si>
    <t>VACUNA ANTITETANICA BIOL ®</t>
  </si>
  <si>
    <t>dT</t>
  </si>
  <si>
    <t>No se encontró linterna ni martillo de reflejos en AVAIN.</t>
  </si>
  <si>
    <t>No se encontró dispositivo de acceso intraóseo en AVAIN.</t>
  </si>
  <si>
    <t>Jeringa 5ml</t>
  </si>
  <si>
    <t>Coincidencia razonable de principio activo/nombre, pero con diferencias menores (forma, dosis o presentación) no confirmadas del todo: revisar antes de usar. Alternativa igualmente plausible: «JERINGAS10ML» (cód. 246).</t>
  </si>
  <si>
    <t>JERINGAS Y AGUJAS</t>
  </si>
  <si>
    <t>AVAIN no tiene jeringa de 20 cc; solo 1 ml (cód. 302), 5 ml (cód. 254) y 10 ml (cód. 246, elegida por ser la de mayor volumen disponible). Verificar si se puede sustituir por dos jeringas de 10 ml o si falta cargar el calibre de 20 ml.</t>
  </si>
  <si>
    <t>Aguja 15/8</t>
  </si>
  <si>
    <t>CURITAS X UNID</t>
  </si>
  <si>
    <t>HOJA BISTURI</t>
  </si>
  <si>
    <t>AVAIN no tiene hojas de bisturí Nº 20 ni Nº 22; solo Nº 10 (cód. 474), Nº 15 (cód. 475) y una entrada genérica "HOJA BISTURI" (cód. 132, elegida por no especificar calibre). Revisar tamaño real necesario.</t>
  </si>
  <si>
    <t>"7,5" corresponde a "7 1/2" en la nomenclatura AVAIN (Guantesn°7 1/2, cód. 276).</t>
  </si>
  <si>
    <t>No se encontró lubricante hidrosoluble en AVAIN.</t>
  </si>
  <si>
    <t>Se corrigió a "Guantesn°8" específico (cód. 275); el algoritmo había preferido la entrada genérica "GUANTES ESTERILES".</t>
  </si>
  <si>
    <t>No se encontró filtro MHEF (intercambiador de calor y humedad) en AVAIN.</t>
  </si>
  <si>
    <t>MHEF (filtro humidificador-intercambiador de calor) corresponde a "Filtro para ventilación artificial"; AVAIN SJN no especifica si es exactamente tipo MHEF.</t>
  </si>
  <si>
    <t>mascara nebulizar</t>
  </si>
  <si>
    <t>Sonda nasogastrica N° 9</t>
  </si>
  <si>
    <t>No se encontraron antiparras/gafas de protección en AVAIN.</t>
  </si>
  <si>
    <t>sonda foley 16</t>
  </si>
  <si>
    <t>Coincidencia razonable de principio activo/nombre, pero con diferencias menores (forma, dosis o presentación) no confirmadas del todo: revisar antes de usar. Alternativa igualmente plausible: «sondafoley18» (cód. 347).</t>
  </si>
  <si>
    <t>El ítem no especifica tamaño; AVAIN codifica cada cánula de Mayo por separado (Nº2 a Nº5, se eligió Nº3 como referencia central). Verificar tamaño real necesario.</t>
  </si>
  <si>
    <t>TUBO ENDOTRAQUEAL 7.5</t>
  </si>
  <si>
    <t>Coincidencia razonable de principio activo/nombre, pero con diferencias menores (forma, dosis o presentación) no confirmadas del todo: revisar antes de usar. Alternativa igualmente plausible: «TUBOENDOTRAQUEALN°7» (cód. 364).</t>
  </si>
  <si>
    <t>El ítem agrupa varios calibres; AVAIN SJN tiene cada uno por separado: Nº7 (DESC155), Nº7,5 (DESC156, elegido), Nº8 (DESC157). Verificar cuál calibre corresponde.</t>
  </si>
  <si>
    <t>Mascara laringea n°4</t>
  </si>
  <si>
    <t>Coincidencia razonable de principio activo/nombre, pero con diferencias menores (forma, dosis o presentación) no confirmadas del todo: revisar antes de usar. Alternativa igualmente plausible: «Mascaralaringean°4» (cód. 283).</t>
  </si>
  <si>
    <t>TIRAS REACTIVAS HGT</t>
  </si>
  <si>
    <t>AVAIN registra "férulas con cierre abrojo (juegos)", que corresponde mejor al set de férulas que la alternativa de férulas digitales.</t>
  </si>
  <si>
    <t>IODOPOVIDONA 1000 ML</t>
  </si>
  <si>
    <t>Se prefirió IODOPOVIDONA 1000ML (cód. 137) sobre la presentación de 100 ml porque "1 L" del vademécum equivale a 1000 ml. Concentración 10% asumida como estándar de la línea de iodopovidona solución.</t>
  </si>
  <si>
    <t>Mismo principio activo; AVAIN SJN solo especifica 100 ml solución tópica, no 1 L. Volumen no coincide: verificar antes de usar.</t>
  </si>
  <si>
    <t>Se corrigió a "AGUA OXIGENADA 1LTS" (1000 ml); coincide exactamente con el volumen solicitado, a diferencia de la presentación de 500 ml.</t>
  </si>
  <si>
    <t>AVAIN SJN solo tiene agua oxigenada de 100 ml; no hay presentación de 1000 ml. Volumen no coincide: verificar antes de usar.</t>
  </si>
  <si>
    <t>AVAIN registra solución fisiológica genérica sin volumen especificado; existe además una presentación de 5 ml (cód. 213) que no corresponde al uso de lavado en frasco.</t>
  </si>
  <si>
    <t>DESFIBRILADOR DEA (ultima generacion)</t>
  </si>
  <si>
    <t>No se encontró linterna en AVAIN.</t>
  </si>
  <si>
    <t>AVAIN registra "férulas con cierre abrojo (juegos)", más acorde a un set de férulas que la alternativa de férulas digitales; no distingue tamaño pediátrico.</t>
  </si>
  <si>
    <t>OXIMETRO DE PULSO</t>
  </si>
  <si>
    <t>ASPIRADOR MANUAL</t>
  </si>
  <si>
    <t>TUBO DE O2 0,500 MTRS CUBICOS PORTATIL</t>
  </si>
  <si>
    <t>Único tubo de oxígeno portátil en AVAIN es de 0,500 m³; difiere de la capacidad de 2 m³ solicitada.</t>
  </si>
  <si>
    <t>Se corrigió a "CAMILLA ARTICULADA" (camilla real); el algoritmo había preferido por error "Cubre-camilla" (funda/cobertor, no la camilla en sí).</t>
  </si>
  <si>
    <t>SILLA DE RUEDAS PORTATIL</t>
  </si>
  <si>
    <t>Coincidencia directa de nombre y función.</t>
  </si>
  <si>
    <t>El ítem agrupa dos calibres; AVAIN SJN tiene Nº 22 (cód. DESC5) pero no Nº 24. Se usó el calibre coincidente.</t>
  </si>
  <si>
    <t>Coincidencia razonable de principio activo/nombre, pero con diferencias menores (forma, dosis o presentación) no confirmadas del todo: revisar antes de usar. Alternativa igualmente plausible: «MASCARAPARANEBULIZAR» (cód. 366).</t>
  </si>
  <si>
    <t>El ítem agrupa varios calibres; AVAIN SJN tiene cada uno por separado: Nº7 (DESC155), Nº7,5 (DESC156, elegido), Nº8 (DESC157), Nº8,5 (DESC158). Verificar cuál calibre corresponde.</t>
  </si>
  <si>
    <t>"Saturómetro" y "oxímetro de pulso" son sinónimos del mismo dispositivo.</t>
  </si>
  <si>
    <t>PARCHES DEA (juego)</t>
  </si>
  <si>
    <t>AVAIN registra "salbutamol con aerocámara" como kit combinado; no existe la aerocámara como artículo separado.</t>
  </si>
  <si>
    <t>El ítem agrupa varios tamaños (9-10-12 mm) mientras que AVAIN codifica cada cánula de Mayo por separado: Nº 2 (cód. 353), Nº 3 (cód. 354, elegida), Nº 4 (cód. 355), Nº 5 (cód. 394). Verificar cuál tamaño corresponde a cada medida en mm.</t>
  </si>
  <si>
    <t>AVAIN no tiene máscara laríngea Nº 1 ni Nº 2; solo dispone de Nº 3 (cód. 363), Nº 4 (cód. 283) y Nº 5 (cód. 284, elegido por ser el código base de la serie). Revisar cuál tamaño se necesita realmente o dejar sin homologar si los tamaños 1-2 son indispensables.</t>
  </si>
  <si>
    <t>AVAIN solo registra tubos endotraqueales de calibre adulto (7 / 7,5 / 8 / 8,5); no hay calibres pediátricos (2,5 a 4) disponibles.</t>
  </si>
  <si>
    <t>MANTA TERMICA DE EMERGENCIA</t>
  </si>
  <si>
    <t>Coincidencia razonable de principio activo/nombre, pero con diferencias menores (forma, dosis o presentación) no confirmadas del todo: revisar antes de usar. Alternativa igualmente plausible: «GuantenoesterilesS» (cód. 280).</t>
  </si>
  <si>
    <t>No se encontraron tarjetas de trauma/triage en AVAIN.</t>
  </si>
  <si>
    <t>Coincidencia razonable de principio activo/nombre, pero con diferencias menores (forma, dosis o presentación) no confirmadas del todo: revisar antes de usar. Alternativa igualmente plausible: «GuantesnoesterilesM» (cód. 279).</t>
  </si>
  <si>
    <t>AVAIN SJN no tiene guantes quirúrgicos estériles; solo guantes de examinación (no estériles) en talles S/M/G (cód. 32, DESC67, DESC68). La parte "no estériles" del ítem sí tiene equivalente; la parte "estériles 7-8" no.</t>
  </si>
  <si>
    <t>El ítem no especifica tipo; AVAIN SJN tiene dos alternativas: N95 c/válvula (DESC24, elegido) y quirúrgico (DESC25). Verificar cuál corresponde.</t>
  </si>
  <si>
    <t>No se encontró cofia en AVAIN.</t>
  </si>
  <si>
    <t>Inventario Salta · datos originales</t>
  </si>
  <si>
    <t>Fuente: Inventario Salta.xlsx, hoja Inventario Salta. 272 registros; códigos y textos conservados.</t>
  </si>
  <si>
    <t>Este respaldo incluye todo el inventario recibido. El análisis y las propuestas se limitan a los 284 ítems únicos del master.</t>
  </si>
  <si>
    <t>Marca y Acción Terapéutica son datos del archivo. No se usó el grupo terapéutico para sustituir productos.</t>
  </si>
  <si>
    <t>Código</t>
  </si>
  <si>
    <t>Denominación</t>
  </si>
  <si>
    <t>Marca</t>
  </si>
  <si>
    <t>Acción Terapéutica</t>
  </si>
  <si>
    <t>Grupo</t>
  </si>
  <si>
    <t>DESCARTABLES</t>
  </si>
  <si>
    <t>6</t>
  </si>
  <si>
    <t>Abbocath N° 24</t>
  </si>
  <si>
    <t>DIURETICO</t>
  </si>
  <si>
    <t>10</t>
  </si>
  <si>
    <t>Aciclovir crema Pomo 5,0% x10gr</t>
  </si>
  <si>
    <t>Analgesico</t>
  </si>
  <si>
    <t>Antibiotico</t>
  </si>
  <si>
    <t>DROGAS RCP</t>
  </si>
  <si>
    <t>ANALGESICOS Y DESINFLAMATORIOS</t>
  </si>
  <si>
    <t>SOLUCIONES</t>
  </si>
  <si>
    <t>Agua Oxigenada x100 ml</t>
  </si>
  <si>
    <t>21</t>
  </si>
  <si>
    <t>Agujas 40/12</t>
  </si>
  <si>
    <t>Alcohol 96% x 250 ml</t>
  </si>
  <si>
    <t>Alcohol 96% x500 ml</t>
  </si>
  <si>
    <t>Alcohol en gel 1000 ml</t>
  </si>
  <si>
    <t>27</t>
  </si>
  <si>
    <t>Alcohol en gel 250 ml</t>
  </si>
  <si>
    <t>Alcohol en gel 500 ml</t>
  </si>
  <si>
    <t>Alcohol etilico 70% 1Lts</t>
  </si>
  <si>
    <t>30</t>
  </si>
  <si>
    <t>Alprazolam  comprimidos 0,5 mg</t>
  </si>
  <si>
    <t>SEDACION - ANALGESIA</t>
  </si>
  <si>
    <t>Ambroxol/Loratadina</t>
  </si>
  <si>
    <t>ALIVIATOS</t>
  </si>
  <si>
    <t>JARABES PARA LA TOS</t>
  </si>
  <si>
    <t>31</t>
  </si>
  <si>
    <t>Ambroxol+butetamato jbe</t>
  </si>
  <si>
    <t>Amlodipina Comprimidos x 5 mg</t>
  </si>
  <si>
    <t>ANTIBIOTICOS</t>
  </si>
  <si>
    <t>384</t>
  </si>
  <si>
    <t>Amoxicilina 500 mg</t>
  </si>
  <si>
    <t>Fabamox</t>
  </si>
  <si>
    <t>Amoxicilina Comp. X1gr</t>
  </si>
  <si>
    <t>38</t>
  </si>
  <si>
    <t>Aspirina Comprimidos x 500mg</t>
  </si>
  <si>
    <t>42</t>
  </si>
  <si>
    <t>Bajalenguas</t>
  </si>
  <si>
    <t>44</t>
  </si>
  <si>
    <t>Betametasona Crema</t>
  </si>
  <si>
    <t>45</t>
  </si>
  <si>
    <t>Betametasona inyectable 4mg/1ml amp</t>
  </si>
  <si>
    <t>49</t>
  </si>
  <si>
    <t>Bromhexina Jbe</t>
  </si>
  <si>
    <t>Budesonide gts 20ml para NBZ</t>
  </si>
  <si>
    <t>BRONCODILATADOR</t>
  </si>
  <si>
    <t>BUNESONIDA</t>
  </si>
  <si>
    <t>Canula de Guedel 100mm</t>
  </si>
  <si>
    <t>Canula de Guedel 120mm</t>
  </si>
  <si>
    <t>312</t>
  </si>
  <si>
    <t>Canula de Guedel 80mm</t>
  </si>
  <si>
    <t>Canula de guedel 90mm</t>
  </si>
  <si>
    <t>414</t>
  </si>
  <si>
    <t>Canula Nasofaringea 24fr N5.5ml</t>
  </si>
  <si>
    <t>Canula Nasofaringea 28fr N6.5</t>
  </si>
  <si>
    <t>416</t>
  </si>
  <si>
    <t>Canula Nasofaringea 32fr N7.5</t>
  </si>
  <si>
    <t>Canula Nasofaringea30fr N7.0</t>
  </si>
  <si>
    <t>57</t>
  </si>
  <si>
    <t>Canula Yankauer con tubo de conexion</t>
  </si>
  <si>
    <t>ANTIDOTOS</t>
  </si>
  <si>
    <t>67</t>
  </si>
  <si>
    <t>Cinta Hipoalergénica 1,25cmx9m</t>
  </si>
  <si>
    <t>68</t>
  </si>
  <si>
    <t>Cinta Hipoalergénica 2,5cmx9m</t>
  </si>
  <si>
    <t>OFTALMOLOGICO</t>
  </si>
  <si>
    <t>398</t>
  </si>
  <si>
    <t>Ciprofloxacina/Hidrocortisona gtas oticas</t>
  </si>
  <si>
    <t>CIRIAX OTIC</t>
  </si>
  <si>
    <t>378</t>
  </si>
  <si>
    <t>Circuito p/respirador s/ valvula espiratoria</t>
  </si>
  <si>
    <t>MATERIALES/NO DESCARTABLES</t>
  </si>
  <si>
    <t>418</t>
  </si>
  <si>
    <t>Clindamicina ampolla  600mg</t>
  </si>
  <si>
    <t>CLONAZEPAN 0,5 mg</t>
  </si>
  <si>
    <t>ANTICONVULSIVANTES</t>
  </si>
  <si>
    <t>ANTIMICOTICOS</t>
  </si>
  <si>
    <t>79</t>
  </si>
  <si>
    <t>Colirio (Nafazolina- Feniramina) gotas oftalmicas x 15 ml</t>
  </si>
  <si>
    <t>81</t>
  </si>
  <si>
    <t>Collarín Cervical T. M</t>
  </si>
  <si>
    <t>Collarín Cervical T. Philadelphia CH</t>
  </si>
  <si>
    <t>Collarín Cervical T. Philadelphia G</t>
  </si>
  <si>
    <t>84</t>
  </si>
  <si>
    <t>Contractil (Ácido ascórbico + Extracto Seco de Ruscus Aculeatus + Hesperidina Metilchalcona) Comprimidos</t>
  </si>
  <si>
    <t>85</t>
  </si>
  <si>
    <t>Contractil crema rectal (Ácido ascórbico + Extracto Seco de Ruscus Aculeatus + Hesperidina Metilchalcona)</t>
  </si>
  <si>
    <t>86</t>
  </si>
  <si>
    <t>Crema de Bismuto susp. x90ml</t>
  </si>
  <si>
    <t>87</t>
  </si>
  <si>
    <t>Crema dermica Miclogen Antimicotico pomo 20gr</t>
  </si>
  <si>
    <t>Descongestivo PC</t>
  </si>
  <si>
    <t>91</t>
  </si>
  <si>
    <t>Dexametasona comprimidos 0,5 mgr</t>
  </si>
  <si>
    <t>390</t>
  </si>
  <si>
    <t>Diclofenac - Vitamina B12- Betametasona Comprimido</t>
  </si>
  <si>
    <t>DENVER FARMA</t>
  </si>
  <si>
    <t>Diclofenac gel (dietilamina 1,16%)</t>
  </si>
  <si>
    <t>KLONAFENAC</t>
  </si>
  <si>
    <t>98</t>
  </si>
  <si>
    <t>Diclofenac Sodico comprimidos x100mg</t>
  </si>
  <si>
    <t>ANTIHISTAMINICOS</t>
  </si>
  <si>
    <t>102</t>
  </si>
  <si>
    <t>Difenhidramina Comprimidos x 50mg</t>
  </si>
  <si>
    <t>ANTIPIRETICO</t>
  </si>
  <si>
    <t>112</t>
  </si>
  <si>
    <t>Enemol Pomos</t>
  </si>
  <si>
    <t>Film-parche</t>
  </si>
  <si>
    <t>Frasco esteril para orina</t>
  </si>
  <si>
    <t>Gafas transparentes</t>
  </si>
  <si>
    <t>Gel conductor 5kg</t>
  </si>
  <si>
    <t>133</t>
  </si>
  <si>
    <t>Guantes de latex chico no esteriles</t>
  </si>
  <si>
    <t>134</t>
  </si>
  <si>
    <t>Guantes de latex grande no esteril</t>
  </si>
  <si>
    <t>135</t>
  </si>
  <si>
    <t>Guantes de latex mediano no esteril</t>
  </si>
  <si>
    <t>136</t>
  </si>
  <si>
    <t>Guantes estériles 6.5</t>
  </si>
  <si>
    <t>397</t>
  </si>
  <si>
    <t>Heparina 5000ul/5 ml</t>
  </si>
  <si>
    <t>143</t>
  </si>
  <si>
    <t>Hidrocortisona 1 fco amp polvo p/rest x100mg</t>
  </si>
  <si>
    <t>151</t>
  </si>
  <si>
    <t>Ibuprofeno comprimidos x 400mg</t>
  </si>
  <si>
    <t>159</t>
  </si>
  <si>
    <t>Jeringas 60 cc</t>
  </si>
  <si>
    <t>Jeringas 60 cc Tummy</t>
  </si>
  <si>
    <t>163</t>
  </si>
  <si>
    <t>Lactulon (Lactulon) 250 ml Frascos</t>
  </si>
  <si>
    <t>ANESTESICO SUBCUTANEO</t>
  </si>
  <si>
    <t>169</t>
  </si>
  <si>
    <t>Lidocaina fco ampolla 20ml</t>
  </si>
  <si>
    <t>178</t>
  </si>
  <si>
    <t>Manometro</t>
  </si>
  <si>
    <t>Manometro para tubo ultraliviano</t>
  </si>
  <si>
    <t>Mascara Laringea N 3</t>
  </si>
  <si>
    <t>Mascara Laringea N 4</t>
  </si>
  <si>
    <t>Mascara Laringea N 5</t>
  </si>
  <si>
    <t>Mascara Pocket Adulto</t>
  </si>
  <si>
    <t>409</t>
  </si>
  <si>
    <t>Melatonina 3mg comprimido</t>
  </si>
  <si>
    <t>MELATOL</t>
  </si>
  <si>
    <t>184</t>
  </si>
  <si>
    <t>Metoclopramida Comp Comprimidos x 10mg</t>
  </si>
  <si>
    <t>260</t>
  </si>
  <si>
    <t>Metoclopramida subl. 10 mgs</t>
  </si>
  <si>
    <t>Monitrato de Isorsobida comp 20mg</t>
  </si>
  <si>
    <t>nitroprusiato de sodio dihidratado</t>
  </si>
  <si>
    <t>Norfloxacina 400mg</t>
  </si>
  <si>
    <t>193</t>
  </si>
  <si>
    <t>Oralsone Topic</t>
  </si>
  <si>
    <t>194</t>
  </si>
  <si>
    <t>Oximetro</t>
  </si>
  <si>
    <t>197</t>
  </si>
  <si>
    <t>Paracetamol comprimidos 1gr</t>
  </si>
  <si>
    <t>202</t>
  </si>
  <si>
    <t>Pervinox 100 ml</t>
  </si>
  <si>
    <t>203</t>
  </si>
  <si>
    <t>Piecidex terbinafina 1% promo</t>
  </si>
  <si>
    <t>426</t>
  </si>
  <si>
    <t>Prolongadores largos</t>
  </si>
  <si>
    <t>427</t>
  </si>
  <si>
    <t>Protector Solar fps80</t>
  </si>
  <si>
    <t>206</t>
  </si>
  <si>
    <t>Pulmonix(Paracet 556mg, Bromhex 8mg, Lorat 2,5mg,Pseudo60mg) Comprimidos</t>
  </si>
  <si>
    <t>386</t>
  </si>
  <si>
    <t>Ranitidina 50mg x 5ml</t>
  </si>
  <si>
    <t>323</t>
  </si>
  <si>
    <t>Regulador de Flujo/Goteo</t>
  </si>
  <si>
    <t>210</t>
  </si>
  <si>
    <t>Rosuvastatina Comprimidos x 40mg</t>
  </si>
  <si>
    <t>ELECTROLITOS</t>
  </si>
  <si>
    <t>Simeticona comprimidos x200mg</t>
  </si>
  <si>
    <t>Sincerum Gotas Oticas x 5 ml</t>
  </si>
  <si>
    <t>428</t>
  </si>
  <si>
    <t>Sol Fca x 100ml sachet</t>
  </si>
  <si>
    <t>219</t>
  </si>
  <si>
    <t>Solucion Fisiologica x 100ml gotero</t>
  </si>
  <si>
    <t>429</t>
  </si>
  <si>
    <t>Sonda de Aspiracion K29</t>
  </si>
  <si>
    <t>431</t>
  </si>
  <si>
    <t>Sonda Foley Fr 14</t>
  </si>
  <si>
    <t>221</t>
  </si>
  <si>
    <t>Sonda Foley Fr 16</t>
  </si>
  <si>
    <t>222</t>
  </si>
  <si>
    <t>Sonda Foley Fr 18</t>
  </si>
  <si>
    <t>223</t>
  </si>
  <si>
    <t>Sonda Foley Fr 20</t>
  </si>
  <si>
    <t>432</t>
  </si>
  <si>
    <t>Sonda Gastrica Fr 12</t>
  </si>
  <si>
    <t>224</t>
  </si>
  <si>
    <t>Sonda Gastrica Fr 16</t>
  </si>
  <si>
    <t>225</t>
  </si>
  <si>
    <t>Sonda Gastrica Fr 5</t>
  </si>
  <si>
    <t>SONDA NASOGASTRICA K11 o 18FR</t>
  </si>
  <si>
    <t>288</t>
  </si>
  <si>
    <t>Sulfadiazina de Plata 30mg</t>
  </si>
  <si>
    <t>CREMA</t>
  </si>
  <si>
    <t>228</t>
  </si>
  <si>
    <t>Sulfadiazina de Plata 400gr</t>
  </si>
  <si>
    <t>Termometro axilar</t>
  </si>
  <si>
    <t>277</t>
  </si>
  <si>
    <t>Termometro Infrarojo</t>
  </si>
  <si>
    <t>235</t>
  </si>
  <si>
    <t>Tetrahidrozolina clorhidrato 0,5 mg Gotas Oftalmicas x 15 ml</t>
  </si>
  <si>
    <t>236</t>
  </si>
  <si>
    <t>Tijera de Mayo</t>
  </si>
  <si>
    <t>Tobramicina+Dexametasona gotas oftalmicas x5ml</t>
  </si>
  <si>
    <t>Tramadol clorhidrato gotas 100mg/10ml</t>
  </si>
  <si>
    <t>436</t>
  </si>
  <si>
    <t>Tubo endotraqueal Fr 22 N5.5</t>
  </si>
  <si>
    <t>437</t>
  </si>
  <si>
    <t>Tubo endotraqueal Fr 24 N6</t>
  </si>
  <si>
    <t>243</t>
  </si>
  <si>
    <t>Tubo endotraqueal Fr 28 N7</t>
  </si>
  <si>
    <t>Tubo endotraqueal Fr 30 N7.5</t>
  </si>
  <si>
    <t>245</t>
  </si>
  <si>
    <t>Tubo endotraqueal Fr 32 N8</t>
  </si>
  <si>
    <t>Tubo endotraqueal Fr 34 N8.5</t>
  </si>
  <si>
    <t>247</t>
  </si>
  <si>
    <t>Vaselina 1000 ml</t>
  </si>
  <si>
    <t>Vaselina Solida 60mg</t>
  </si>
  <si>
    <t>Vaselina solida x 1 kg</t>
  </si>
  <si>
    <t>280</t>
  </si>
  <si>
    <t>Venda de 20 cm</t>
  </si>
  <si>
    <t>440</t>
  </si>
  <si>
    <t>Venda de 7 cm</t>
  </si>
  <si>
    <t>441</t>
  </si>
  <si>
    <t>Venda de 7 cm deportivas</t>
  </si>
  <si>
    <t>Referencias auxiliares · consulta 24/09/2026</t>
  </si>
  <si>
    <t>ID del master</t>
  </si>
  <si>
    <t>Qué se verificó</t>
  </si>
  <si>
    <t>Fuente oficial</t>
  </si>
  <si>
    <t>Enlace</t>
  </si>
  <si>
    <t>Nombre comercial Aspirina y ácido acetilsalicílico 100 mg; no acredita el stock local.</t>
  </si>
  <si>
    <t>Bayer, prospecto oficial Aspirina Prevent</t>
  </si>
  <si>
    <t>https://prospectos.bayer.com/prospectos/aspirina-prevent-argentina?asDoc=</t>
  </si>
  <si>
    <t>Pervinox Solución corresponde a iodopovidona 10%; la marca también tiene otras formulaciones. Confirmar variante local.</t>
  </si>
  <si>
    <t>Pervinox, fichas oficiales</t>
  </si>
  <si>
    <t>https://www.pervinox.com.ar/desinfeccion.php</t>
  </si>
  <si>
    <t>La variante Pervinox Incoloro contiene clorhexidina; el nombre de marca solo no confirma iodopovidona.</t>
  </si>
  <si>
    <t>Pervinox, ficha oficial Incoloro</t>
  </si>
  <si>
    <t>https://www.pervinox.com.ar/pervinox-incoloro.php</t>
  </si>
  <si>
    <t>SAP · datos originales</t>
  </si>
  <si>
    <t>Fuente: Inventario SAP.xlsx, sólo hoja SAP. Se conservan 2.753 registros, con 2.196 códigos únicos y 557 repeticiones.</t>
  </si>
  <si>
    <t>Material y Texto breve de material se conservan sin corregir. La primera columna permite localizar la fila en el archivo recibido.</t>
  </si>
  <si>
    <t>Se analiza únicamente el universo del master. Servicios, accesorios y otros artículos del inventario no amplían ese universo.</t>
  </si>
  <si>
    <t>Referencias auxiliares para identificar marcas · consulta 25/09/2026</t>
  </si>
  <si>
    <t>Material</t>
  </si>
  <si>
    <t>Texto breve de material</t>
  </si>
  <si>
    <t>Tipo material</t>
  </si>
  <si>
    <t>Referencia</t>
  </si>
  <si>
    <t>2001555</t>
  </si>
  <si>
    <t>SONDA T/K-27</t>
  </si>
  <si>
    <t>ZDES</t>
  </si>
  <si>
    <t>R1</t>
  </si>
  <si>
    <t>Flexidol contiene meloxicam; la presentación de SAP indica 15 mg.</t>
  </si>
  <si>
    <t>Adium, prospecto oficial</t>
  </si>
  <si>
    <t>https://adium.com.ar/app/uploads/2019/05/FLEXIDOL_Prospecto_para_Pacientes_RAFFO.pdf</t>
  </si>
  <si>
    <t>2000158</t>
  </si>
  <si>
    <t>GUANTES DE EXAMINACIÓN TALLE M</t>
  </si>
  <si>
    <t>R2</t>
  </si>
  <si>
    <t>La familia Migral contiene combinaciones; SAP no identifica variante.</t>
  </si>
  <si>
    <t>Montpellier, prospecto Migral Compositum</t>
  </si>
  <si>
    <t>https://www.montpellier.com.ar/Uploads/Productos/MIGRAL%20COMPOSITUM.pdf</t>
  </si>
  <si>
    <t>ZMED</t>
  </si>
  <si>
    <t>R3</t>
  </si>
  <si>
    <t>Corticas Retard: betametasona en dos sales; comprobar descripción abreviada de SAP.</t>
  </si>
  <si>
    <t>Casasco, ficha oficial</t>
  </si>
  <si>
    <t>https://cdn.casasco.com.ar/es/producto/corticas-retard</t>
  </si>
  <si>
    <t>R4</t>
  </si>
  <si>
    <t>Dramamine comprimidos en Argentina: dimenhidrinato 50 mg.</t>
  </si>
  <si>
    <t>ANMAT, disposición 2971/2019</t>
  </si>
  <si>
    <t>https://boletin.anmat.gob.ar/marzo_2019/Dispo_MSYDS_2971-19.pdf</t>
  </si>
  <si>
    <t>2000011</t>
  </si>
  <si>
    <t>BAJALENGUAS DE MADERA</t>
  </si>
  <si>
    <t>R5</t>
  </si>
  <si>
    <t>La marca Mylanta tiene formulaciones diferentes; no basta para acreditar Al+Mg.</t>
  </si>
  <si>
    <t>Mylanta, línea de productos</t>
  </si>
  <si>
    <t>https://www.mylanta.com.ar/linea.php</t>
  </si>
  <si>
    <t>2000270</t>
  </si>
  <si>
    <t>GUANTES DE EXAMINACION TALLE S</t>
  </si>
  <si>
    <t>R5b</t>
  </si>
  <si>
    <t>Mylanta II agrega simeticona; confirmar variante y composición completa.</t>
  </si>
  <si>
    <t>Elea, prospecto oficial</t>
  </si>
  <si>
    <t>https://elea.com/uploads/PROSPECTOS/Prospecto-web-Mylanta-II-Comprimidos-Sabor-clasico-1.pdf</t>
  </si>
  <si>
    <t>R6</t>
  </si>
  <si>
    <t>Butefina 500 mg corresponde a cefalexina.</t>
  </si>
  <si>
    <t>Savant, prospecto oficial</t>
  </si>
  <si>
    <t>https://www.savant.com.ar/wp-content/uploads/2020/09/1007068-Prospecto-BUTEFINA.pdf</t>
  </si>
  <si>
    <t>2000041</t>
  </si>
  <si>
    <t>BARBIJO TRIPLE RECTO C/ELÁSTI</t>
  </si>
  <si>
    <t>R7</t>
  </si>
  <si>
    <t>ChitoSAM es apósito hemostático; verificar tamaño/unidades en SAP.</t>
  </si>
  <si>
    <t>SAM Medical, ficha oficial</t>
  </si>
  <si>
    <t>https://www.sammedical.com/products/chitosam-100</t>
  </si>
  <si>
    <t>1000182</t>
  </si>
  <si>
    <t>METOCLOPRAMIDA COMPRIMIDO</t>
  </si>
  <si>
    <t>1000816</t>
  </si>
  <si>
    <t>AMOXICILINA+AC.CLA 875MG/125MG x 14 COMP</t>
  </si>
  <si>
    <t>2000522</t>
  </si>
  <si>
    <t>APOSITO 10X20 SYRA</t>
  </si>
  <si>
    <t>1001297</t>
  </si>
  <si>
    <t>PULMONIX ANTIGRIP 20 COMP</t>
  </si>
  <si>
    <t>2001536</t>
  </si>
  <si>
    <t>CATETER ARGYLE N° 20</t>
  </si>
  <si>
    <t>2000157</t>
  </si>
  <si>
    <t>GUANTES DE EXAMINACIÓN TALLE L</t>
  </si>
  <si>
    <t>2001554</t>
  </si>
  <si>
    <t>CATETER ARGYLE N° 22</t>
  </si>
  <si>
    <t>2001709</t>
  </si>
  <si>
    <t>INSYTE 20MG 1.16</t>
  </si>
  <si>
    <t>1000977</t>
  </si>
  <si>
    <t>OMEPRAZOL 20MG 30U CAPSULAS</t>
  </si>
  <si>
    <t>5004143</t>
  </si>
  <si>
    <t>LUAR-G 10MG COMP</t>
  </si>
  <si>
    <t>ZUNB</t>
  </si>
  <si>
    <t>2001761</t>
  </si>
  <si>
    <t>GUANTES ESTERILES Nº 6.5 POR PAR</t>
  </si>
  <si>
    <t>1005260</t>
  </si>
  <si>
    <t>KETOROLAC 20MG SUBLINGUAL</t>
  </si>
  <si>
    <t>1000089</t>
  </si>
  <si>
    <t>SOLUCION FISIOLOGICA DE 500CC</t>
  </si>
  <si>
    <t>1000520</t>
  </si>
  <si>
    <t>DICLOFENAC 50MG + PRIDINOL 4MG</t>
  </si>
  <si>
    <t>1001291</t>
  </si>
  <si>
    <t>KETOROLAC 30 MG/2ML AMP</t>
  </si>
  <si>
    <t>2001414</t>
  </si>
  <si>
    <t>AGUJA HIPODERMICA 18G x 1 ½ - 40/12</t>
  </si>
  <si>
    <t>1000145</t>
  </si>
  <si>
    <t>DEXAMETASONA 0,5 MG COMP</t>
  </si>
  <si>
    <t>1000530</t>
  </si>
  <si>
    <t>DIFENHIDRAMINA 50 MG COMPRIMIDOS</t>
  </si>
  <si>
    <t>2001553</t>
  </si>
  <si>
    <t>CATETER ARGYLE N° 18</t>
  </si>
  <si>
    <t>1000094</t>
  </si>
  <si>
    <t>DEXAMETASONA INY 4MG/ML AMPOLLA</t>
  </si>
  <si>
    <t>1000485</t>
  </si>
  <si>
    <t>CIPROFLOXACINA 500MG COMP</t>
  </si>
  <si>
    <t>1005236</t>
  </si>
  <si>
    <t>ECAPRILAT 10 MG COMP</t>
  </si>
  <si>
    <t>1005308</t>
  </si>
  <si>
    <t>DIPIRONA 400MG COMPRIMIDOS</t>
  </si>
  <si>
    <t>2000128</t>
  </si>
  <si>
    <t>ELECTRODOS 3M PARCHES P/CABLE PACIENTE</t>
  </si>
  <si>
    <t>2000354</t>
  </si>
  <si>
    <t>APOSITO ESTERIL (G+A) 10X20CM</t>
  </si>
  <si>
    <t>1000143</t>
  </si>
  <si>
    <t>BUTIL BROMURO DE HIOSCINA COMPRIMIDO</t>
  </si>
  <si>
    <t>1000204</t>
  </si>
  <si>
    <t>AMOXICILINA  850 MG COMPRIMIDOS</t>
  </si>
  <si>
    <t>1000136</t>
  </si>
  <si>
    <t>ASPIRINA DE 100 MG</t>
  </si>
  <si>
    <t>1005142</t>
  </si>
  <si>
    <t>KLONADRYL ANT 50MG COMP</t>
  </si>
  <si>
    <t>1000509</t>
  </si>
  <si>
    <t>1005092</t>
  </si>
  <si>
    <t>BUTEFINA 500MG X 80COMP</t>
  </si>
  <si>
    <t>2000185</t>
  </si>
  <si>
    <t>PROLONGADOR DE JERINGA BT 26 X 1.5 MTRS</t>
  </si>
  <si>
    <t>1000901</t>
  </si>
  <si>
    <t>ESOMEPRAZOL 40MG 28U CAPSULAS</t>
  </si>
  <si>
    <t>1001106</t>
  </si>
  <si>
    <t>MEPREDNISONA 8MG COMP.</t>
  </si>
  <si>
    <t>1005284</t>
  </si>
  <si>
    <t>AMBROXOL + BUTEMAT JBE X 120Ml</t>
  </si>
  <si>
    <t>1001053</t>
  </si>
  <si>
    <t>Ambroxol susp x 120ml</t>
  </si>
  <si>
    <t>1000384</t>
  </si>
  <si>
    <t>RANITIDINA 50 MG AMP</t>
  </si>
  <si>
    <t>1000595</t>
  </si>
  <si>
    <t>RANITIDINA 50MG AMP 5ML</t>
  </si>
  <si>
    <t>1001013</t>
  </si>
  <si>
    <t>SODIO CLORURO 25ML SPRAY</t>
  </si>
  <si>
    <t>1005131</t>
  </si>
  <si>
    <t>DIFENHIDRAMINA 10 MG AMPOLLAS</t>
  </si>
  <si>
    <t>1005285</t>
  </si>
  <si>
    <t>AMBROXOL JBE X 100Ml</t>
  </si>
  <si>
    <t>2001133</t>
  </si>
  <si>
    <t>CUBRECAMILLA C/TIRAS 20G 0,90 X 2,00 MT</t>
  </si>
  <si>
    <t>2001773</t>
  </si>
  <si>
    <t>INSYTE 16G 1.77</t>
  </si>
  <si>
    <t>2002292</t>
  </si>
  <si>
    <t>CUBRECAMILLA ELAST. 0.90X2,00MT AZUL MDC</t>
  </si>
  <si>
    <t>CR-13A</t>
  </si>
  <si>
    <t>ELECTRODOS ADULTO</t>
  </si>
  <si>
    <t>ZEQI</t>
  </si>
  <si>
    <t>1001195</t>
  </si>
  <si>
    <t>Omeprazol 20mg x14 caps</t>
  </si>
  <si>
    <t>2000900</t>
  </si>
  <si>
    <t>GASA ESTERIL 10X10CM</t>
  </si>
  <si>
    <t>1000772</t>
  </si>
  <si>
    <t>AGUJA 40/12</t>
  </si>
  <si>
    <t>2000412</t>
  </si>
  <si>
    <t>JERINGA INSULINA x 1cc</t>
  </si>
  <si>
    <t>1000017</t>
  </si>
  <si>
    <t>ALCOHOL AL 70% X 1000ML</t>
  </si>
  <si>
    <t>1005158</t>
  </si>
  <si>
    <t>ACETILCISTEINA 600MG SOBRES X10UN</t>
  </si>
  <si>
    <t>5003953</t>
  </si>
  <si>
    <t>EXAMEN RADIOLOGICO</t>
  </si>
  <si>
    <t>1000495</t>
  </si>
  <si>
    <t>LIDOCAINA  AL 2% SIN EPINEFRINA 5 ML</t>
  </si>
  <si>
    <t>1000670</t>
  </si>
  <si>
    <t>PARACETAMOL + BROMEXINA COMP.</t>
  </si>
  <si>
    <t>2000221</t>
  </si>
  <si>
    <t>APOSITO TRANSP HIPOALERGIC FILM DE 10CM</t>
  </si>
  <si>
    <t>1000250</t>
  </si>
  <si>
    <t>DICLOFENAC GEL</t>
  </si>
  <si>
    <t>1000244</t>
  </si>
  <si>
    <t>Hioscina Butilbromuro 10 mg,Dipirona AMP</t>
  </si>
  <si>
    <t>1000372</t>
  </si>
  <si>
    <t>BARRA LABIAL PROTECTORA</t>
  </si>
  <si>
    <t>1005103</t>
  </si>
  <si>
    <t>CLONAZEPAM 2MG COMPRIMIDO</t>
  </si>
  <si>
    <t>1005276</t>
  </si>
  <si>
    <t>LORAZEPAM 2.5MG COMP</t>
  </si>
  <si>
    <t>2000003</t>
  </si>
  <si>
    <t>CATETER INTRAVENOSO 16G T/ABBOCATH</t>
  </si>
  <si>
    <t>3001350</t>
  </si>
  <si>
    <t>GUANTE DE NITRILO TEJIDO</t>
  </si>
  <si>
    <t>ZUNI</t>
  </si>
  <si>
    <t>5004158</t>
  </si>
  <si>
    <t>ATENOLOL 50MG X 15COMP</t>
  </si>
  <si>
    <t>1000371</t>
  </si>
  <si>
    <t>PROTECTOR SOLAR</t>
  </si>
  <si>
    <t>1000290</t>
  </si>
  <si>
    <t>AGUA DESTILADA DE 10 ML</t>
  </si>
  <si>
    <t>1000753</t>
  </si>
  <si>
    <t>MEDPREDNISONA</t>
  </si>
  <si>
    <t>1001169</t>
  </si>
  <si>
    <t>SILDENAFIL PREP MAGISTRAL</t>
  </si>
  <si>
    <t>1001254</t>
  </si>
  <si>
    <t>DEXAMETASONA 8 MG COMP</t>
  </si>
  <si>
    <t>1005217</t>
  </si>
  <si>
    <t>NAFAZOLINA SOLUC X 20ML</t>
  </si>
  <si>
    <t>1005278</t>
  </si>
  <si>
    <t>PARAC+PSEUDO+BROMH GRIP COMP</t>
  </si>
  <si>
    <t>2000026</t>
  </si>
  <si>
    <t>JERINGA TUBERCULINA X 1 CC</t>
  </si>
  <si>
    <t>2000165</t>
  </si>
  <si>
    <t>JERINGA 50/60 ML DESC. ESTERIL</t>
  </si>
  <si>
    <t>2001218</t>
  </si>
  <si>
    <t>CATETER IV N° 16</t>
  </si>
  <si>
    <t>2002459</t>
  </si>
  <si>
    <t>GUANTE ESTERIL Nº 7</t>
  </si>
  <si>
    <t>1000058</t>
  </si>
  <si>
    <t>ALCOHOL EN GEL X 500ML</t>
  </si>
  <si>
    <t>1000511</t>
  </si>
  <si>
    <t>REFRIANEX COMPUESTO</t>
  </si>
  <si>
    <t>1000570</t>
  </si>
  <si>
    <t>VICK VITAPIRENA</t>
  </si>
  <si>
    <t>5004028</t>
  </si>
  <si>
    <t>CRISTALES ORGANICOS BLANCOS</t>
  </si>
  <si>
    <t>2000020</t>
  </si>
  <si>
    <t>TUBO ENDOTRAQ N° 8.5 C/BALON</t>
  </si>
  <si>
    <t>1000043</t>
  </si>
  <si>
    <t>ALCOHOL EN GEL X 250ML</t>
  </si>
  <si>
    <t>1001270</t>
  </si>
  <si>
    <t>FLUCONAZOL 150MG COMP</t>
  </si>
  <si>
    <t>2000038</t>
  </si>
  <si>
    <t>ALGODON HIDROFILO X 500GR</t>
  </si>
  <si>
    <t>5000971</t>
  </si>
  <si>
    <t>1000497</t>
  </si>
  <si>
    <t>IODOPOVIDONA SOLUC 10% X 60 ML</t>
  </si>
  <si>
    <t>1000672</t>
  </si>
  <si>
    <t>TOBRAMICINA + DEXAMETASONA</t>
  </si>
  <si>
    <t>2000206</t>
  </si>
  <si>
    <t>TELA ADHESIVA 5CM HOSPITALARIA</t>
  </si>
  <si>
    <t>1000353</t>
  </si>
  <si>
    <t>LORATADINA+BETAMETASONA(HISTAMINOCORTERO</t>
  </si>
  <si>
    <t>1000351</t>
  </si>
  <si>
    <t>DICLOFENACSODICO75mg+VITB 12+BETAMETASON</t>
  </si>
  <si>
    <t>1000443</t>
  </si>
  <si>
    <t>HIOSCINA BUTILBROMURO INYECTABLE</t>
  </si>
  <si>
    <t>1000684</t>
  </si>
  <si>
    <t>HIOSCINA+DIPIRONA AMP X 5 ML IV/IM</t>
  </si>
  <si>
    <t>1000784</t>
  </si>
  <si>
    <t>LAGRIMAS NATURALES GOTAS OFTALM</t>
  </si>
  <si>
    <t>1001104</t>
  </si>
  <si>
    <t>TOBRAMICINA 5ML OFT GTS</t>
  </si>
  <si>
    <t>1005144</t>
  </si>
  <si>
    <t>VASELINA SOLIDA POR 50 GRS</t>
  </si>
  <si>
    <t>1005292</t>
  </si>
  <si>
    <t>BISOPROLOL 5MG X 10COMP</t>
  </si>
  <si>
    <t>2000014</t>
  </si>
  <si>
    <t>DESCARTADOR DE PUNZANTES DE 5LT</t>
  </si>
  <si>
    <t>1005233</t>
  </si>
  <si>
    <t>ATENOLOL 50MG X 10COMP</t>
  </si>
  <si>
    <t>2000484</t>
  </si>
  <si>
    <t>SUJETADOR C/VELCRO LARGO</t>
  </si>
  <si>
    <t>5003866</t>
  </si>
  <si>
    <t>ENSAYO DE SEGURIDAD ELECTRICA ELECTROMED</t>
  </si>
  <si>
    <t>1000870</t>
  </si>
  <si>
    <t>CLOTRIMAZOL 1% 20 GR CREMA</t>
  </si>
  <si>
    <t>1005203</t>
  </si>
  <si>
    <t>BETAMETASONA+GENTA+CLOTRIMAZOL CREMA</t>
  </si>
  <si>
    <t>1005261</t>
  </si>
  <si>
    <t>BETAMETASONA+LORATADINA X 10 COMP</t>
  </si>
  <si>
    <t>2001391</t>
  </si>
  <si>
    <t>TELA ADHE MICROPORE 5CM - 3M 1530-2</t>
  </si>
  <si>
    <t>2001760</t>
  </si>
  <si>
    <t>BETASONE G RETARD AMP</t>
  </si>
  <si>
    <t>1000698</t>
  </si>
  <si>
    <t>ANTIHEMORROIDAL CREMA X 20GR</t>
  </si>
  <si>
    <t>2000392</t>
  </si>
  <si>
    <t>GUANTE EXAMINACION NITRILO MEDIANO</t>
  </si>
  <si>
    <t>1000938</t>
  </si>
  <si>
    <t>LACTULOSA 65G 120ML JARABE</t>
  </si>
  <si>
    <t>1005230</t>
  </si>
  <si>
    <t>BETAMETASONA+LORATADINA X 20 COMP</t>
  </si>
  <si>
    <t>2000052</t>
  </si>
  <si>
    <t>DESCARTADOR GRANDE MODELO E4</t>
  </si>
  <si>
    <t>2001084</t>
  </si>
  <si>
    <t>APOSITO 10X10 SYRA</t>
  </si>
  <si>
    <t>2001530</t>
  </si>
  <si>
    <t>SONDA ASP CAMP QUIRUR T-K/67</t>
  </si>
  <si>
    <t>1005277</t>
  </si>
  <si>
    <t>LACRIGESTINA LAGRIMAS SOL. OFTALMOLOG</t>
  </si>
  <si>
    <t>5004029</t>
  </si>
  <si>
    <t>CRISTALES POLICARBONATO</t>
  </si>
  <si>
    <t>1000004</t>
  </si>
  <si>
    <t>AGUA OXIGENADA 10 VOL. X 100ML</t>
  </si>
  <si>
    <t>1000167</t>
  </si>
  <si>
    <t>HALOPIDOL 5 MG AMP</t>
  </si>
  <si>
    <t>1000561</t>
  </si>
  <si>
    <t>ACETILCISTEINA 600MG COMP</t>
  </si>
  <si>
    <t>1000664</t>
  </si>
  <si>
    <t>CIPROFLOXACINA + DEXAMETASONA</t>
  </si>
  <si>
    <t>1000665</t>
  </si>
  <si>
    <t>CLOTRIMAZOL CREMA</t>
  </si>
  <si>
    <t>1000695</t>
  </si>
  <si>
    <t>ACICLOVIR 5% CREMA X 10GR</t>
  </si>
  <si>
    <t>1000919</t>
  </si>
  <si>
    <t>ACIDO FUSIDICO 15G CREMA</t>
  </si>
  <si>
    <t>5000208</t>
  </si>
  <si>
    <t>MANOMETRO</t>
  </si>
  <si>
    <t>2000396</t>
  </si>
  <si>
    <t>MASCARA LARINGEA Nº 3</t>
  </si>
  <si>
    <t>1000496</t>
  </si>
  <si>
    <t>NITROFURAZONA APÓS X 2O</t>
  </si>
  <si>
    <t>1000792</t>
  </si>
  <si>
    <t>ORALSONE MAX TOPIC</t>
  </si>
  <si>
    <t>2001013</t>
  </si>
  <si>
    <t>TELA ADHE 3M MICROPORE 1530-1 2.5CM</t>
  </si>
  <si>
    <t>2001551</t>
  </si>
  <si>
    <t>PROLONGADOR PT35 150CM</t>
  </si>
  <si>
    <t>2001912</t>
  </si>
  <si>
    <t>TWIST SCREEN SALIVA</t>
  </si>
  <si>
    <t>5004030</t>
  </si>
  <si>
    <t>CRISTALES FILTRO ESPECIALES</t>
  </si>
  <si>
    <t>1000162</t>
  </si>
  <si>
    <t>GEL CONDUCTOR KINESIO</t>
  </si>
  <si>
    <t>1000581</t>
  </si>
  <si>
    <t>DECIDEX COMPUESTO</t>
  </si>
  <si>
    <t>1000614</t>
  </si>
  <si>
    <t>BUSCAPINA PERLAS</t>
  </si>
  <si>
    <t>1000624</t>
  </si>
  <si>
    <t>LACTULON JARABE</t>
  </si>
  <si>
    <t>1001237</t>
  </si>
  <si>
    <t>ACIDO ACETILSALICILICO 100MG</t>
  </si>
  <si>
    <t>1001268</t>
  </si>
  <si>
    <t>DEXTROSA 10% X 500ML</t>
  </si>
  <si>
    <t>1005242</t>
  </si>
  <si>
    <t>SULFADIZINA+VITAMINA A+LIDOCAINA 30mgr</t>
  </si>
  <si>
    <t>2000018</t>
  </si>
  <si>
    <t>TUBO ENDOTRAQ N° 6.5 C/BALON</t>
  </si>
  <si>
    <t>2000205</t>
  </si>
  <si>
    <t>TELA ADHE HIPOALERGENICA DE SEDA 5CM</t>
  </si>
  <si>
    <t>2000220</t>
  </si>
  <si>
    <t>JERINGA DE 60CC CON PICO THOMEY</t>
  </si>
  <si>
    <t>2000938</t>
  </si>
  <si>
    <t>SONDA T/K-10 SHINOBI</t>
  </si>
  <si>
    <t>2002477</t>
  </si>
  <si>
    <t>CANULA DE GUEDEL 60MM NEGRO</t>
  </si>
  <si>
    <t>5001042</t>
  </si>
  <si>
    <t>BATERIA 9V</t>
  </si>
  <si>
    <t>5004071</t>
  </si>
  <si>
    <t>AMONIO CUATERNARIO 1LT</t>
  </si>
  <si>
    <t>2000398</t>
  </si>
  <si>
    <t>MASCARA LARINGEA Nº 5</t>
  </si>
  <si>
    <t>1000424</t>
  </si>
  <si>
    <t>QURA PLUS</t>
  </si>
  <si>
    <t>1000757</t>
  </si>
  <si>
    <t>ENTEROGERMINA</t>
  </si>
  <si>
    <t>5004031</t>
  </si>
  <si>
    <t>CRISTALES ORGANICOS S/FILTRO</t>
  </si>
  <si>
    <t>1005279</t>
  </si>
  <si>
    <t>AGUA OXIGENADA 10VOL X 500CC</t>
  </si>
  <si>
    <t>2001232</t>
  </si>
  <si>
    <t>HILO DE SUTURA SUPRALON 4</t>
  </si>
  <si>
    <t>2002511</t>
  </si>
  <si>
    <t>VALVAS LARINGOSCOPIO McGRATH COVIDEN</t>
  </si>
  <si>
    <t>5002674</t>
  </si>
  <si>
    <t>LONCHERA TERMICA</t>
  </si>
  <si>
    <t>5003897</t>
  </si>
  <si>
    <t>ELECTROCARDIOGRAFO BIOCARE MOD.iE300</t>
  </si>
  <si>
    <t>1000062</t>
  </si>
  <si>
    <t>CLORHEXIDINA AL 4% X 500ML JABONOSA</t>
  </si>
  <si>
    <t>1000135</t>
  </si>
  <si>
    <t>VASELINA LIQUIDA DE 250 ML</t>
  </si>
  <si>
    <t>1000165</t>
  </si>
  <si>
    <t>ISOPROTERENOL 1MG AMP</t>
  </si>
  <si>
    <t>1000381</t>
  </si>
  <si>
    <t>BUDESONIDA DENVER SOL 20ML</t>
  </si>
  <si>
    <t>1000611</t>
  </si>
  <si>
    <t>CIPROFLOXACINO 200MG SACHET x 100ML</t>
  </si>
  <si>
    <t>1000731</t>
  </si>
  <si>
    <t>FUSIMED B EMULSION</t>
  </si>
  <si>
    <t>1000886</t>
  </si>
  <si>
    <t>DICLOFENAC DIETILAMINA 50MG GEL</t>
  </si>
  <si>
    <t>1001271</t>
  </si>
  <si>
    <t>SULFADIZINA DE PLATA X 30GRS</t>
  </si>
  <si>
    <t>1005150</t>
  </si>
  <si>
    <t>FOSF.MONO+F.SODIO ENEMA X135ML</t>
  </si>
  <si>
    <t>1005226</t>
  </si>
  <si>
    <t>FILTRO P/ANEST HME</t>
  </si>
  <si>
    <t>2001219</t>
  </si>
  <si>
    <t>2001794</t>
  </si>
  <si>
    <t>GUANTE EXAMINACION NITRILO CHICO</t>
  </si>
  <si>
    <t>2001910</t>
  </si>
  <si>
    <t>MATETIN PLASTICO 6BJAS C/APERTURA SUP</t>
  </si>
  <si>
    <t>5000449</t>
  </si>
  <si>
    <t>BOLSA CONSORCIO</t>
  </si>
  <si>
    <t>5000518</t>
  </si>
  <si>
    <t>TRABASIL PEGAMENTO</t>
  </si>
  <si>
    <t>5000972</t>
  </si>
  <si>
    <t>ELECTROCARDIOGRAFO JOTATEC</t>
  </si>
  <si>
    <t>5003899</t>
  </si>
  <si>
    <t>ASPIR DE SECRECIONES C/BAT MAVERICK 7E-G</t>
  </si>
  <si>
    <t>5004072</t>
  </si>
  <si>
    <t>OXIMETRO/SATUROMETRO DE PULSO SILFAB</t>
  </si>
  <si>
    <t>1000567</t>
  </si>
  <si>
    <t>CLINDAMICINA 100MG</t>
  </si>
  <si>
    <t>1005235</t>
  </si>
  <si>
    <t>MEPREDNISONA 8MG X 20COMP</t>
  </si>
  <si>
    <t>2000029</t>
  </si>
  <si>
    <t>JERINGA 20 ML</t>
  </si>
  <si>
    <t>2000403</t>
  </si>
  <si>
    <t>CANULA DE GUEDEL 90CM N2 AMARILLO</t>
  </si>
  <si>
    <t>1000118</t>
  </si>
  <si>
    <t>HEPARINA SODICA 5000UN/ML 5ML FAMP</t>
  </si>
  <si>
    <t>1000183</t>
  </si>
  <si>
    <t>MYLANTA TABLETAS COMPRIMIDOS</t>
  </si>
  <si>
    <t>1001128</t>
  </si>
  <si>
    <t>IPRATROPIO SOL. X 20ML</t>
  </si>
  <si>
    <t>1001262</t>
  </si>
  <si>
    <t>CATETER IV N14</t>
  </si>
  <si>
    <t>1001300</t>
  </si>
  <si>
    <t>PANCLO B12 COMP REC X20</t>
  </si>
  <si>
    <t>1005135</t>
  </si>
  <si>
    <t>factorex x 60comp</t>
  </si>
  <si>
    <t>2000015</t>
  </si>
  <si>
    <t>MANDRIL P/LARINGO ADULTO ESTERIL</t>
  </si>
  <si>
    <t>2000397</t>
  </si>
  <si>
    <t>MASCARA LARINGEA Nº 4</t>
  </si>
  <si>
    <t>2000942</t>
  </si>
  <si>
    <t>AGUJA HIPODERMICA 21G x 2 - 50/8</t>
  </si>
  <si>
    <t>5004005</t>
  </si>
  <si>
    <t>REPARACION SIMPLE DE ELECTROMEDICINA</t>
  </si>
  <si>
    <t>1000572</t>
  </si>
  <si>
    <t>ENEMOL 135ML</t>
  </si>
  <si>
    <t>1001267</t>
  </si>
  <si>
    <t>AMYLANTA COMP MAST FRUTI X24</t>
  </si>
  <si>
    <t>1005121</t>
  </si>
  <si>
    <t>BUENAS NOCHES X 30 COMP</t>
  </si>
  <si>
    <t>1005148</t>
  </si>
  <si>
    <t>ALMAXIMO MAST 50MG X 20COMP</t>
  </si>
  <si>
    <t>2000350</t>
  </si>
  <si>
    <t>ASPIRADOR MANUAL RES Q VAC</t>
  </si>
  <si>
    <t>5002050</t>
  </si>
  <si>
    <t>CARRO DE ENFERMERÍA</t>
  </si>
  <si>
    <t>5004211</t>
  </si>
  <si>
    <t>SENSOR DE APNEA POLIGRAFO CONTEC RS01</t>
  </si>
  <si>
    <t>1000019</t>
  </si>
  <si>
    <t>CHATA ORINAL FEMENINO</t>
  </si>
  <si>
    <t>1000029</t>
  </si>
  <si>
    <t>ORINAL MASCULINO (PAPAGAYO)</t>
  </si>
  <si>
    <t>1000527</t>
  </si>
  <si>
    <t>AMOXIDAL CLAVULANICO 1 G</t>
  </si>
  <si>
    <t>1000562</t>
  </si>
  <si>
    <t>CONTRACTIL (FLEBOCONSTRICTOR) COMP</t>
  </si>
  <si>
    <t>1000625</t>
  </si>
  <si>
    <t>DAFLON 500MG COMP</t>
  </si>
  <si>
    <t>1000699</t>
  </si>
  <si>
    <t>VITACORTIL CR X 20GR</t>
  </si>
  <si>
    <t>1000790</t>
  </si>
  <si>
    <t>BUSCAPINA SIMPLE COMP.</t>
  </si>
  <si>
    <t>1001083</t>
  </si>
  <si>
    <t>ALCON LAGRIMAS II 15ML</t>
  </si>
  <si>
    <t>1001251</t>
  </si>
  <si>
    <t>AC TOLFENAMICO 200mg caps</t>
  </si>
  <si>
    <t>1001290</t>
  </si>
  <si>
    <t>MEDOCOR SUBLINGUAL 5 MG X 30COMP</t>
  </si>
  <si>
    <t>1001292</t>
  </si>
  <si>
    <t>Miopropan S comp x30un</t>
  </si>
  <si>
    <t>1001294</t>
  </si>
  <si>
    <t>Miopropan S comp x 60un</t>
  </si>
  <si>
    <t>1005104</t>
  </si>
  <si>
    <t>CLONAZEPAM 0.5MG COMPRIMIDO</t>
  </si>
  <si>
    <t>1005272</t>
  </si>
  <si>
    <t>METALYSE 50GR AMP (10000U)</t>
  </si>
  <si>
    <t>2001233</t>
  </si>
  <si>
    <t>HILO DE SUTURA SUPRALON 5</t>
  </si>
  <si>
    <t>5001159</t>
  </si>
  <si>
    <t>ALCOHOLIMETRO DRAGER 7510</t>
  </si>
  <si>
    <t>5001199</t>
  </si>
  <si>
    <t>ASPIRADORES ASKIR</t>
  </si>
  <si>
    <t>5001870</t>
  </si>
  <si>
    <t>TABURETE RODANTE</t>
  </si>
  <si>
    <t>5002035</t>
  </si>
  <si>
    <t>LAMPARA DE EXAMINACION LED</t>
  </si>
  <si>
    <t>5002349</t>
  </si>
  <si>
    <t>MESADA INOX</t>
  </si>
  <si>
    <t>5003041</t>
  </si>
  <si>
    <t>downloader para equipo ISTAT</t>
  </si>
  <si>
    <t>5003842</t>
  </si>
  <si>
    <t>0476- ENSAYO SEGURIDAD ELECTRICA</t>
  </si>
  <si>
    <t>5003870</t>
  </si>
  <si>
    <t>ATLANSIL 200mg x 20 comp</t>
  </si>
  <si>
    <t>5003898</t>
  </si>
  <si>
    <t>DESFRIBILADOR BIFAS INSTRAMED CARDIOMAX</t>
  </si>
  <si>
    <t>5003908</t>
  </si>
  <si>
    <t>REPARACION CONECTOR DE CARGA (BATERIAS)</t>
  </si>
  <si>
    <t>5003909</t>
  </si>
  <si>
    <t>CARGADOR GENERICO PARA ELECTROMEDICINA</t>
  </si>
  <si>
    <t>5003956</t>
  </si>
  <si>
    <t>BATERIA 5000 MAH/ECOGRAFO DUS 60/U50</t>
  </si>
  <si>
    <t>5003972</t>
  </si>
  <si>
    <t>PLETINA PALANCA TREND 13D Y CASQUILLO</t>
  </si>
  <si>
    <t>5004132</t>
  </si>
  <si>
    <t>AUTOANALIZADOR HEMATOLOGICO PORT ISTAT</t>
  </si>
  <si>
    <t>5004133</t>
  </si>
  <si>
    <t>DELANTAL PLOMADO 0,5MMpB C/PROT TIROIDES</t>
  </si>
  <si>
    <t>5004134</t>
  </si>
  <si>
    <t>GAFAS PLOMADAS 0,5MMpB C/PROT TIROIDES</t>
  </si>
  <si>
    <t>1000054</t>
  </si>
  <si>
    <t>ALCOHOL AL 96% X 500ML</t>
  </si>
  <si>
    <t>1000056</t>
  </si>
  <si>
    <t>ALCOHOL AL 70% X 500ML</t>
  </si>
  <si>
    <t>1000082</t>
  </si>
  <si>
    <t>LIDOCAINA AL 2% SIN EPINEFRINA AMPOLLA</t>
  </si>
  <si>
    <t>1000130</t>
  </si>
  <si>
    <t>BROMURO IPRATROPIO 0.25 MG/ ML GOTAS</t>
  </si>
  <si>
    <t>1000140</t>
  </si>
  <si>
    <t>METOCLOPRAMIDA - Reliveran GOTAS</t>
  </si>
  <si>
    <t>1000147</t>
  </si>
  <si>
    <t>RADITIDINA AMP</t>
  </si>
  <si>
    <t>1000163</t>
  </si>
  <si>
    <t>ALCOHOL AL 96 % POR 100 ML</t>
  </si>
  <si>
    <t>1000175</t>
  </si>
  <si>
    <t>AMOXICILINA 1 GR</t>
  </si>
  <si>
    <t>1000177</t>
  </si>
  <si>
    <t>DIPIRONA COMPRIMIDO</t>
  </si>
  <si>
    <t>1000179</t>
  </si>
  <si>
    <t>FUROSEMIDA COMPRIMIDO</t>
  </si>
  <si>
    <t>1000180</t>
  </si>
  <si>
    <t>HISTAMINO CORTEROID L COMPRIMIDO</t>
  </si>
  <si>
    <t>1000187</t>
  </si>
  <si>
    <t>CALADRYL SOLUCION</t>
  </si>
  <si>
    <t>1000199</t>
  </si>
  <si>
    <t>GLUCONATO DE CALCIO</t>
  </si>
  <si>
    <t>1000200</t>
  </si>
  <si>
    <t>NEBULIZADOR ASPIRADOR</t>
  </si>
  <si>
    <t>1000202</t>
  </si>
  <si>
    <t>PINZA DE MAGUIL ADULTO</t>
  </si>
  <si>
    <t>1000203</t>
  </si>
  <si>
    <t>GLUCONATO DE CA +2 AMPOLLAS</t>
  </si>
  <si>
    <t>1000205</t>
  </si>
  <si>
    <t>BAÑO OCULAR POEN 80 ML</t>
  </si>
  <si>
    <t>1000206</t>
  </si>
  <si>
    <t>LIDOCAINA SPRAY SIN EPINEFRINA</t>
  </si>
  <si>
    <t>1000207</t>
  </si>
  <si>
    <t>DERMALON 5-0</t>
  </si>
  <si>
    <t>1000208</t>
  </si>
  <si>
    <t>ALGISPRAY AER X 250ML</t>
  </si>
  <si>
    <t>1000223</t>
  </si>
  <si>
    <t>HUMIRA PEN LAP PRELL X2</t>
  </si>
  <si>
    <t>1000241</t>
  </si>
  <si>
    <t>Mononitrato de isosorbide  (aerosol )</t>
  </si>
  <si>
    <t>1000251</t>
  </si>
  <si>
    <t>AMOXIXILINA 875 Mg (AMOXIDAL DUO)</t>
  </si>
  <si>
    <t>1000308</t>
  </si>
  <si>
    <t>SURFACTANTE Fco 8ml 25mg/1ml</t>
  </si>
  <si>
    <t>1000324</t>
  </si>
  <si>
    <t>GOTABIOTIC POEN</t>
  </si>
  <si>
    <t>1000369</t>
  </si>
  <si>
    <t>TOBRAMICINA+ DEX G</t>
  </si>
  <si>
    <t>1000400</t>
  </si>
  <si>
    <t>ASPIRINA 500 MG COMP</t>
  </si>
  <si>
    <t>1000401</t>
  </si>
  <si>
    <t>KLOSIDOL 5 ML AMPOLL</t>
  </si>
  <si>
    <t>1000422</t>
  </si>
  <si>
    <t>ATENOLOL 50 mg</t>
  </si>
  <si>
    <t>1000423</t>
  </si>
  <si>
    <t>CIRIAX OTIC®</t>
  </si>
  <si>
    <t>1000430</t>
  </si>
  <si>
    <t>POEN BIOPTAL GOTAS</t>
  </si>
  <si>
    <t>1000431</t>
  </si>
  <si>
    <t>LIDOCAINA 1% 5 ML AMPOLLA</t>
  </si>
  <si>
    <t>1000440</t>
  </si>
  <si>
    <t>DEXAMETASONA 0.5MG COMPRIMIDOS</t>
  </si>
  <si>
    <t>1000444</t>
  </si>
  <si>
    <t>DELTISONA 4MG COMPRIMIDOS</t>
  </si>
  <si>
    <t>1000449</t>
  </si>
  <si>
    <t>DEXALERGIN COMPRIMIDOS</t>
  </si>
  <si>
    <t>1000480</t>
  </si>
  <si>
    <t>CEFALEXINA 500MG COMPRIMIDOS</t>
  </si>
  <si>
    <t>1000504</t>
  </si>
  <si>
    <t>KIT ELA CHEMSTRIP COVID-19</t>
  </si>
  <si>
    <t>1000505</t>
  </si>
  <si>
    <t>PURO VIRUS RNA SCO2</t>
  </si>
  <si>
    <t>1000506</t>
  </si>
  <si>
    <t>ALCOHOL AL 70% X 5000ML</t>
  </si>
  <si>
    <t>1000531</t>
  </si>
  <si>
    <t>ENALAPRIL 2.5 MG AMPOLLA</t>
  </si>
  <si>
    <t>1000532</t>
  </si>
  <si>
    <t>BUSCAPINA COMPUESTA COMRIMIDOS</t>
  </si>
  <si>
    <t>1000534</t>
  </si>
  <si>
    <t>SULFADIAZINA DE PLATA CREMA X 400 GR</t>
  </si>
  <si>
    <t>1000543</t>
  </si>
  <si>
    <t>CLONAZEPAM 2MG x 15 COMPRIMIDOS</t>
  </si>
  <si>
    <t>1000545</t>
  </si>
  <si>
    <t>LOSARTAN 100MG</t>
  </si>
  <si>
    <t>1000568</t>
  </si>
  <si>
    <t>ERITROMICINA 500MG</t>
  </si>
  <si>
    <t>1000569</t>
  </si>
  <si>
    <t>FLUCONAZOL TOPICO 20MG</t>
  </si>
  <si>
    <t>1000571</t>
  </si>
  <si>
    <t>ACEMUK 600MG</t>
  </si>
  <si>
    <t>1000580</t>
  </si>
  <si>
    <t>AMBROXOL 30MG</t>
  </si>
  <si>
    <t>1000590</t>
  </si>
  <si>
    <t>IODOPOVIDONA SOLUCION 10% X 100ML</t>
  </si>
  <si>
    <t>1000661</t>
  </si>
  <si>
    <t>1000674</t>
  </si>
  <si>
    <t>ALCOHOL YODADO X 500ML</t>
  </si>
  <si>
    <t>1000688</t>
  </si>
  <si>
    <t>SULFADIAZINA DE PLATA CREMA X 50 GR</t>
  </si>
  <si>
    <t>1000720</t>
  </si>
  <si>
    <t>JARABE MUCOPREDNIBRON 150ML</t>
  </si>
  <si>
    <t>1000721</t>
  </si>
  <si>
    <t>JARABE AMBRIL 120ML</t>
  </si>
  <si>
    <t>1000722</t>
  </si>
  <si>
    <t>CARAMELOS ANTI FECOFAR</t>
  </si>
  <si>
    <t>1000723</t>
  </si>
  <si>
    <t>SINCERUM GOTAS</t>
  </si>
  <si>
    <t>1000759</t>
  </si>
  <si>
    <t>PIECIDEX</t>
  </si>
  <si>
    <t>1000781</t>
  </si>
  <si>
    <t>FLUTICASONA 50mg COMP</t>
  </si>
  <si>
    <t>1000791</t>
  </si>
  <si>
    <t>SOLUCION FISIOLOGICA 100ML</t>
  </si>
  <si>
    <t>1000802</t>
  </si>
  <si>
    <t>ACIDO ACETILSALICILICO 100MG x 20 COMP</t>
  </si>
  <si>
    <t>1000833</t>
  </si>
  <si>
    <t>BISOPROLOL 5MG 30u COMPRIMIDOS</t>
  </si>
  <si>
    <t>1000837</t>
  </si>
  <si>
    <t>BROMHEXINA 120ML JARABE</t>
  </si>
  <si>
    <t>1000853</t>
  </si>
  <si>
    <t>CIPROFLOXACINA 500MG x 20 COMPRIMIDOS</t>
  </si>
  <si>
    <t>1000900</t>
  </si>
  <si>
    <t>ESOMEPRAZOL 20MG 28U CAPSULAS</t>
  </si>
  <si>
    <t>1000961</t>
  </si>
  <si>
    <t>MELATONINA x 30 COMPRIMIDOS</t>
  </si>
  <si>
    <t>1000985</t>
  </si>
  <si>
    <t>PANTENOL+POLIACRILICO ACIDO 10GR CREMA</t>
  </si>
  <si>
    <t>1001001</t>
  </si>
  <si>
    <t>FUSIMED B OTONASAL 15grs</t>
  </si>
  <si>
    <t>1001035</t>
  </si>
  <si>
    <t>TRAMADOL 50MG x 30 COMPRIMIDOS</t>
  </si>
  <si>
    <t>1001193</t>
  </si>
  <si>
    <t>IBUPIRAC 600mg comp x 50un</t>
  </si>
  <si>
    <t>1001194</t>
  </si>
  <si>
    <t>Tempotane 600mg sobres</t>
  </si>
  <si>
    <t>1001216</t>
  </si>
  <si>
    <t>TAVINEX ANTIGRIPAL COMP.</t>
  </si>
  <si>
    <t>1001217</t>
  </si>
  <si>
    <t>AC. POLIACRILICO  10GR GEL</t>
  </si>
  <si>
    <t>1001227</t>
  </si>
  <si>
    <t>RELIVERAN COMP X 20</t>
  </si>
  <si>
    <t>1001234</t>
  </si>
  <si>
    <t>ACICLOVIR 800 mg comp</t>
  </si>
  <si>
    <t>1001236</t>
  </si>
  <si>
    <t>RELIVERAN COMP X 10</t>
  </si>
  <si>
    <t>1001242</t>
  </si>
  <si>
    <t>PERVINOX JAB.LIQ 250ML</t>
  </si>
  <si>
    <t>1001255</t>
  </si>
  <si>
    <t>TAVINEX EXPECTORANTE COMPLEX x 120 ML</t>
  </si>
  <si>
    <t>1001261</t>
  </si>
  <si>
    <t>TEST DE EMBARAZO</t>
  </si>
  <si>
    <t>1001266</t>
  </si>
  <si>
    <t>FACTOR AG SIM COMPRIMIDOS X40</t>
  </si>
  <si>
    <t>1001269</t>
  </si>
  <si>
    <t>KLONAMICIN COMP. GOTAS 5ML</t>
  </si>
  <si>
    <t>1001275</t>
  </si>
  <si>
    <t>EMPECID CREMA X20GRS</t>
  </si>
  <si>
    <t>1001286</t>
  </si>
  <si>
    <t>FLUTICASONA 50MG X120DS SPRAY</t>
  </si>
  <si>
    <t>1001289</t>
  </si>
  <si>
    <t>RELIVERAN comp Sub x10</t>
  </si>
  <si>
    <t>1001299</t>
  </si>
  <si>
    <t>TAVINEX EXPECTORANTE FORTE JBE</t>
  </si>
  <si>
    <t>1001301</t>
  </si>
  <si>
    <t>ERNEX COMP X 10UN</t>
  </si>
  <si>
    <t>1001303</t>
  </si>
  <si>
    <t>ERNEX COMP X 20UN</t>
  </si>
  <si>
    <t>1001306</t>
  </si>
  <si>
    <t>LIDOCAINA 2% 5 ML AMPOLLA</t>
  </si>
  <si>
    <t>1001307</t>
  </si>
  <si>
    <t>SOLVENTE INDOLORO AMP X 5ML</t>
  </si>
  <si>
    <t>1001308</t>
  </si>
  <si>
    <t>MIDATUS 2mg/ml x 10 AMP</t>
  </si>
  <si>
    <t>1001309</t>
  </si>
  <si>
    <t>FLUTICASONA 50mg x60 dosis spray</t>
  </si>
  <si>
    <t>1001313</t>
  </si>
  <si>
    <t>IBUPROFENO COMP 400MG</t>
  </si>
  <si>
    <t>1001322</t>
  </si>
  <si>
    <t>FLUTICASONA HFA 250mcg aer x 250ds</t>
  </si>
  <si>
    <t>1001385</t>
  </si>
  <si>
    <t>DICLOGESIC 75MG X15COMP</t>
  </si>
  <si>
    <t>1001386</t>
  </si>
  <si>
    <t>Mononitrato de isosorbide x 40un</t>
  </si>
  <si>
    <t>1002225</t>
  </si>
  <si>
    <t>DESLORATADINA + BETAMET x 10 COMP</t>
  </si>
  <si>
    <t>1005122</t>
  </si>
  <si>
    <t>FOCUR X 20 CAPS</t>
  </si>
  <si>
    <t>1005123</t>
  </si>
  <si>
    <t>KLONAFENAC GEL 50GRS</t>
  </si>
  <si>
    <t>1005124</t>
  </si>
  <si>
    <t>TOBRABIOTIC X 5ML</t>
  </si>
  <si>
    <t>1005125</t>
  </si>
  <si>
    <t>BIOCORT GOTAS 5ML</t>
  </si>
  <si>
    <t>1005126</t>
  </si>
  <si>
    <t>XICLOVIR 800MG COMP</t>
  </si>
  <si>
    <t>1005130</t>
  </si>
  <si>
    <t>BROHMEX + BUTETA JBE X 120ML</t>
  </si>
  <si>
    <t>1005143</t>
  </si>
  <si>
    <t>KEMANAT 20MG COMP</t>
  </si>
  <si>
    <t>1005145</t>
  </si>
  <si>
    <t>CLORURO DE SODIO 0,9%/500ML</t>
  </si>
  <si>
    <t>1005147</t>
  </si>
  <si>
    <t>SULFADIZINA + VIT A + LIDOC 350GRS</t>
  </si>
  <si>
    <t>1005210</t>
  </si>
  <si>
    <t>SILLA DE RUEDAS</t>
  </si>
  <si>
    <t>1005306</t>
  </si>
  <si>
    <t>DELTISONA B 8MG X 20COMP</t>
  </si>
  <si>
    <t>1005328</t>
  </si>
  <si>
    <t>DESCARTADOR DE PUNZANTES CHICO DE 1/2LT</t>
  </si>
  <si>
    <t>1005353</t>
  </si>
  <si>
    <t>INSULINA ASPARTICA CART X5UN</t>
  </si>
  <si>
    <t>2000001</t>
  </si>
  <si>
    <t>SONDA DE ASPIRACION SHINOBI K-31P</t>
  </si>
  <si>
    <t>2000002</t>
  </si>
  <si>
    <t>CATETER INTRAVENOSO 14G T/ABBOCATH</t>
  </si>
  <si>
    <t>2000013</t>
  </si>
  <si>
    <t>AGUJA PERICRANEAL 19G T/BUTTERFLY</t>
  </si>
  <si>
    <t>2000019</t>
  </si>
  <si>
    <t>TUBO ENDOTRAQ N° 7.5 C/BALON</t>
  </si>
  <si>
    <t>2000030</t>
  </si>
  <si>
    <t>MARTILLO DE REFLEJOS</t>
  </si>
  <si>
    <t>2000031</t>
  </si>
  <si>
    <t>SONDA NASOGASTRICA K-30 KOLLER</t>
  </si>
  <si>
    <t>2000032</t>
  </si>
  <si>
    <t>SONDA NELATON</t>
  </si>
  <si>
    <t>2000034</t>
  </si>
  <si>
    <t>TELA ADHESIVA 2.5CM HOSPITALARIA</t>
  </si>
  <si>
    <t>2000042</t>
  </si>
  <si>
    <t>BOLSO OBSTETRICIA</t>
  </si>
  <si>
    <t>2000043</t>
  </si>
  <si>
    <t>BOLSO DE VIA AEREA AZUL</t>
  </si>
  <si>
    <t>2000044</t>
  </si>
  <si>
    <t>AGUJA PERICRANEAL 21G T/BUTTERFLY</t>
  </si>
  <si>
    <t>2000045</t>
  </si>
  <si>
    <t>AGUJA PERICRANEAL 23G T/BUTTERFLY</t>
  </si>
  <si>
    <t>2000046</t>
  </si>
  <si>
    <t>AGUJA PERICRANEAL 25G T/BUTTERFLY</t>
  </si>
  <si>
    <t>2000047</t>
  </si>
  <si>
    <t>AGUJA PERICRANEAL 27G T/BUTTERFLY</t>
  </si>
  <si>
    <t>2000048</t>
  </si>
  <si>
    <t>CAMISOLIN AZUL 25GR PUÑO C/ELASTICO 1MT</t>
  </si>
  <si>
    <t>2000049</t>
  </si>
  <si>
    <t>COLLAR CERVICAL CHICO</t>
  </si>
  <si>
    <t>2000050</t>
  </si>
  <si>
    <t>COLLAR CERV. GRANDE</t>
  </si>
  <si>
    <t>2000051</t>
  </si>
  <si>
    <t>COLLAR CERVICAL MEDIANO</t>
  </si>
  <si>
    <t>2000053</t>
  </si>
  <si>
    <t>ROLLO PARA E.C.G. DE 45x30</t>
  </si>
  <si>
    <t>2000054</t>
  </si>
  <si>
    <t>FERULA DIGITAL DE 15 MM DE ALUMINIO</t>
  </si>
  <si>
    <t>2000055</t>
  </si>
  <si>
    <t>FERULA DIGITAL DE 20 MM DE ALUMINIO</t>
  </si>
  <si>
    <t>2000056</t>
  </si>
  <si>
    <t>HISOPOS GINECOLOGICOS</t>
  </si>
  <si>
    <t>2000057</t>
  </si>
  <si>
    <t>KIT DE OBSTETRICIA</t>
  </si>
  <si>
    <t>2000059</t>
  </si>
  <si>
    <t>LAZO  DE GOMA POR MTS (HEMOSTATICO)</t>
  </si>
  <si>
    <t>2000061</t>
  </si>
  <si>
    <t>MANDRIL ESTERIL PEDIATRICO 2MM</t>
  </si>
  <si>
    <t>2000062</t>
  </si>
  <si>
    <t>PAÑAL COMODIN ANATOMICO GRANDE</t>
  </si>
  <si>
    <t>2000064</t>
  </si>
  <si>
    <t>ROLLO PARA E.C.G DE 50 x 20CM</t>
  </si>
  <si>
    <t>2000065</t>
  </si>
  <si>
    <t>SONDA NASOGASTRICA K-29P KOLLER</t>
  </si>
  <si>
    <t>2000066</t>
  </si>
  <si>
    <t>SONDA FOLEY 100% SILICONA 2 VÍAS Nº18</t>
  </si>
  <si>
    <t>2000067</t>
  </si>
  <si>
    <t>TUBO ENDOTRAQ. Nº 2 C/BALON</t>
  </si>
  <si>
    <t>2000068</t>
  </si>
  <si>
    <t>TUBO ENDOTRAQ. Nº 2.5 C/BALON</t>
  </si>
  <si>
    <t>2000069</t>
  </si>
  <si>
    <t>TUBO ENDOTRAQ. Nº 3 C/BALON</t>
  </si>
  <si>
    <t>2000070</t>
  </si>
  <si>
    <t>TUBO ENDOTRAQ. Nº 3.5 C/BALON</t>
  </si>
  <si>
    <t>2000071</t>
  </si>
  <si>
    <t>BOLSO BIOSEGURIDAD</t>
  </si>
  <si>
    <t>2000072</t>
  </si>
  <si>
    <t>TUBO ENDOTRAQ. Nº 4 C/BALON</t>
  </si>
  <si>
    <t>2000073</t>
  </si>
  <si>
    <t>TUBO ENDOTRAQ N° 4.5 C/BALON</t>
  </si>
  <si>
    <t>2000074</t>
  </si>
  <si>
    <t>TUBO ENDOTRAQ. Nº 5 C/BALON</t>
  </si>
  <si>
    <t>2000075</t>
  </si>
  <si>
    <t>TUBO ENDOTRAQ N° 5.5 C/BALON</t>
  </si>
  <si>
    <t>2000076</t>
  </si>
  <si>
    <t>TUBO ENDOTRAQ N° 6 C/BALON</t>
  </si>
  <si>
    <t>2000077</t>
  </si>
  <si>
    <t>TUBO ENDOTRAQ Nº 7 C/BALON</t>
  </si>
  <si>
    <t>2000078</t>
  </si>
  <si>
    <t>TUBO ENDOTRAQ N° 8 C/BALON</t>
  </si>
  <si>
    <t>2000080</t>
  </si>
  <si>
    <t>VENDA TIPO CAMBRIC X 5 CM</t>
  </si>
  <si>
    <t>2000081</t>
  </si>
  <si>
    <t>VENDA TIPO CAMBRIC X  7.5 cm</t>
  </si>
  <si>
    <t>2000082</t>
  </si>
  <si>
    <t>ROLLO PARA E.C.G DE 50X30CM</t>
  </si>
  <si>
    <t>2000083</t>
  </si>
  <si>
    <t>FRASCOS DE PLASTICO CON TAPA A ROSCA</t>
  </si>
  <si>
    <t>2000084</t>
  </si>
  <si>
    <t>PARCHES PARA MARCAPASO</t>
  </si>
  <si>
    <t>2000085</t>
  </si>
  <si>
    <t>BOLSAS ROJA CHICAS CON CIERRE ZIPLOC</t>
  </si>
  <si>
    <t>2000086</t>
  </si>
  <si>
    <t>COLLAR CERVICAL PEQUEÑO</t>
  </si>
  <si>
    <t>2000087</t>
  </si>
  <si>
    <t>SET FERULAS INFLABLES PARA MIEMBROS INF.</t>
  </si>
  <si>
    <t>2000088</t>
  </si>
  <si>
    <t>GUANTE DE NITRILO S/LATEX N°7.5 POR PAR</t>
  </si>
  <si>
    <t>2000089</t>
  </si>
  <si>
    <t>GUANTES ESTERILES Nº 8.5 POR PAR</t>
  </si>
  <si>
    <t>2000091</t>
  </si>
  <si>
    <t>SONDA DE ASPIRACION K-10P</t>
  </si>
  <si>
    <t>2000092</t>
  </si>
  <si>
    <t>SONDA VESICAL DE 2 VÍAS Nº 14 (LÁTEX)</t>
  </si>
  <si>
    <t>2000093</t>
  </si>
  <si>
    <t>SONDA VESICAL DE 2 VIAS Nº 16  (LÁTEX)</t>
  </si>
  <si>
    <t>2000094</t>
  </si>
  <si>
    <t>TUBO ENDOTRAQ Nº 9 C/BALON</t>
  </si>
  <si>
    <t>2000095</t>
  </si>
  <si>
    <t>APOSITO NO ESTERIL (G+A) 10X20CM</t>
  </si>
  <si>
    <t>2000096</t>
  </si>
  <si>
    <t>APOSITO NO ESTERIL (G+A) 15X20CM</t>
  </si>
  <si>
    <t>2000097</t>
  </si>
  <si>
    <t>APOSITO INCONT EXTREMA XG - COMODIN</t>
  </si>
  <si>
    <t>2000098</t>
  </si>
  <si>
    <t>APOSITO QUIRURGICO ESTERIL 10X20CM-SYRA</t>
  </si>
  <si>
    <t>2000099</t>
  </si>
  <si>
    <t>BAÑO FACIL</t>
  </si>
  <si>
    <t>2000101</t>
  </si>
  <si>
    <t>BOLSA ROJA GRANDE</t>
  </si>
  <si>
    <t>2000103</t>
  </si>
  <si>
    <t>CANULA NASAL O2T SIL 100% COD 230-09 PED</t>
  </si>
  <si>
    <t>2000104</t>
  </si>
  <si>
    <t>CANULA P/TQT PORTEX Nº6 SUBGLO VOCAL C/B</t>
  </si>
  <si>
    <t>2000105</t>
  </si>
  <si>
    <t>CANULA P/TQT C/B PORTEX Nº 10 VOCALAID S</t>
  </si>
  <si>
    <t>2000106</t>
  </si>
  <si>
    <t>CANULA P/TQT SHILEY N° 5.0 C/B PCF</t>
  </si>
  <si>
    <t>2000107</t>
  </si>
  <si>
    <t>CANULA P/TQT C/B SHILEY Nº6.0 PLCF/PLC</t>
  </si>
  <si>
    <t>2000108</t>
  </si>
  <si>
    <t>CANULA P/TQT PORTEX Nº4.0 C/B</t>
  </si>
  <si>
    <t>2000109</t>
  </si>
  <si>
    <t>CANULA P/TQT PORTEX Nº4 S/B 100/506/040</t>
  </si>
  <si>
    <t>2000110</t>
  </si>
  <si>
    <t>CANULA P/TQT PORTEX Nº8 SUBG 100/860/080</t>
  </si>
  <si>
    <t>2000111</t>
  </si>
  <si>
    <t>CANULA P/TQT RUSH Nº 5 S/B BIELSASKY</t>
  </si>
  <si>
    <t>2000112</t>
  </si>
  <si>
    <t>CANULA P/TQT SHILEY N° 4.0 S/B PEF</t>
  </si>
  <si>
    <t>2000113</t>
  </si>
  <si>
    <t>CANULA P/TQT SHILEY N° 6.0 S/B PELF</t>
  </si>
  <si>
    <t>2000114</t>
  </si>
  <si>
    <t>CANULA P/TQT SHILEY N° 5.0 S/B PEF</t>
  </si>
  <si>
    <t>2000115</t>
  </si>
  <si>
    <t>CANULA P/TQT SHILEY N° 5.5 C/B PCF</t>
  </si>
  <si>
    <t>2000116</t>
  </si>
  <si>
    <t>CANULA P/TQT C/B SHILEY 6.5 PLCF/PLC</t>
  </si>
  <si>
    <t>2000117</t>
  </si>
  <si>
    <t>CANULA P/TQT SHILEY N° 4.0 S/B NEF</t>
  </si>
  <si>
    <t>2000118</t>
  </si>
  <si>
    <t>CANULA P/TQT S/B SHILEY Nº4.5 PEF/PED</t>
  </si>
  <si>
    <t>2000120</t>
  </si>
  <si>
    <t>CLAMPS UMBILICAL DESCARTABLE PARA PARTO</t>
  </si>
  <si>
    <t>2000122</t>
  </si>
  <si>
    <t>CONECT FLEX TIPO MON COVIDIEN R 353P5908</t>
  </si>
  <si>
    <t>2000123</t>
  </si>
  <si>
    <t>CONECTOR WHISPERS P/OXIGENO BPAP/CPAP</t>
  </si>
  <si>
    <t>2000124</t>
  </si>
  <si>
    <t>DUODERM GEL 30 GR X 3 UNI</t>
  </si>
  <si>
    <t>2000125</t>
  </si>
  <si>
    <t>DUODERM EXTRA THIN 10X10</t>
  </si>
  <si>
    <t>2000126</t>
  </si>
  <si>
    <t>APOSITO DUODERM EXTRA THIN 15X15CM</t>
  </si>
  <si>
    <t>2000127</t>
  </si>
  <si>
    <t>DUODERM EXTRA THIN 20X20</t>
  </si>
  <si>
    <t>2000129</t>
  </si>
  <si>
    <t>FILTRO P/TQT HUMID-VENT (MINI) 10011</t>
  </si>
  <si>
    <t>2000130</t>
  </si>
  <si>
    <t>FILTRO P/TQT HUMID-VENT (MINI) 11012</t>
  </si>
  <si>
    <t>2000131</t>
  </si>
  <si>
    <t>FILTRO P/TQT TRACHEOLIFE II HME353/19004</t>
  </si>
  <si>
    <t>2000132</t>
  </si>
  <si>
    <t>FILTRO P/TQT TRACH-VENT 41312</t>
  </si>
  <si>
    <t>2000133</t>
  </si>
  <si>
    <t>FILTRO PARA ASPIRADOR SILFAB Nº 33</t>
  </si>
  <si>
    <t>2000136</t>
  </si>
  <si>
    <t>ESPECULOS CHICOS</t>
  </si>
  <si>
    <t>2000137</t>
  </si>
  <si>
    <t>FRASCO CON TAPA P/ASPIRACION DEVILBISS</t>
  </si>
  <si>
    <t>2000138</t>
  </si>
  <si>
    <t>HISOPOS COMUNES</t>
  </si>
  <si>
    <t>2000139</t>
  </si>
  <si>
    <t>PUNCH DE BIOPSIA DE 3 MM</t>
  </si>
  <si>
    <t>2000140</t>
  </si>
  <si>
    <t>PUNCH DE BIOPSIA DE 4 MM</t>
  </si>
  <si>
    <t>2000141</t>
  </si>
  <si>
    <t>FRASCO DE ALIMENTACION X 500 ML</t>
  </si>
  <si>
    <t>2000142</t>
  </si>
  <si>
    <t>FRASCO DE ALIMENTACION 750 CC DOBLE PICO</t>
  </si>
  <si>
    <t>2000143</t>
  </si>
  <si>
    <t>FRASCO DE ORINA ESTERIL</t>
  </si>
  <si>
    <t>2000144</t>
  </si>
  <si>
    <t>SONDA DE ASPIRACION K-31P TOM FAC</t>
  </si>
  <si>
    <t>2000145</t>
  </si>
  <si>
    <t>Kit  DE  H.I.V.</t>
  </si>
  <si>
    <t>2000146</t>
  </si>
  <si>
    <t>MASCARA  DE O2 PED C/INTERCAMBIADOR DE %</t>
  </si>
  <si>
    <t>2000147</t>
  </si>
  <si>
    <t>GASA ESTERIL 10X10 GASANA</t>
  </si>
  <si>
    <t>2000149</t>
  </si>
  <si>
    <t>GASA ESTERIL 20X20CM - GASANA</t>
  </si>
  <si>
    <t>2000150</t>
  </si>
  <si>
    <t>GASA ESTER. NO TEJID P/TQT 10X10 IGALTEX</t>
  </si>
  <si>
    <t>2000152</t>
  </si>
  <si>
    <t>GASA ESTER. P/TQT NO TEJIDA 10X10</t>
  </si>
  <si>
    <t>2000153</t>
  </si>
  <si>
    <t>GASA EXCILON 5X5CM - COVIDIEN REF 7089</t>
  </si>
  <si>
    <t>2000154</t>
  </si>
  <si>
    <t>GASA VERSALON 10X10 COD 8044 KENDALL</t>
  </si>
  <si>
    <t>2000155</t>
  </si>
  <si>
    <t>PAPEL TESTIGO PARA ESTERILIZAR</t>
  </si>
  <si>
    <t>2000156</t>
  </si>
  <si>
    <t>GUANTES ESTERILES Nº 7 POR PAR</t>
  </si>
  <si>
    <t>2000159</t>
  </si>
  <si>
    <t>GUANTES DE EXAMINACIÓN DE VINILO M</t>
  </si>
  <si>
    <t>2000160</t>
  </si>
  <si>
    <t>GUIA P/USO C/BOMBA BIOMAX 500 BAE C/SPIK</t>
  </si>
  <si>
    <t>2000161</t>
  </si>
  <si>
    <t>GUIA PARA USO CON BOMBA KANGAROO</t>
  </si>
  <si>
    <t>2000162</t>
  </si>
  <si>
    <t>HISOPOS PEDIATRICOS X 100 UNID.</t>
  </si>
  <si>
    <t>2000163</t>
  </si>
  <si>
    <t>INFLADOR MANUAL PARA FERULA CON ADAPT.</t>
  </si>
  <si>
    <t>2000164</t>
  </si>
  <si>
    <t>JERINGA 3 ML DESC. ESTERIL</t>
  </si>
  <si>
    <t>2000166</t>
  </si>
  <si>
    <t>KIT DE NEBULIZADOR P/TQT HUDSON REF 1882</t>
  </si>
  <si>
    <t>2000168</t>
  </si>
  <si>
    <t>MASCARA PARA O2 ADULT C/INTERCAMBIADOR D</t>
  </si>
  <si>
    <t>2000169</t>
  </si>
  <si>
    <t>MICRO MISTER NEBULIZER N1886-HUDSON(RCI)</t>
  </si>
  <si>
    <t>2000170</t>
  </si>
  <si>
    <t>PAÑAL ADULT NONISEC ULTRA C/GEL RECTO XG</t>
  </si>
  <si>
    <t>2000171</t>
  </si>
  <si>
    <t>PAÑAL HUGGIES CLASSICS XXG</t>
  </si>
  <si>
    <t>2000172</t>
  </si>
  <si>
    <t>PAÑAL HUGGIES NATURAL CARE XXG NENE</t>
  </si>
  <si>
    <t>2000173</t>
  </si>
  <si>
    <t>PAÑAL INDASLIP ABS M8</t>
  </si>
  <si>
    <t>2000174</t>
  </si>
  <si>
    <t>PAÑAL INDASLIP ABS L8</t>
  </si>
  <si>
    <t>2000175</t>
  </si>
  <si>
    <t>PAÑAL INDASLIP S7 PAQ UNISEX</t>
  </si>
  <si>
    <t>2000176</t>
  </si>
  <si>
    <t>PAÑAL INDASLIP PREMIUM S8 X 20 UNI</t>
  </si>
  <si>
    <t>2000177</t>
  </si>
  <si>
    <t>PAÑAL INDASLIP PREMIUM M9</t>
  </si>
  <si>
    <t>2000178</t>
  </si>
  <si>
    <t>PAÑAL ADULTO ANATOMICO XG - COMODIN</t>
  </si>
  <si>
    <t>2000179</t>
  </si>
  <si>
    <t>PAÑAL PLENITUD CLASSIC GRANDE</t>
  </si>
  <si>
    <t>2000180</t>
  </si>
  <si>
    <t>PAÑAL PLENITUD PROTECT GRANDE</t>
  </si>
  <si>
    <t>2000181</t>
  </si>
  <si>
    <t>PAÑAL COMODIN ANATOMICO MEDIANO</t>
  </si>
  <si>
    <t>2000182</t>
  </si>
  <si>
    <t>PAÑALES COMODIN ANATOMICO CHICO</t>
  </si>
  <si>
    <t>2000183</t>
  </si>
  <si>
    <t>APOSITO T/TEGADERM 10X12CM SUPRAFILM</t>
  </si>
  <si>
    <t>2000184</t>
  </si>
  <si>
    <t>APOSITO TRANSPARENTE 6X7CM T/TEGADERM</t>
  </si>
  <si>
    <t>2000186</t>
  </si>
  <si>
    <t>PROLONG. D LIQ P/BTN MICKEY KC 0121-12</t>
  </si>
  <si>
    <t>2000187</t>
  </si>
  <si>
    <t>PROLONGAD D SEMSOL P/BTN MICKEY KC123-12</t>
  </si>
  <si>
    <t>2000188</t>
  </si>
  <si>
    <t>PROLONGADOR PT 63</t>
  </si>
  <si>
    <t>2000189</t>
  </si>
  <si>
    <t>PROLONGADOR PT 64</t>
  </si>
  <si>
    <t>2000190</t>
  </si>
  <si>
    <t>REFUERZO PAÑAL COMODIN ADUL GRANDE</t>
  </si>
  <si>
    <t>2000191</t>
  </si>
  <si>
    <t>SOLUCION FISIOLOGICA AMPOLLA DE 10 ML</t>
  </si>
  <si>
    <t>2000192</t>
  </si>
  <si>
    <t>SONDA D ALIM NASGASTR PED SILMAG R392-07</t>
  </si>
  <si>
    <t>2000193</t>
  </si>
  <si>
    <t>SONDA DE ASPIRACION K-29P KOLLER C/REG</t>
  </si>
  <si>
    <t>2000194</t>
  </si>
  <si>
    <t>SONDA DE ASPIRACION K-32P TOM FAC C/REG</t>
  </si>
  <si>
    <t>2000195</t>
  </si>
  <si>
    <t>SONDA DE ASPIRACION K-33P TOM FAC C/REG</t>
  </si>
  <si>
    <t>2000196</t>
  </si>
  <si>
    <t>SONDA FOLEY DE 3 VIAS Nº20 100% SILICONA</t>
  </si>
  <si>
    <t>2000197</t>
  </si>
  <si>
    <t>SONDA FOLEY DE 2 VIAS Nº20 100% SIL</t>
  </si>
  <si>
    <t>2000198</t>
  </si>
  <si>
    <t>SONDA FOLEY DE 2 VIAS Nº22 100% SILICONA</t>
  </si>
  <si>
    <t>2000199</t>
  </si>
  <si>
    <t>SONDA FOLEY  DE  2   VIAS Nº10 100% SILI</t>
  </si>
  <si>
    <t>2000200</t>
  </si>
  <si>
    <t>SONDA SPEEDICAT REF 28412</t>
  </si>
  <si>
    <t>2000201</t>
  </si>
  <si>
    <t>SONDA VESICAL DE 2 VIAS Nº 18 (LATEX)</t>
  </si>
  <si>
    <t>2000202</t>
  </si>
  <si>
    <t>SONDAS URETRALES K-93 KOLLER</t>
  </si>
  <si>
    <t>2000203</t>
  </si>
  <si>
    <t>SONDAS URETRALES K-97 KOLLER</t>
  </si>
  <si>
    <t>2000204</t>
  </si>
  <si>
    <t>APOSITO TEGADERM 20X30 (3M)</t>
  </si>
  <si>
    <t>2000207</t>
  </si>
  <si>
    <t>TELA ADH AL ZnO NO HIPOALERG 2.5CM</t>
  </si>
  <si>
    <t>2000208</t>
  </si>
  <si>
    <t>TELA ADH AL ZnO NO HIPOALERG 5CM</t>
  </si>
  <si>
    <t>2000210</t>
  </si>
  <si>
    <t>TRAMPA D AGUA P/CIRCUITO REF70011 ADULTO</t>
  </si>
  <si>
    <t>2000211</t>
  </si>
  <si>
    <t>TUBULADURA PARA O2  DE 2 MTS</t>
  </si>
  <si>
    <t>2000212</t>
  </si>
  <si>
    <t>VÁLVULA DE FONACIÓN TRACOE</t>
  </si>
  <si>
    <t>2000213</t>
  </si>
  <si>
    <t>VALVULA D RED.MED PRES CONT(015_VALV)</t>
  </si>
  <si>
    <t>2000214</t>
  </si>
  <si>
    <t>VALVULA DE FONACION SHILEY-COVIDIEN</t>
  </si>
  <si>
    <t>2000215</t>
  </si>
  <si>
    <t>ZALEAS DESCARTABLES NONISEC GRANDE</t>
  </si>
  <si>
    <t>2000216</t>
  </si>
  <si>
    <t>MASCARA LARINGEAS Nº 2,5 PEDIATRICA PARA</t>
  </si>
  <si>
    <t>2000217</t>
  </si>
  <si>
    <t>CUBRECAMILLA ELASTIZADA 0.90 X 2,00 MT</t>
  </si>
  <si>
    <t>2000218</t>
  </si>
  <si>
    <t>MALETIN PLANO</t>
  </si>
  <si>
    <t>2000219</t>
  </si>
  <si>
    <t>CANULA P/TQT PORTEX Nº 7C/B 100/517/070</t>
  </si>
  <si>
    <t>2000222</t>
  </si>
  <si>
    <t>AEROCAMARA P/CIRCUITO AEROVENT</t>
  </si>
  <si>
    <t>2000223</t>
  </si>
  <si>
    <t>APOSITO COMFEEL PLUS TRANSPARENT 15X15CM</t>
  </si>
  <si>
    <t>2000224</t>
  </si>
  <si>
    <t>APOSITO COMFEEL PLUS TRANSPARENTE 9X14CM</t>
  </si>
  <si>
    <t>2000225</t>
  </si>
  <si>
    <t>APOSITO T/TEGADERM 4X4 CM "SUPRAFILM"</t>
  </si>
  <si>
    <t>2000226</t>
  </si>
  <si>
    <t>CANULA P/TQT RUSH Nº 9 BIELSASKY 120900</t>
  </si>
  <si>
    <t>2000227</t>
  </si>
  <si>
    <t>FILTRO PROVOX HME CASSETTES AT 7290</t>
  </si>
  <si>
    <t>2000228</t>
  </si>
  <si>
    <t>GASA ESTERIL 15X15CM - GASANA</t>
  </si>
  <si>
    <t>2000229</t>
  </si>
  <si>
    <t>GASA ESTERIL 7,5X7,5CM NO TEJIDA IGALTEX</t>
  </si>
  <si>
    <t>2000230</t>
  </si>
  <si>
    <t>GUANTES SINTETICOS LIBRE DE LATEX "PROFE</t>
  </si>
  <si>
    <t>2000231</t>
  </si>
  <si>
    <t>GUIA ALIMEN PARA BOMBA KANGAROO A 200</t>
  </si>
  <si>
    <t>2000232</t>
  </si>
  <si>
    <t>PAÑAL BEBE G - PAMPERS BABYSAN</t>
  </si>
  <si>
    <t>2000233</t>
  </si>
  <si>
    <t>PAÑAL PAMPERS CONFORTSEC XXG</t>
  </si>
  <si>
    <t>2000234</t>
  </si>
  <si>
    <t>PAÑAL PLENITUD CLASSIC MED</t>
  </si>
  <si>
    <t>2000235</t>
  </si>
  <si>
    <t>PAÑO HIGIENE JABONOSO - IGALTEX</t>
  </si>
  <si>
    <t>2000236</t>
  </si>
  <si>
    <t>SONDA DE ASPIRACION K-28P KOLLER SA30</t>
  </si>
  <si>
    <t>2000237</t>
  </si>
  <si>
    <t>SONDA FOLEY 2 VIAS Nº14 100% SILICONA</t>
  </si>
  <si>
    <t>2000238</t>
  </si>
  <si>
    <t>TOALLAS HUMEDAS ADDERMIS X60</t>
  </si>
  <si>
    <t>2000239</t>
  </si>
  <si>
    <t>TRAMPA DE AGUA HUDSON COD 1650</t>
  </si>
  <si>
    <t>2000240</t>
  </si>
  <si>
    <t>CANULA TQT AURINCO Nº 4.5  S/B</t>
  </si>
  <si>
    <t>2000243</t>
  </si>
  <si>
    <t>SONDA DE ASPIRACION K-30P TOM FAC</t>
  </si>
  <si>
    <t>2000244</t>
  </si>
  <si>
    <t>SONDA FOLEY 2 VIAS Nº16 DE LÁTEX</t>
  </si>
  <si>
    <t>2000245</t>
  </si>
  <si>
    <t>SONDA DE ASPIRACION K-32P KOLLER</t>
  </si>
  <si>
    <t>2000246</t>
  </si>
  <si>
    <t>MANOPLAS DE POLIETILENO</t>
  </si>
  <si>
    <t>2000247</t>
  </si>
  <si>
    <t>GASA EXCILON 10X10CM - COVIDIEN REF 7088</t>
  </si>
  <si>
    <t>2000248</t>
  </si>
  <si>
    <t>CANULA P/TQT SHILEY N° 5.5 S/B PEF</t>
  </si>
  <si>
    <t>2000249</t>
  </si>
  <si>
    <t>SONDA D ALIM NASGASTR PED SILMAG 392-06</t>
  </si>
  <si>
    <t>2000250</t>
  </si>
  <si>
    <t>CANULA P/TQT C/B Nº4 SHILEY PDC</t>
  </si>
  <si>
    <t>2000251</t>
  </si>
  <si>
    <t>CANULA TQT AURINCO Nº 8 C/ASPIR SUBGLOT</t>
  </si>
  <si>
    <t>2000252</t>
  </si>
  <si>
    <t>CANULA P/TQT C/B SHILEY Nº 9</t>
  </si>
  <si>
    <t>2000253</t>
  </si>
  <si>
    <t>CANULA P/TQT S/B RUSH BIELSASKY Nº8</t>
  </si>
  <si>
    <t>2000254</t>
  </si>
  <si>
    <t>SONDA DE ASPIRACION K-33P KOLLER</t>
  </si>
  <si>
    <t>2000255</t>
  </si>
  <si>
    <t>SONDA DE ASPIRACION K-31P KOLLER</t>
  </si>
  <si>
    <t>2000256</t>
  </si>
  <si>
    <t>FILTRO HMEF C/PTO LUER LOCK REF-70313</t>
  </si>
  <si>
    <t>2000257</t>
  </si>
  <si>
    <t>SONDA ALIMENT. P/SEMISOLIDOS BARD COD257</t>
  </si>
  <si>
    <t>2000258</t>
  </si>
  <si>
    <t>CANULA NASAL  PARA O2 PEDIATRICA "HOSPIT</t>
  </si>
  <si>
    <t>2000259</t>
  </si>
  <si>
    <t>AEROCAMARA P/TQT ACE PORTEX COD 11-1010</t>
  </si>
  <si>
    <t>2000260</t>
  </si>
  <si>
    <t>TUBULADURA CORRUGADA PARA B-PAP</t>
  </si>
  <si>
    <t>2000261</t>
  </si>
  <si>
    <t>CANULA P/TQT SHILEY N° 4.0 C/B PCF</t>
  </si>
  <si>
    <t>2000262</t>
  </si>
  <si>
    <t>GUANTE DE NITRILO S/LATEX N° 7 POR PAR</t>
  </si>
  <si>
    <t>2000263</t>
  </si>
  <si>
    <t>SONDA VESICAL 3 VIAS Nº22 100% SILICONA</t>
  </si>
  <si>
    <t>2000264</t>
  </si>
  <si>
    <t>SONDA FOLEY 2 VIAS Nº24 100% SILICONA PU</t>
  </si>
  <si>
    <t>2000265</t>
  </si>
  <si>
    <t>ZALEAS DESCARTABLES SABANINDAS 180X80</t>
  </si>
  <si>
    <t>2000266</t>
  </si>
  <si>
    <t>CANULA P/TQT C/B SHILEY Nº8 C/CAMISA</t>
  </si>
  <si>
    <t>2000267</t>
  </si>
  <si>
    <t>PAÑAL HUGGIES  NAT CARE GDE NENE</t>
  </si>
  <si>
    <t>2000268</t>
  </si>
  <si>
    <t>PAÑAL NENE TALLE 6 17/28 KGS</t>
  </si>
  <si>
    <t>2000271</t>
  </si>
  <si>
    <t>HIPOGLOS 50 GR CREMA</t>
  </si>
  <si>
    <t>2000272</t>
  </si>
  <si>
    <t>PAÑAL PAMPERS BABYSAN XG</t>
  </si>
  <si>
    <t>2000273</t>
  </si>
  <si>
    <t>SONDA DE ASPIRACION K- 29 TOM FAC</t>
  </si>
  <si>
    <t>2000274</t>
  </si>
  <si>
    <t>SONDA K-108 KOLLER</t>
  </si>
  <si>
    <t>2000275</t>
  </si>
  <si>
    <t>SONDA NASOGASTRICA K-32</t>
  </si>
  <si>
    <t>2000276</t>
  </si>
  <si>
    <t>APOSITO ESTERIL (G+A) 15X20CM - IGALTEX</t>
  </si>
  <si>
    <t>2000277</t>
  </si>
  <si>
    <t>APOSITO ESTERIL (G+A) 15X20CM - INSXXI</t>
  </si>
  <si>
    <t>2000278</t>
  </si>
  <si>
    <t>APOS ESTERIL (G+A) 10X20 IGALTEX S/POUCH</t>
  </si>
  <si>
    <t>2000279</t>
  </si>
  <si>
    <t>APOSITO ESTERIL (G+A) 10X20CM - INSXXI</t>
  </si>
  <si>
    <t>2000280</t>
  </si>
  <si>
    <t>GASA ESTERIL 20X20CM - IGALTEX</t>
  </si>
  <si>
    <t>2000281</t>
  </si>
  <si>
    <t>GASA ESTERIL 10X10 LA CEADE</t>
  </si>
  <si>
    <t>2000282</t>
  </si>
  <si>
    <t>SONDA SPEEDICATH P/CAT CH-12 ROCHESTER</t>
  </si>
  <si>
    <t>2000283</t>
  </si>
  <si>
    <t>SONDA URETRAL K-93 POLYMED</t>
  </si>
  <si>
    <t>2000284</t>
  </si>
  <si>
    <t>INTRASITE GEL X 25 GRS</t>
  </si>
  <si>
    <t>2000285</t>
  </si>
  <si>
    <t>APOSITO TRANSPARENTE 10X12CM T/TEGADERM</t>
  </si>
  <si>
    <t>2000286</t>
  </si>
  <si>
    <t>APOSITO TRANSPARENTE 15X25CM T/TEGADERM</t>
  </si>
  <si>
    <t>2000288</t>
  </si>
  <si>
    <t>GUIA PARA/BOMBA KANGAROO KENDALL 674626</t>
  </si>
  <si>
    <t>2000289</t>
  </si>
  <si>
    <t>TELA ADHES DURAPORE X 5CM SEDA HIPOALARG</t>
  </si>
  <si>
    <t>2000290</t>
  </si>
  <si>
    <t>SONDA ALIMENT P/LIQUIDOS BARD COD 256</t>
  </si>
  <si>
    <t>2000291</t>
  </si>
  <si>
    <t>AGUJA HUBER</t>
  </si>
  <si>
    <t>2000292</t>
  </si>
  <si>
    <t>CIRCUITO PARA ARM ADULTO REF 5703</t>
  </si>
  <si>
    <t>2000293</t>
  </si>
  <si>
    <t>SONDA URETRAL K-93 TOM-FAC</t>
  </si>
  <si>
    <t>2000294</t>
  </si>
  <si>
    <t>SONDA URETRAL K-97 TOM-FAC</t>
  </si>
  <si>
    <t>2000295</t>
  </si>
  <si>
    <t>SONDA K-108 TOM-FAC</t>
  </si>
  <si>
    <t>2000296</t>
  </si>
  <si>
    <t>SONDA DE ALIMENTACIÓN . NASOGASTRICA PED</t>
  </si>
  <si>
    <t>2000297</t>
  </si>
  <si>
    <t>REGULADOR 02 C/MANOMETRO A208 VAL 0-15</t>
  </si>
  <si>
    <t>2000298</t>
  </si>
  <si>
    <t>AEROCAMARA ADULTO CON MASCARA</t>
  </si>
  <si>
    <t>2000299</t>
  </si>
  <si>
    <t>GASA ESTERIL 10X10 - SYRA</t>
  </si>
  <si>
    <t>2000300</t>
  </si>
  <si>
    <t>SONDA DE ASPIRACION K-9 SIN REGULADOR</t>
  </si>
  <si>
    <t>2000301</t>
  </si>
  <si>
    <t>FILTRO P/RESPIRADOR NEWPORT HT 70 460300</t>
  </si>
  <si>
    <t>2000302</t>
  </si>
  <si>
    <t>BOLSA COLECTORA DE ORINA PEDIATRICA</t>
  </si>
  <si>
    <t>2000303</t>
  </si>
  <si>
    <t>APOSITO COMFEEL PLUS EXTRA ABS 10X10CM</t>
  </si>
  <si>
    <t>2000304</t>
  </si>
  <si>
    <t>CANULA P/TQT TRACOE TWIS Nº7REF TR306-07</t>
  </si>
  <si>
    <t>2000305</t>
  </si>
  <si>
    <t>SONDA KOLLER K-27 PED P/INHALACION DE O2</t>
  </si>
  <si>
    <t>2000306</t>
  </si>
  <si>
    <t>TIRAS REACTIVAS</t>
  </si>
  <si>
    <t>2000307</t>
  </si>
  <si>
    <t>VALVULA D RED.MED. PRES CONT(316_VALV)</t>
  </si>
  <si>
    <t>2000308</t>
  </si>
  <si>
    <t>SONDA SPEEDICATH REF 28608</t>
  </si>
  <si>
    <t>2000309</t>
  </si>
  <si>
    <t>CANULA P/TQT PORTEX Nº3.5 S/B100/506/035</t>
  </si>
  <si>
    <t>2000310</t>
  </si>
  <si>
    <t>PROLONGADOR PT-2615 KOLLER</t>
  </si>
  <si>
    <t>2000311</t>
  </si>
  <si>
    <t>SONDA SPEEDICATH REF 28510</t>
  </si>
  <si>
    <t>2000312</t>
  </si>
  <si>
    <t>CIRCUITO P/RESP PURITAN BENNETT 6464</t>
  </si>
  <si>
    <t>2000313</t>
  </si>
  <si>
    <t>CANULA P/TQT SHILEY N° 3.5 S/B PEF</t>
  </si>
  <si>
    <t>2000314</t>
  </si>
  <si>
    <t>2000315</t>
  </si>
  <si>
    <t>GUIA DE ALIMENTACION SN/100 KOLLER</t>
  </si>
  <si>
    <t>2000316</t>
  </si>
  <si>
    <t>CANULA P/TQT S/B SHILEY Nº4.5 NEF/NEO</t>
  </si>
  <si>
    <t>2000317</t>
  </si>
  <si>
    <t>JERINGA BONEAU</t>
  </si>
  <si>
    <t>2000318</t>
  </si>
  <si>
    <t>SONDA ALIM NASOGASTRICA SILMAG COD392-06</t>
  </si>
  <si>
    <t>2000319</t>
  </si>
  <si>
    <t>GASA KENDALL VERSALON REF 8043</t>
  </si>
  <si>
    <t>2000320</t>
  </si>
  <si>
    <t>SONDA VESICAL Nº 10 DE LÁTEX</t>
  </si>
  <si>
    <t>2000321</t>
  </si>
  <si>
    <t>AEROCAMARA AEROCHAMBER</t>
  </si>
  <si>
    <t>2000322</t>
  </si>
  <si>
    <t>SONDA DE ASPIRACION K-29P TOM-FAC</t>
  </si>
  <si>
    <t>2000323</t>
  </si>
  <si>
    <t>GUANTE DE NITRILO S/LATEX N° 8 POR PAR</t>
  </si>
  <si>
    <t>2000324</t>
  </si>
  <si>
    <t>APOSITO HIDROCOLOIDE EXT DELG 10X10 HOLL</t>
  </si>
  <si>
    <t>2000325</t>
  </si>
  <si>
    <t>APOSITO SUPRASORB 15X15</t>
  </si>
  <si>
    <t>2000326</t>
  </si>
  <si>
    <t>TEGADERM 10X12CM REF 1626</t>
  </si>
  <si>
    <t>2000327</t>
  </si>
  <si>
    <t>GASA ESTERIL 15X15CM NO TEJIDA</t>
  </si>
  <si>
    <t>2000328</t>
  </si>
  <si>
    <t>GUIA P/B KANGAROO KENDALL REF8884704506</t>
  </si>
  <si>
    <t>2000329</t>
  </si>
  <si>
    <t>PAÑAL INDASLIP PLUS III</t>
  </si>
  <si>
    <t>2000330</t>
  </si>
  <si>
    <t>SONDA FOLEY 2 VIAS Nº 18 100% SILICONA</t>
  </si>
  <si>
    <t>2000331</t>
  </si>
  <si>
    <t>CANULA P/TQT SHILEY N° 4.5 C/B PCF</t>
  </si>
  <si>
    <t>2000332</t>
  </si>
  <si>
    <t>SONDA T/K 30P PVC EST P/ASP MUCUS TOMFAC</t>
  </si>
  <si>
    <t>2000333</t>
  </si>
  <si>
    <t>CANULA P/TQT S/B RUSH Nº6</t>
  </si>
  <si>
    <t>2000334</t>
  </si>
  <si>
    <t>CANULA P/TQT SHILEY N° 3.5 S/B NEF</t>
  </si>
  <si>
    <t>2000335</t>
  </si>
  <si>
    <t>CANULA P/TQT PORTEX Nº9 SUBG 100/860/090</t>
  </si>
  <si>
    <t>2000336</t>
  </si>
  <si>
    <t>TAPON INTERMITENTE</t>
  </si>
  <si>
    <t>2000337</t>
  </si>
  <si>
    <t>FILTRO P/TQT COVIDIEN REF 355/5430</t>
  </si>
  <si>
    <t>2000338</t>
  </si>
  <si>
    <t>SONDA SPEEDICATH REF 284140</t>
  </si>
  <si>
    <t>2000339</t>
  </si>
  <si>
    <t>ALGODON HIDROFILO X 70GR</t>
  </si>
  <si>
    <t>2000340</t>
  </si>
  <si>
    <t>CATETER INTRAVENOSO 27G T/ABBOCATH</t>
  </si>
  <si>
    <t>2000341</t>
  </si>
  <si>
    <t>ROLLO PARA  E.C.G 8 X 25</t>
  </si>
  <si>
    <t>2000342</t>
  </si>
  <si>
    <t>PAÑAL PAMPERS CONFORTSEC XG</t>
  </si>
  <si>
    <t>2000343</t>
  </si>
  <si>
    <t>BAJALENGUAS DE MADERA PEDIATRICO</t>
  </si>
  <si>
    <t>2000344</t>
  </si>
  <si>
    <t>PAÑAL HUGGIES NATURAL  CARE TALLE MEDIAN</t>
  </si>
  <si>
    <t>2000345</t>
  </si>
  <si>
    <t>PAÑAL BEBE M - PAMPERS CONFORTSEC</t>
  </si>
  <si>
    <t>2000346</t>
  </si>
  <si>
    <t>SONDA SPEEDICATH REF 28810</t>
  </si>
  <si>
    <t>2000347</t>
  </si>
  <si>
    <t>CIRCUITO P/RESP PED COVIDIEN 5093500 1RA</t>
  </si>
  <si>
    <t>2000348</t>
  </si>
  <si>
    <t>CANULA O2 SILMAG COD 230-06</t>
  </si>
  <si>
    <t>2000349</t>
  </si>
  <si>
    <t>CANULA O2 SILMAG COD 230-12</t>
  </si>
  <si>
    <t>2000351</t>
  </si>
  <si>
    <t>CANULA P/TQT SHILEY N° 6.5 S/B PELF</t>
  </si>
  <si>
    <t>2000352</t>
  </si>
  <si>
    <t>CANULA P/TQT TRACOE TWIS Nº  REF TR30608</t>
  </si>
  <si>
    <t>2000353</t>
  </si>
  <si>
    <t>CANULA P/TQT RUSH Nº 7 BIELSASKY 121500</t>
  </si>
  <si>
    <t>2000355</t>
  </si>
  <si>
    <t>APOSITO ESTERIL (G+A) 15X20CM</t>
  </si>
  <si>
    <t>2000356</t>
  </si>
  <si>
    <t>AGUJAS BARD TIPO HUBER REF 2206220</t>
  </si>
  <si>
    <t>2000357</t>
  </si>
  <si>
    <t>PAÑAL PAMPERS CONFORTSEC GDE</t>
  </si>
  <si>
    <t>2000358</t>
  </si>
  <si>
    <t>AGUA BIDESTILADA DE 250 ML</t>
  </si>
  <si>
    <t>2000359</t>
  </si>
  <si>
    <t>APOSITO KOLTOSTAT 15 x 25</t>
  </si>
  <si>
    <t>2000360</t>
  </si>
  <si>
    <t>FILTRO HYGROBAC 352/5877</t>
  </si>
  <si>
    <t>2000361</t>
  </si>
  <si>
    <t>GASA IODOFORMADA DE 10X2CM X 1U</t>
  </si>
  <si>
    <t>2000362</t>
  </si>
  <si>
    <t>PAÑAL HUGGIES NATURAL CARE TALLE XG NENE</t>
  </si>
  <si>
    <t>2000365</t>
  </si>
  <si>
    <t>CONECTOR PARA GUIA EV</t>
  </si>
  <si>
    <t>2000367</t>
  </si>
  <si>
    <t>SONDA SPEEDICATH REF 28812</t>
  </si>
  <si>
    <t>2000368</t>
  </si>
  <si>
    <t>REFUERZA PAÑAL COMODIN XG</t>
  </si>
  <si>
    <t>2000369</t>
  </si>
  <si>
    <t>SONDA DE ASPIRACION K-30P BIOFIL</t>
  </si>
  <si>
    <t>2000370</t>
  </si>
  <si>
    <t>APOSITO KENDALL REF 901</t>
  </si>
  <si>
    <t>2000371</t>
  </si>
  <si>
    <t>BOLSA DE ORINA AMBULATORIA</t>
  </si>
  <si>
    <t>2000372</t>
  </si>
  <si>
    <t>GASA ESTERIL 30X30CM - GASANA</t>
  </si>
  <si>
    <t>2000373</t>
  </si>
  <si>
    <t>SONDA DE ASPIRACION K-29P BIOFIL</t>
  </si>
  <si>
    <t>2000374</t>
  </si>
  <si>
    <t>CONECTOR MOUNT REF 331/5661</t>
  </si>
  <si>
    <t>2000375</t>
  </si>
  <si>
    <t>PAÑAL HUGGIES CAMPEONES XXG</t>
  </si>
  <si>
    <t>2000376</t>
  </si>
  <si>
    <t>GUIA P/BOMBA KANGAROO 924 REF 673656</t>
  </si>
  <si>
    <t>2000377</t>
  </si>
  <si>
    <t>VENDA ELASTICA DE 5 CM X 3MTS</t>
  </si>
  <si>
    <t>2000378</t>
  </si>
  <si>
    <t>REFUERZA PAÑAL NONISEC MAXI CON GEL ABSO</t>
  </si>
  <si>
    <t>2000379</t>
  </si>
  <si>
    <t>ESPONJA JABONOSA ADDERMIS</t>
  </si>
  <si>
    <t>2000380</t>
  </si>
  <si>
    <t>PARCHES ADHESIVOS ALLEVYN REF 66000043</t>
  </si>
  <si>
    <t>2000381</t>
  </si>
  <si>
    <t>FILTRO P/FRASCO ASPIRACION DEVILBISS</t>
  </si>
  <si>
    <t>2000382</t>
  </si>
  <si>
    <t>PAÑAL PLENITUD PROTECT MEDIANO</t>
  </si>
  <si>
    <t>2000384</t>
  </si>
  <si>
    <t>TUBO DE MAYO N°2</t>
  </si>
  <si>
    <t>2000386</t>
  </si>
  <si>
    <t>CANULA DE GUEDEL 40MM N000 ROSA</t>
  </si>
  <si>
    <t>2000387</t>
  </si>
  <si>
    <t>CANULA DE GUEDEL 50 MM N00 AZUL</t>
  </si>
  <si>
    <t>2000388</t>
  </si>
  <si>
    <t>CANULA DE GUEDEL 70 MM N1 BLANCO</t>
  </si>
  <si>
    <t>2000389</t>
  </si>
  <si>
    <t>GASA C/PLATSUL X 10 UNIDADES</t>
  </si>
  <si>
    <t>2000390</t>
  </si>
  <si>
    <t>TAPON P/JERINGA</t>
  </si>
  <si>
    <t>2000391</t>
  </si>
  <si>
    <t>RESUCITADOR  NEO</t>
  </si>
  <si>
    <t>2000393</t>
  </si>
  <si>
    <t>AEROCAMARA P/TQT AEROSPACER PREMIUM</t>
  </si>
  <si>
    <t>2000394</t>
  </si>
  <si>
    <t>MASCARA LARINGEA Nº 1</t>
  </si>
  <si>
    <t>2000395</t>
  </si>
  <si>
    <t>MASCARA LARINGEA Nº 2</t>
  </si>
  <si>
    <t>2000399</t>
  </si>
  <si>
    <t>CIRCUITO NEO P/RESP HUDSON HU780-10</t>
  </si>
  <si>
    <t>2000400</t>
  </si>
  <si>
    <t>TEGADERM 6x7CM</t>
  </si>
  <si>
    <t>2000401</t>
  </si>
  <si>
    <t>GUIA P/BOMBA HOSPIRA REF 14679</t>
  </si>
  <si>
    <t>2000402</t>
  </si>
  <si>
    <t>CANULA DE GUEDEL 80CM N1.5 VERDE</t>
  </si>
  <si>
    <t>2000404</t>
  </si>
  <si>
    <t>CANULA DE GUEDEL 10CM N4 ROJO</t>
  </si>
  <si>
    <t>2000405</t>
  </si>
  <si>
    <t>GASA PARAFINADA 10X40CM</t>
  </si>
  <si>
    <t>2000406</t>
  </si>
  <si>
    <t>SONDA NASOGASTRICA K-33 KOLLER</t>
  </si>
  <si>
    <t>2000407</t>
  </si>
  <si>
    <t>CANULA P/TQT AURINCO N° 3.5 C/B</t>
  </si>
  <si>
    <t>2000408</t>
  </si>
  <si>
    <t>PAÑAL PAMPERS PANT GRANDE</t>
  </si>
  <si>
    <t>2000409</t>
  </si>
  <si>
    <t>PAÑAL HUGGIES NATURAL CARE MEDIANO NENA</t>
  </si>
  <si>
    <t>2000410</t>
  </si>
  <si>
    <t>PAÑAL HUGGIES NATURAL CARE GRANDE NENA</t>
  </si>
  <si>
    <t>2000411</t>
  </si>
  <si>
    <t>PAÑAL HUGGIES NATURAL CARE XXG NENA</t>
  </si>
  <si>
    <t>2000413</t>
  </si>
  <si>
    <t>PAÑAL INDASLIP L9</t>
  </si>
  <si>
    <t>2000414</t>
  </si>
  <si>
    <t>CANULA DE GUEDEL 11CM N3 CELESTE</t>
  </si>
  <si>
    <t>2000415</t>
  </si>
  <si>
    <t>ADHESIVO PROVOX REF 7265</t>
  </si>
  <si>
    <t>2000416</t>
  </si>
  <si>
    <t>SONDA NASOGASTRICA K-30 TOM FAC</t>
  </si>
  <si>
    <t>2000417</t>
  </si>
  <si>
    <t>PAÑAL HUGGIES NATURAL CARE TALLE XG NENA</t>
  </si>
  <si>
    <t>2000418</t>
  </si>
  <si>
    <t>GUIA V-14 FOTOSENSIBLE</t>
  </si>
  <si>
    <t>2000419</t>
  </si>
  <si>
    <t>SONDAS URETRALES K-96 KOLLER</t>
  </si>
  <si>
    <t>2000420</t>
  </si>
  <si>
    <t>SONDA NASOGASTRICA K-31 TOMFAC</t>
  </si>
  <si>
    <t>2000421</t>
  </si>
  <si>
    <t>SONDA NELATON Nº 18 GOMA ROJA</t>
  </si>
  <si>
    <t>2000422</t>
  </si>
  <si>
    <t>DESCARTADOR EXCELENT E-1 X 1 LTR</t>
  </si>
  <si>
    <t>2000423</t>
  </si>
  <si>
    <t>APOSITO LEUKOMED T PLUS 8X15 CM</t>
  </si>
  <si>
    <t>2000424</t>
  </si>
  <si>
    <t>CANULA P/TQT RUSH Nº 10 S/B BIELSASKY</t>
  </si>
  <si>
    <t>2000425</t>
  </si>
  <si>
    <t>GUANTE DE NITRILO S/LATEX N° 8.5 POR PAR</t>
  </si>
  <si>
    <t>2000426</t>
  </si>
  <si>
    <t>SONDA VESICAL DE 2 VIAS Nº 20 (LATEX)</t>
  </si>
  <si>
    <t>2000427</t>
  </si>
  <si>
    <t>SONDA VESICAL Nº 22 DE LÁTEX</t>
  </si>
  <si>
    <t>2000428</t>
  </si>
  <si>
    <t>AEROCAMARA PEDIATRICO C/MASCARA</t>
  </si>
  <si>
    <t>2000429</t>
  </si>
  <si>
    <t>AGUJA HIPODERMICA 30G x ½ - 13/3</t>
  </si>
  <si>
    <t>2000430</t>
  </si>
  <si>
    <t>FERULA DIGITAL DE 25MM DE ALUMINIO</t>
  </si>
  <si>
    <t>2000431</t>
  </si>
  <si>
    <t>KIT EBOLA</t>
  </si>
  <si>
    <t>2000432</t>
  </si>
  <si>
    <t>KIT DE ALIEMENTOS OP INVIERNO</t>
  </si>
  <si>
    <t>2000433</t>
  </si>
  <si>
    <t>MANDRIL ESTERIL DE 4.3MM</t>
  </si>
  <si>
    <t>2000434</t>
  </si>
  <si>
    <t>MANDRIL ESTERIL DE 3.3MM</t>
  </si>
  <si>
    <t>2000435</t>
  </si>
  <si>
    <t>PAÑAL PLENITUD PROTECT XG</t>
  </si>
  <si>
    <t>2000436</t>
  </si>
  <si>
    <t>TUBO ENDOTRAQ N° 10 C/BALON</t>
  </si>
  <si>
    <t>2000437</t>
  </si>
  <si>
    <t>TUBO ENDOTRAQ Nº 3 S/BALON</t>
  </si>
  <si>
    <t>2000438</t>
  </si>
  <si>
    <t>TUBO ENDOTRAQ Nº 3.5 S/BALON</t>
  </si>
  <si>
    <t>2000439</t>
  </si>
  <si>
    <t>TUBO ENDOTRAQ Nº 4 S/BALON</t>
  </si>
  <si>
    <t>2000440</t>
  </si>
  <si>
    <t>TUBO ENDOTRAQ Nº 5 S/BALON</t>
  </si>
  <si>
    <t>2000441</t>
  </si>
  <si>
    <t>TUBO ENDOTRAQ Nº 6 S/BALON</t>
  </si>
  <si>
    <t>2000442</t>
  </si>
  <si>
    <t>TUBO ENDOTRAQ N° 7 S/BALON</t>
  </si>
  <si>
    <t>2000443</t>
  </si>
  <si>
    <t>TUBO ENDOTRAQ Nº 5.5 S/BALON</t>
  </si>
  <si>
    <t>2000444</t>
  </si>
  <si>
    <t>ELECTRODOS PEDIATRICOS</t>
  </si>
  <si>
    <t>2000445</t>
  </si>
  <si>
    <t>ELECTRODOS ADULTOS</t>
  </si>
  <si>
    <t>2000446</t>
  </si>
  <si>
    <t>TOALLAS HUMEDAS EN ALCOHOL BD X 100U</t>
  </si>
  <si>
    <t>2000447</t>
  </si>
  <si>
    <t>CABLE SENSOR PARA OXIMETRO ADULTO</t>
  </si>
  <si>
    <t>2000448</t>
  </si>
  <si>
    <t>CABLE SENSOR PARA OXIMETRO PEDIATRICO</t>
  </si>
  <si>
    <t>2000449</t>
  </si>
  <si>
    <t>VENDA ELASTICA 10 CM x 2,5 MTS</t>
  </si>
  <si>
    <t>2000450</t>
  </si>
  <si>
    <t>AGUJA 21/8 G</t>
  </si>
  <si>
    <t>2000451</t>
  </si>
  <si>
    <t>JERINGA DE 1ML C AGUJA 25G</t>
  </si>
  <si>
    <t>2000452</t>
  </si>
  <si>
    <t>PONCHOS DESCARTABLES AZULES</t>
  </si>
  <si>
    <t>2000453</t>
  </si>
  <si>
    <t>HOJA DE BISTURI Nº 11</t>
  </si>
  <si>
    <t>2000454</t>
  </si>
  <si>
    <t>HOJA DE BISTURI Nº 23</t>
  </si>
  <si>
    <t>2000455</t>
  </si>
  <si>
    <t>HOJA DE BISTURI Nº 24</t>
  </si>
  <si>
    <t>2000456</t>
  </si>
  <si>
    <t>HOJA DE BISTURI Nº 15</t>
  </si>
  <si>
    <t>2000457</t>
  </si>
  <si>
    <t>COTONETES</t>
  </si>
  <si>
    <t>2000458</t>
  </si>
  <si>
    <t>CINTA TESTIGO P/ESTERILIZAR 18MMX50MTS</t>
  </si>
  <si>
    <t>2000459</t>
  </si>
  <si>
    <t>ALGODÓN HIDROFILO  X 200 Grs</t>
  </si>
  <si>
    <t>2000460</t>
  </si>
  <si>
    <t>TUBO ENDOTRAQUEAL CON BALON 5.5</t>
  </si>
  <si>
    <t>2000461</t>
  </si>
  <si>
    <t>GASA ESTERIL 7,5X7,5CM NO TEJIDA</t>
  </si>
  <si>
    <t>2000465</t>
  </si>
  <si>
    <t>TUBULADURAS PARA  CICLADOR  PR4-G  DESC.</t>
  </si>
  <si>
    <t>2000466</t>
  </si>
  <si>
    <t>SONDA TRANSPIROLICA REF-398-10-P</t>
  </si>
  <si>
    <t>2000467</t>
  </si>
  <si>
    <t>HOJA DE BISTURI NRO 15</t>
  </si>
  <si>
    <t>2000468</t>
  </si>
  <si>
    <t>CIRCUITO PARA RESPIRADOR REF.3600</t>
  </si>
  <si>
    <t>2000469</t>
  </si>
  <si>
    <t>PAÑAL PAMPERS PANT XG</t>
  </si>
  <si>
    <t>2000471</t>
  </si>
  <si>
    <t>SUJETADOR C/VELCRO CORTO</t>
  </si>
  <si>
    <t>2000472</t>
  </si>
  <si>
    <t>PILA AAA</t>
  </si>
  <si>
    <t>2000473</t>
  </si>
  <si>
    <t>PILA AA</t>
  </si>
  <si>
    <t>2000474</t>
  </si>
  <si>
    <t>PILA GRANDE</t>
  </si>
  <si>
    <t>2000475</t>
  </si>
  <si>
    <t>PILA  C 2</t>
  </si>
  <si>
    <t>2000476</t>
  </si>
  <si>
    <t>PORTA OBJETO</t>
  </si>
  <si>
    <t>2000479</t>
  </si>
  <si>
    <t>INMOVILIZADOR PEDIATRICO</t>
  </si>
  <si>
    <t>2000480</t>
  </si>
  <si>
    <t>INMOVILIZADOR ADULTO DE MUÑECA</t>
  </si>
  <si>
    <t>2000481</t>
  </si>
  <si>
    <t>Pera Precordial t/Fukuda c/ tornillo ECG</t>
  </si>
  <si>
    <t>2000485</t>
  </si>
  <si>
    <t>CAJA CURACIONES CHICA</t>
  </si>
  <si>
    <t>2000486</t>
  </si>
  <si>
    <t>CAJA CURACIONES GRANDE</t>
  </si>
  <si>
    <t>2000487</t>
  </si>
  <si>
    <t>CANULA TQT AURINCO Nº 5.5 C/B</t>
  </si>
  <si>
    <t>2000488</t>
  </si>
  <si>
    <t>COLLAR CERVICAL EXTRA GRANDE</t>
  </si>
  <si>
    <t>2000489</t>
  </si>
  <si>
    <t>REFUERZA PAÑAL COMODIN GRANDE</t>
  </si>
  <si>
    <t>2000490</t>
  </si>
  <si>
    <t>CANULA TRACOE TR-355-6.0</t>
  </si>
  <si>
    <t>2000493</t>
  </si>
  <si>
    <t>BOLSA RESUCITACION MANUAL(TIPO AMBU) NEO</t>
  </si>
  <si>
    <t>2000497</t>
  </si>
  <si>
    <t>PIE DE SUERO</t>
  </si>
  <si>
    <t>2000502</t>
  </si>
  <si>
    <t>CLAMPS PARA ECG</t>
  </si>
  <si>
    <t>2000507</t>
  </si>
  <si>
    <t>CEPILLO ENDO CERVICAL CITOBRUSH</t>
  </si>
  <si>
    <t>2000511</t>
  </si>
  <si>
    <t>CONECTOR EN T 22/15MM</t>
  </si>
  <si>
    <t>2000512</t>
  </si>
  <si>
    <t>CLAVE CONECTOR (TAPON AUTOSELLABLE)</t>
  </si>
  <si>
    <t>2000513</t>
  </si>
  <si>
    <t>GUANTES DE NITRILO LIBRE DE LATEX 7.5</t>
  </si>
  <si>
    <t>2000514</t>
  </si>
  <si>
    <t>GUANTES DE NITRILO LIBRE DE LATEX 8</t>
  </si>
  <si>
    <t>2000515</t>
  </si>
  <si>
    <t>JARRA HUMIDIFICADORA GALEMED</t>
  </si>
  <si>
    <t>2000516</t>
  </si>
  <si>
    <t>SONDA ALIMEN. NASOGASTRICA PED 392-09</t>
  </si>
  <si>
    <t>2000521</t>
  </si>
  <si>
    <t>FILTRO VIR/BACT BARRIERB S FILT 350/5879</t>
  </si>
  <si>
    <t>2000524</t>
  </si>
  <si>
    <t>TEGADERM 6X7</t>
  </si>
  <si>
    <t>2000525</t>
  </si>
  <si>
    <t>2000526</t>
  </si>
  <si>
    <t>VENDA TIPO CAMBRIC X 20 CM</t>
  </si>
  <si>
    <t>2000528</t>
  </si>
  <si>
    <t>VENDA TIPO CAMBRIC X 15 CM</t>
  </si>
  <si>
    <t>2000530</t>
  </si>
  <si>
    <t>O'RING CHICO</t>
  </si>
  <si>
    <t>2000531</t>
  </si>
  <si>
    <t>O'RING GRANDE</t>
  </si>
  <si>
    <t>2000533</t>
  </si>
  <si>
    <t>Etiquetas Pegasola, 3.5 x 10cm</t>
  </si>
  <si>
    <t>2000536</t>
  </si>
  <si>
    <t>CAJA 20X10X10</t>
  </si>
  <si>
    <t>2000537</t>
  </si>
  <si>
    <t>CAJA 32X43X25</t>
  </si>
  <si>
    <t>2000538</t>
  </si>
  <si>
    <t>CAJA 38X46X33</t>
  </si>
  <si>
    <t>2000540</t>
  </si>
  <si>
    <t>HP TONER 78A NEGRO - LASERJET P1566/P160</t>
  </si>
  <si>
    <t>2000545</t>
  </si>
  <si>
    <t>BIOMBO DOS HOJAS</t>
  </si>
  <si>
    <t>2000562</t>
  </si>
  <si>
    <t>HUMIDIFICADOR</t>
  </si>
  <si>
    <t>2000564</t>
  </si>
  <si>
    <t>PAÑAL GOODNITES TALLE S-M 17-29KG</t>
  </si>
  <si>
    <t>2000565</t>
  </si>
  <si>
    <t>Tabla para asistencia de RCP / Paro</t>
  </si>
  <si>
    <t>2000567</t>
  </si>
  <si>
    <t>ROLLO ECG EQIP JOTATEC MOD. TAURUS</t>
  </si>
  <si>
    <t>2000568</t>
  </si>
  <si>
    <t>MORDILLOS DE FIJACION TUBO ENDOTRAQUEAL</t>
  </si>
  <si>
    <t>2000569</t>
  </si>
  <si>
    <t>TUBO EN Y</t>
  </si>
  <si>
    <t>2000570</t>
  </si>
  <si>
    <t>SEPARADOR BUCAL TIRABUZON ADULTO</t>
  </si>
  <si>
    <t>2000571</t>
  </si>
  <si>
    <t>SEPARADOR BUCAL TIRABUZON NEO</t>
  </si>
  <si>
    <t>2000572</t>
  </si>
  <si>
    <t>SEPARADOR BUCAL TIRABUZON PEDIATRICO</t>
  </si>
  <si>
    <t>2000575</t>
  </si>
  <si>
    <t>MASCARA PARA O2 NEO CON RESERVORIO</t>
  </si>
  <si>
    <t>2000576</t>
  </si>
  <si>
    <t>MASCARA NASAL PEDIATRICA</t>
  </si>
  <si>
    <t>2000577</t>
  </si>
  <si>
    <t>MASCARA NASAL ADULTO</t>
  </si>
  <si>
    <t>2000578</t>
  </si>
  <si>
    <t>MASCARA VNI TALLE G</t>
  </si>
  <si>
    <t>2000579</t>
  </si>
  <si>
    <t>ESTETOSCOPIO PINARD</t>
  </si>
  <si>
    <t>2000580</t>
  </si>
  <si>
    <t>SOBRE DE ALCOHOL ISOPROPILICO</t>
  </si>
  <si>
    <t>2000581</t>
  </si>
  <si>
    <t>GORRO ESTERIL</t>
  </si>
  <si>
    <t>2000582</t>
  </si>
  <si>
    <t>BRAZALETE PARA IDENTIFICACION</t>
  </si>
  <si>
    <t>2000583</t>
  </si>
  <si>
    <t>SABANAS ESTERIL PARA RECIEN NACIDO</t>
  </si>
  <si>
    <t>2000585</t>
  </si>
  <si>
    <t>TABLA ESPINAL PEDIATRICA C/INMOVILIZADO</t>
  </si>
  <si>
    <t>2000586</t>
  </si>
  <si>
    <t>SET PARA PERICARDIOCENTESIS</t>
  </si>
  <si>
    <t>2000588</t>
  </si>
  <si>
    <t>GASA CON POVIDON YODO</t>
  </si>
  <si>
    <t>2000589</t>
  </si>
  <si>
    <t>GASA VASENILIZADA</t>
  </si>
  <si>
    <t>2000591</t>
  </si>
  <si>
    <t>TIJERA DE TRABAJO PESADO</t>
  </si>
  <si>
    <t>2000592</t>
  </si>
  <si>
    <t>TIJERA PARA CORTAR ANILLOS (ALICATE)</t>
  </si>
  <si>
    <t>2000593</t>
  </si>
  <si>
    <t>VENDAJE MOLTITRAUMA 20x60 cm</t>
  </si>
  <si>
    <t>2000594</t>
  </si>
  <si>
    <t>VENDAJE MOLTITRAUMA 30x75 cm</t>
  </si>
  <si>
    <t>2000595</t>
  </si>
  <si>
    <t>VENDAJE COMBINADO 12 x 23 cm</t>
  </si>
  <si>
    <t>2000596</t>
  </si>
  <si>
    <t>VENDAJE COMBINAD 20 x 20  cm</t>
  </si>
  <si>
    <t>2000597</t>
  </si>
  <si>
    <t>VENDAJE COMBINADO 20 x 25  cm</t>
  </si>
  <si>
    <t>2000598</t>
  </si>
  <si>
    <t>PROTECTOR PARA OJO INJURIADO</t>
  </si>
  <si>
    <t>2000599</t>
  </si>
  <si>
    <t>ROLLO DE PAPEL ALUMINIO ESTERIL</t>
  </si>
  <si>
    <t>2000600</t>
  </si>
  <si>
    <t>FRASCO DE ANTIBIOTICO DE SEPERFICIE</t>
  </si>
  <si>
    <t>2000602</t>
  </si>
  <si>
    <t>VENDA TRIANGULAR</t>
  </si>
  <si>
    <t>2000603</t>
  </si>
  <si>
    <t>COMPRESAS FRIO QUIMICO</t>
  </si>
  <si>
    <t>2000606</t>
  </si>
  <si>
    <t>TERMOMETRO PARA HIPOTERMIA</t>
  </si>
  <si>
    <t>2000607</t>
  </si>
  <si>
    <t>GASA ESTERIL 5X5CM</t>
  </si>
  <si>
    <t>2000609</t>
  </si>
  <si>
    <t>SABANA PARA QUEMADO CUERPO COMPLETO</t>
  </si>
  <si>
    <t>2000610</t>
  </si>
  <si>
    <t>VENDAJES PARA QUEMADOS DE 2,5 cm</t>
  </si>
  <si>
    <t>2000611</t>
  </si>
  <si>
    <t>VENDAJES PARA QUEMADOS DE 7,5 x 90 cm</t>
  </si>
  <si>
    <t>2000612</t>
  </si>
  <si>
    <t>VENDAJES PARA QUEMADOS DE  20 x 90 cm</t>
  </si>
  <si>
    <t>2000613</t>
  </si>
  <si>
    <t>VENDAJES PARA QUEMADOS DE 35 x 40 cm</t>
  </si>
  <si>
    <t>2000615</t>
  </si>
  <si>
    <t>MASCARA FACIAL PARA QUEMADOS</t>
  </si>
  <si>
    <t>2000617</t>
  </si>
  <si>
    <t>PINZA MANO IZQUIERDA DE DISECCION</t>
  </si>
  <si>
    <t>2000618</t>
  </si>
  <si>
    <t>JERINGA BONNEAU X 60 ML</t>
  </si>
  <si>
    <t>2000619</t>
  </si>
  <si>
    <t>CABLE PACIENTE ECG</t>
  </si>
  <si>
    <t>2000624</t>
  </si>
  <si>
    <t>PARCHE P/MARCAPASO NIHON KOHDEN P-711</t>
  </si>
  <si>
    <t>2000626</t>
  </si>
  <si>
    <t>PALETAS PARA DESFIBRILADOR E&amp;M PEDIATRI</t>
  </si>
  <si>
    <t>2000629</t>
  </si>
  <si>
    <t>PALETAS PARA DESFIBRILADOR E&amp;M ADULTO</t>
  </si>
  <si>
    <t>2000632</t>
  </si>
  <si>
    <t>BOTELLA LAVA OJOS</t>
  </si>
  <si>
    <t>2000633</t>
  </si>
  <si>
    <t>GUIAS PARA BOMBA DE INFUSION TERUMO</t>
  </si>
  <si>
    <t>2000641</t>
  </si>
  <si>
    <t>CATETER INTRAVENOSO 24G T/ABBOCATH.</t>
  </si>
  <si>
    <t>2000651</t>
  </si>
  <si>
    <t>PILA 9V CUADRADA</t>
  </si>
  <si>
    <t>2000662</t>
  </si>
  <si>
    <t>MASCARA DE RESUCITACION POCKET CPR</t>
  </si>
  <si>
    <t>2000686</t>
  </si>
  <si>
    <t>ESPECULOS MEDIANOS</t>
  </si>
  <si>
    <t>2000687</t>
  </si>
  <si>
    <t>ESPATULAS DE AYRE</t>
  </si>
  <si>
    <t>2000691</t>
  </si>
  <si>
    <t>AGUJA TERUMO 30G X 1/2"</t>
  </si>
  <si>
    <t>2000692</t>
  </si>
  <si>
    <t>AGUJA 27G  1/2"</t>
  </si>
  <si>
    <t>2000694</t>
  </si>
  <si>
    <t>PINZA PARA ECG (JUEGO POR 4 UNIDADES)</t>
  </si>
  <si>
    <t>2000698</t>
  </si>
  <si>
    <t>PUNCH DE BIOPSIA DE 2 MM</t>
  </si>
  <si>
    <t>2000702</t>
  </si>
  <si>
    <t>PUNCH DE BIOPSIA DE 5 MM</t>
  </si>
  <si>
    <t>2000703</t>
  </si>
  <si>
    <t>PUNCH DE BIOPSIA DE 6 MM</t>
  </si>
  <si>
    <t>2000705</t>
  </si>
  <si>
    <t>CENTÍMETRO PERÍMETRO CEFÁLICO</t>
  </si>
  <si>
    <t>2000706</t>
  </si>
  <si>
    <t>CENTÍMETRO OBSTÉTRICO</t>
  </si>
  <si>
    <t>2000707</t>
  </si>
  <si>
    <t>MANGUITO PARA TENSIÓMETRO ADULTO</t>
  </si>
  <si>
    <t>2000711</t>
  </si>
  <si>
    <t>CEPILLO CERVICAL ENDOBRUSH</t>
  </si>
  <si>
    <t>2000714</t>
  </si>
  <si>
    <t>PAÑAL PAMPERS PREMIUM G</t>
  </si>
  <si>
    <t>2000716</t>
  </si>
  <si>
    <t>CANULA NRO 4 CON BALON WELL LEAD</t>
  </si>
  <si>
    <t>2000717</t>
  </si>
  <si>
    <t>CIRCUITO ARM ADULTO LEISTUNG</t>
  </si>
  <si>
    <t>2000718</t>
  </si>
  <si>
    <t>CIRCUITO ARM PEDIATRICO LEISTUNG</t>
  </si>
  <si>
    <t>2000719</t>
  </si>
  <si>
    <t>CIRCUITO ARM NEO LEISTUNG</t>
  </si>
  <si>
    <t>2000743</t>
  </si>
  <si>
    <t>CIRCUITOS PEDIATRICO P/RESPIRADOR TAKAOK</t>
  </si>
  <si>
    <t>2000745</t>
  </si>
  <si>
    <t>CIRCUITOS NEO P/RESPIRADOR TAKAOKA</t>
  </si>
  <si>
    <t>2000747</t>
  </si>
  <si>
    <t>SENSOR SATUROMETRO NEO-ADULTO REF MAXNI</t>
  </si>
  <si>
    <t>2000749</t>
  </si>
  <si>
    <t>SET FERULAS RIGIDAS 4 PIEZAS</t>
  </si>
  <si>
    <t>2000751</t>
  </si>
  <si>
    <t>PLANTILLA KLEEN PRINT</t>
  </si>
  <si>
    <t>2000752</t>
  </si>
  <si>
    <t>APOSITO COMFEEL PLUS EXTRA ABS 15X15CM</t>
  </si>
  <si>
    <t>2000753</t>
  </si>
  <si>
    <t>REFUERZA PAÑAL NONISECMAXI C/GELABSO MAN</t>
  </si>
  <si>
    <t>2000774</t>
  </si>
  <si>
    <t>CATETER ARGYLE N° 10</t>
  </si>
  <si>
    <t>2000794</t>
  </si>
  <si>
    <t>GUANTES ESTERILES Nº 6 POR PAR</t>
  </si>
  <si>
    <t>2000800</t>
  </si>
  <si>
    <t>SET FERULAS ZYMMER</t>
  </si>
  <si>
    <t>2000813</t>
  </si>
  <si>
    <t>SONDAC/REGULADORPRAASPIRACIONN°K29 U/NEO</t>
  </si>
  <si>
    <t>2000814</t>
  </si>
  <si>
    <t>CIRCUITO DE ARM DRAGUER MP00300</t>
  </si>
  <si>
    <t>2000825</t>
  </si>
  <si>
    <t>AEROCAMARA ESPACIADORA NEO</t>
  </si>
  <si>
    <t>2000834</t>
  </si>
  <si>
    <t>BOLSAS NEONATALES NEO-HELP PEQUEÑO VYGON</t>
  </si>
  <si>
    <t>2000861</t>
  </si>
  <si>
    <t>CANULAP/TQTTRACOETWIS Nº7TR304-07S/BALON</t>
  </si>
  <si>
    <t>2000862</t>
  </si>
  <si>
    <t>PAÑAL PAMPERS PANT XXG</t>
  </si>
  <si>
    <t>2000868</t>
  </si>
  <si>
    <t>DESCARTADOR C/TAPA GIRATORIA MOD M5 4.8L</t>
  </si>
  <si>
    <t>2000870</t>
  </si>
  <si>
    <t>DESCARTADOR C/TAPA GIRATORIA MOD E1 1.4L</t>
  </si>
  <si>
    <t>2000875</t>
  </si>
  <si>
    <t>CANULA N°4 CON BALON WELL LEAD 0 MCM</t>
  </si>
  <si>
    <t>2000881</t>
  </si>
  <si>
    <t>PAÑAL GOODNITES TALLE L-XL 27KG A 57KG</t>
  </si>
  <si>
    <t>2000882</t>
  </si>
  <si>
    <t>CANULA P/TQT PORTEX S-B C/CONECTOR 7mm</t>
  </si>
  <si>
    <t>2000883</t>
  </si>
  <si>
    <t>BIGOTERA DESCARTABLE PEDIATRICA</t>
  </si>
  <si>
    <t>2000890</t>
  </si>
  <si>
    <t>SABANA PARA QUEMADO ESTERIL 2,50 X 1,50</t>
  </si>
  <si>
    <t>2000891</t>
  </si>
  <si>
    <t>CONECT FLEX TIPO MON COVIDIEN R 353P5909</t>
  </si>
  <si>
    <t>2000893</t>
  </si>
  <si>
    <t>AEROKAM ESPACIADORA C/VALVULA SILFAB.</t>
  </si>
  <si>
    <t>2000901</t>
  </si>
  <si>
    <t>GASA ESTERIL 20X20CM</t>
  </si>
  <si>
    <t>2000902</t>
  </si>
  <si>
    <t>GASA ESTERIL 30X30CM</t>
  </si>
  <si>
    <t>2000903</t>
  </si>
  <si>
    <t>SONDA BBRAUN REF 238210AR</t>
  </si>
  <si>
    <t>2000904</t>
  </si>
  <si>
    <t>SONDA BBRAUN REF 228310A</t>
  </si>
  <si>
    <t>2000905</t>
  </si>
  <si>
    <t>SONDA BBRAUN REF 228312A</t>
  </si>
  <si>
    <t>2000906</t>
  </si>
  <si>
    <t>GLOBOS</t>
  </si>
  <si>
    <t>2000908</t>
  </si>
  <si>
    <t>SONDA BBRAUN REF  228214A</t>
  </si>
  <si>
    <t>2000909</t>
  </si>
  <si>
    <t>CANULA P/TQT C/B SHILEY Nº 7 PDC/PCF</t>
  </si>
  <si>
    <t>2000912</t>
  </si>
  <si>
    <t>CARGADOR P/ECG JOTATEC TAURUS TOUCH</t>
  </si>
  <si>
    <t>2000916</t>
  </si>
  <si>
    <t>SONDA BBRAUN REF  228014A MINI</t>
  </si>
  <si>
    <t>2000918</t>
  </si>
  <si>
    <t>Barbijo 3M Modelo 8210 Nº95V</t>
  </si>
  <si>
    <t>2000921</t>
  </si>
  <si>
    <t>CANULA P/TQT AURINCO N° 7.0 C/B</t>
  </si>
  <si>
    <t>2000922</t>
  </si>
  <si>
    <t>CANULA P/TQT AURINCO N° 7.0 S/B</t>
  </si>
  <si>
    <t>2000923</t>
  </si>
  <si>
    <t>CANULA PARA BIOPSIA DE ENDOMETRIO</t>
  </si>
  <si>
    <t>2000928</t>
  </si>
  <si>
    <t>CIRCUITOP/RESP ADULTO COVIDIEN 5093600</t>
  </si>
  <si>
    <t>2000929</t>
  </si>
  <si>
    <t>PLENITUD REAL FIT DAMA TALLE S/M</t>
  </si>
  <si>
    <t>2000930</t>
  </si>
  <si>
    <t>BIOMBO TRES HOJAS / CUERPOS</t>
  </si>
  <si>
    <t>2000935</t>
  </si>
  <si>
    <t>PLENITUD REAL FIT HOMBRE TALLE G/XG</t>
  </si>
  <si>
    <t>2000936</t>
  </si>
  <si>
    <t>SONDA T/K-29 SHINOBI</t>
  </si>
  <si>
    <t>2000939</t>
  </si>
  <si>
    <t>SONDA T/K-11 SHINOBI</t>
  </si>
  <si>
    <t>2000940</t>
  </si>
  <si>
    <t>SONDA T/K-33P SHINOBI</t>
  </si>
  <si>
    <t>2000943</t>
  </si>
  <si>
    <t>RESPIRADOR PARA CIRCUITOS EN Y ADULT</t>
  </si>
  <si>
    <t>2000944</t>
  </si>
  <si>
    <t>RESPIRADOR PARA CIRCUITOS EN Y PEDRIAT</t>
  </si>
  <si>
    <t>2000945</t>
  </si>
  <si>
    <t>HOLLISTER EXTRA THIN 20X20 REF 9925</t>
  </si>
  <si>
    <t>2000946</t>
  </si>
  <si>
    <t>GASA NO TEJIDA 10x10 FENESTRADA AM</t>
  </si>
  <si>
    <t>2000952</t>
  </si>
  <si>
    <t>BOQUILLAS DESCARTABLE ALCOHOLIMETROS</t>
  </si>
  <si>
    <t>2000953</t>
  </si>
  <si>
    <t>ROPA INTERIOR DESCARTABLE NONISEC XG</t>
  </si>
  <si>
    <t>2000958</t>
  </si>
  <si>
    <t>CIRCUITO RESPIRATORIO PED REF. 306/8787</t>
  </si>
  <si>
    <t>2000959</t>
  </si>
  <si>
    <t>CANULA NRO 4 SIN BALON WELL LEAD</t>
  </si>
  <si>
    <t>2000960</t>
  </si>
  <si>
    <t>TOALLAS INTERCALADAS DE PAPEL PACK 250</t>
  </si>
  <si>
    <t>2000961</t>
  </si>
  <si>
    <t>Cánula p/TQT Portex Nº6 Subglo Vocal S/B</t>
  </si>
  <si>
    <t>2000962</t>
  </si>
  <si>
    <t>S</t>
  </si>
  <si>
    <t>2000972</t>
  </si>
  <si>
    <t>SONDA T/K-11 KOLLER</t>
  </si>
  <si>
    <t>2000992</t>
  </si>
  <si>
    <t>FILTRO PEDIATRICO PARA VENTILACION</t>
  </si>
  <si>
    <t>2000996</t>
  </si>
  <si>
    <t>pañales babysec Talle XXG</t>
  </si>
  <si>
    <t>2001000</t>
  </si>
  <si>
    <t>CAJA CHICA SUTURA</t>
  </si>
  <si>
    <t>2001001</t>
  </si>
  <si>
    <t>SONDA SPEEDICATH COMPACT 28692</t>
  </si>
  <si>
    <t>2001002</t>
  </si>
  <si>
    <t>Pañal NONISEC Ultra Talle G</t>
  </si>
  <si>
    <t>2001003</t>
  </si>
  <si>
    <t>PAÑAL ADULTO G/XG-PLENITUD PROTEC PLUS</t>
  </si>
  <si>
    <t>2001004</t>
  </si>
  <si>
    <t>CAJA 60X40x40</t>
  </si>
  <si>
    <t>2001010</t>
  </si>
  <si>
    <t>PAÑALES NENE/CHELINO + DE 18KG TALLE 6</t>
  </si>
  <si>
    <t>2001011</t>
  </si>
  <si>
    <t>SONDA T/K-11 TOM FAC</t>
  </si>
  <si>
    <t>2001014</t>
  </si>
  <si>
    <t>PAÑAL NONISEC ADULTO XXG</t>
  </si>
  <si>
    <t>2001015</t>
  </si>
  <si>
    <t>PAÑAL NONISEC TALLE JUVENIL CHICO</t>
  </si>
  <si>
    <t>2001020</t>
  </si>
  <si>
    <t>CANULA P/TQT END.C/B 9 PORTEX 100/810/09</t>
  </si>
  <si>
    <t>2001021</t>
  </si>
  <si>
    <t>SONDA BBRAUN REF 238212A</t>
  </si>
  <si>
    <t>2001023</t>
  </si>
  <si>
    <t>ALGODÓN SUPER 400G ESTRELLA</t>
  </si>
  <si>
    <t>2001030</t>
  </si>
  <si>
    <t>APOSITO COMODIN ULTRA INCONT. MODERADA</t>
  </si>
  <si>
    <t>2001036</t>
  </si>
  <si>
    <t>TIJERA IRIS RECTA 11CM</t>
  </si>
  <si>
    <t>2001040</t>
  </si>
  <si>
    <t>SONDA SPEEDICAT REF 28512 CATETER MUJER</t>
  </si>
  <si>
    <t>2001050</t>
  </si>
  <si>
    <t>PAÑAL BABYSEC PREMIUM XG</t>
  </si>
  <si>
    <t>2001051</t>
  </si>
  <si>
    <t>SUTURA MONONYLON 3-0 AGUJA REDONDA</t>
  </si>
  <si>
    <t>2001052</t>
  </si>
  <si>
    <t>SUTURA MONONYLON 4-0 AGUJA REDONDA</t>
  </si>
  <si>
    <t>2001053</t>
  </si>
  <si>
    <t>SUTURA MONONYLON 5-0 AGUJA REDONDA</t>
  </si>
  <si>
    <t>2001054</t>
  </si>
  <si>
    <t>ALGODÓN HIDROFILO CLASICO X 300 Grs</t>
  </si>
  <si>
    <t>2001055</t>
  </si>
  <si>
    <t>GUANTES DE NITRILO PRINTEX L</t>
  </si>
  <si>
    <t>2001057</t>
  </si>
  <si>
    <t>SISTEMA DE SUCCION VITALCATH 6161400</t>
  </si>
  <si>
    <t>2001059</t>
  </si>
  <si>
    <t>ZALEAS DESCARTABLES PLENITUD</t>
  </si>
  <si>
    <t>2001060</t>
  </si>
  <si>
    <t>SONDA T/K 9 TOM FAC</t>
  </si>
  <si>
    <t>2001062</t>
  </si>
  <si>
    <t>FILTROS FLEX LIFE HME COD 353/5908</t>
  </si>
  <si>
    <t>2001063</t>
  </si>
  <si>
    <t>COLLARIN PARA TRAQUEOSTOMIA</t>
  </si>
  <si>
    <t>2001064</t>
  </si>
  <si>
    <t>SONDA BBRAUN REF 228208A</t>
  </si>
  <si>
    <t>2001067</t>
  </si>
  <si>
    <t>AEROCAMARA S/MASCARA C/ADAPT.SILFAB PA01</t>
  </si>
  <si>
    <t>2001068</t>
  </si>
  <si>
    <t>MANGUERA CRISTAL 6X10MM. X MT</t>
  </si>
  <si>
    <t>2001069</t>
  </si>
  <si>
    <t>MANGUERA PLAST.P/PIPETA P52 SILFAB</t>
  </si>
  <si>
    <t>2001070</t>
  </si>
  <si>
    <t>RPTO.SILFAB FILTRO INTERMED.CHICO FI2</t>
  </si>
  <si>
    <t>2001071</t>
  </si>
  <si>
    <t>Canula P/TQT 4.0 c/b Crystalclear RUSH</t>
  </si>
  <si>
    <t>2001073</t>
  </si>
  <si>
    <t>SONDA NELATON SILMAG REF 420-12</t>
  </si>
  <si>
    <t>2001074</t>
  </si>
  <si>
    <t>TEGADERM 10x25 (3M)</t>
  </si>
  <si>
    <t>2001075</t>
  </si>
  <si>
    <t>GUIA P/BOMBA KANGAROO 924 REF 775759</t>
  </si>
  <si>
    <t>2001076</t>
  </si>
  <si>
    <t>CANULA P/TQT TRACOE Nº7TR302-07 C/BALON</t>
  </si>
  <si>
    <t>2001079</t>
  </si>
  <si>
    <t>AEROCAMARA AEROCHAMBER FLOW</t>
  </si>
  <si>
    <t>2001081</t>
  </si>
  <si>
    <t>PLENITUD MUJER ACTIVE FIT G/XG</t>
  </si>
  <si>
    <t>2001083</t>
  </si>
  <si>
    <t>APOST ANTIESCARAS KENDALL REF 475400</t>
  </si>
  <si>
    <t>2001085</t>
  </si>
  <si>
    <t>COLLARIN P/TQT YAFHO</t>
  </si>
  <si>
    <t>2001086</t>
  </si>
  <si>
    <t>GUIA MACROGOTERO V14 KOLER G-1</t>
  </si>
  <si>
    <t>2001087</t>
  </si>
  <si>
    <t>CANULA P/TQT PORTEX Nº 7.5 C/B SUBGLOTI</t>
  </si>
  <si>
    <t>2001090</t>
  </si>
  <si>
    <t>EQUIPO ADM NUTRI BOMB KANGAROO 775100</t>
  </si>
  <si>
    <t>2001091</t>
  </si>
  <si>
    <t>PAÑAL INDASLIP M10</t>
  </si>
  <si>
    <t>2001095</t>
  </si>
  <si>
    <t>TUBO ENDOTRAQ. Nº 2.5 S/BALON</t>
  </si>
  <si>
    <t>2001097</t>
  </si>
  <si>
    <t>FILTRO BACTERIAL BESMED COD.70221</t>
  </si>
  <si>
    <t>2001098</t>
  </si>
  <si>
    <t>FILTRO TRAQUEO UNIX INTERSURGICAL</t>
  </si>
  <si>
    <t>2001099</t>
  </si>
  <si>
    <t>CIRCUITO PEDIATRICO HUDSON HU780-22</t>
  </si>
  <si>
    <t>2001100</t>
  </si>
  <si>
    <t>CIRCUITO P/VENT HUDSON NEO HU780-11</t>
  </si>
  <si>
    <t>2001101</t>
  </si>
  <si>
    <t>TUBO ATOXICO KT-63 x 2MTS</t>
  </si>
  <si>
    <t>2001102</t>
  </si>
  <si>
    <t>CIRCUITO CORTO ADULTO 285/5059 COVIDIEN</t>
  </si>
  <si>
    <t>2001103</t>
  </si>
  <si>
    <t>CONECTOR PARA MDI BESMED</t>
  </si>
  <si>
    <t>2001104</t>
  </si>
  <si>
    <t>CIRCUITO 1 RAMA RESMED RIBBED NRO 6</t>
  </si>
  <si>
    <t>2001105</t>
  </si>
  <si>
    <t>TUBULADURA COUGH ASSIST P</t>
  </si>
  <si>
    <t>2001106</t>
  </si>
  <si>
    <t>FILTRO RESPIRADOR ASTRAL RESMED REF27939</t>
  </si>
  <si>
    <t>2001107</t>
  </si>
  <si>
    <t>CONECTOR DE OXIGENACION EN T DCD002</t>
  </si>
  <si>
    <t>2001108</t>
  </si>
  <si>
    <t>CANULA TQT AURINCO Nº7 C/ASPIR SUBGLOT</t>
  </si>
  <si>
    <t>2001109</t>
  </si>
  <si>
    <t>CIRCUITO P/RESP PED COVIDIEN 5093900 2RA</t>
  </si>
  <si>
    <t>2001110</t>
  </si>
  <si>
    <t>CANULA P/TQT C/B SHILEY N7 SUBGLO 313-70</t>
  </si>
  <si>
    <t>2001111</t>
  </si>
  <si>
    <t>CINTA HILERA POR METRO</t>
  </si>
  <si>
    <t>2001113</t>
  </si>
  <si>
    <t>PAÑAL NENE TALLE 5</t>
  </si>
  <si>
    <t>2001116</t>
  </si>
  <si>
    <t>MICRONEBULIZADOR PEDIATRICO C/ MASC</t>
  </si>
  <si>
    <t>2001118</t>
  </si>
  <si>
    <t>MAMELUCO DESCARTABLE</t>
  </si>
  <si>
    <t>2001119</t>
  </si>
  <si>
    <t>CUBRECALZADO BLANCO C/AJUST ELAST</t>
  </si>
  <si>
    <t>2001120</t>
  </si>
  <si>
    <t>CANULA P/TQT SHILEY N° 3.0 S/B PEF/PED</t>
  </si>
  <si>
    <t>2001122</t>
  </si>
  <si>
    <t>Canula P/TQT 4.5 c/b Crystalclear RUSH</t>
  </si>
  <si>
    <t>2001124</t>
  </si>
  <si>
    <t>CAMISOLIN COTEADO/LAMINADO 45 GR. 1,20M</t>
  </si>
  <si>
    <t>2001125</t>
  </si>
  <si>
    <t>MASCARA DE PROTECCION FACIAL</t>
  </si>
  <si>
    <t>2001126</t>
  </si>
  <si>
    <t>MASCARILLA CON RESERVORIO SIN RETORNO</t>
  </si>
  <si>
    <t>2001127</t>
  </si>
  <si>
    <t>CAPSULA DE AISLAMIENTO</t>
  </si>
  <si>
    <t>2001128</t>
  </si>
  <si>
    <t>FILTRO ELECTROSTATICOS HEPA CLASE H11</t>
  </si>
  <si>
    <t>2001129</t>
  </si>
  <si>
    <t>FILTRO HUMID C/ LUER PORT HSINER H570531</t>
  </si>
  <si>
    <t>2001132</t>
  </si>
  <si>
    <t>CAMARA DE HUMIDIFICACION CLOUD</t>
  </si>
  <si>
    <t>2001135</t>
  </si>
  <si>
    <t>CONECTOR FLEX DCD028</t>
  </si>
  <si>
    <t>2001136</t>
  </si>
  <si>
    <t>SONDA RECTAL Nro 10 FR</t>
  </si>
  <si>
    <t>2001137</t>
  </si>
  <si>
    <t>TERMOMETRO INFRARROJO</t>
  </si>
  <si>
    <t>2001139</t>
  </si>
  <si>
    <t>GUIA P/BOMBA KANGAROO 924 REF 673622</t>
  </si>
  <si>
    <t>2001140</t>
  </si>
  <si>
    <t>GUIA P/BOMBA KANGAROO EPUMP REF. 775659</t>
  </si>
  <si>
    <t>2001141</t>
  </si>
  <si>
    <t>SET P/BOMBA ENMIND - ROLLER - TF14AA-GAS</t>
  </si>
  <si>
    <t>2001142</t>
  </si>
  <si>
    <t>SET P/BOMBA ENMIND PICO CRUZ - L93 GAS</t>
  </si>
  <si>
    <t>2001143</t>
  </si>
  <si>
    <t>FRASCO P/BOMBA ALIM 500CC 3 CONEXIONES</t>
  </si>
  <si>
    <t>2001144</t>
  </si>
  <si>
    <t>FRASCO 1LT P/ASPIRADOR SILFAB N-33A</t>
  </si>
  <si>
    <t>2001145</t>
  </si>
  <si>
    <t>TAPA P/FRASCO PLASTICO ASPIRADOR SILFAB</t>
  </si>
  <si>
    <t>2001146</t>
  </si>
  <si>
    <t>FILTRO PARA ASPIRADOR SILFAB N-33A</t>
  </si>
  <si>
    <t>2001147</t>
  </si>
  <si>
    <t>CIRCUITO PACIENTE COUGH ASSIST TODDLER</t>
  </si>
  <si>
    <t>2001148</t>
  </si>
  <si>
    <t>CIRCUITO PACIENTE COUGH ASSIST ADULTO</t>
  </si>
  <si>
    <t>2001149</t>
  </si>
  <si>
    <t>TUBULADURA CORRUGADA 1.5m HUDSON 1417</t>
  </si>
  <si>
    <t>2001150</t>
  </si>
  <si>
    <t>TUBUL. CORRUGADA 1.8m RESPIRONICS 22mm</t>
  </si>
  <si>
    <t>2001152</t>
  </si>
  <si>
    <t>TUBUL.CORRUGADA P/HUMIDIF GALEMED 38013</t>
  </si>
  <si>
    <t>2001153</t>
  </si>
  <si>
    <t>TUBULADURA CORRUGADA BMC</t>
  </si>
  <si>
    <t>2001154</t>
  </si>
  <si>
    <t>TUBULADURA P/ RESPIRADOR ASTRAL 150 RESM</t>
  </si>
  <si>
    <t>2001155</t>
  </si>
  <si>
    <t>FILTRO P/TOMA DE AIRE RESPI ASTRAL 150</t>
  </si>
  <si>
    <t>2001156</t>
  </si>
  <si>
    <t>FILTRO  P/RESPI ASTRAL 150 REF 27939</t>
  </si>
  <si>
    <t>2001157</t>
  </si>
  <si>
    <t>CONECTOR DE CANULA A TUBULADURA</t>
  </si>
  <si>
    <t>2001158</t>
  </si>
  <si>
    <t>SENSOR PARA OXIMETRO NONIN</t>
  </si>
  <si>
    <t>2001159</t>
  </si>
  <si>
    <t>MUCOSUCTOR C/REGUL Y SONDA G31 RESERVOR</t>
  </si>
  <si>
    <t>2001161</t>
  </si>
  <si>
    <t>TUBULADURA SMOOTH EVA REF 38013</t>
  </si>
  <si>
    <t>2001164</t>
  </si>
  <si>
    <t>BOLSAS DE BIOSEGURIDAD</t>
  </si>
  <si>
    <t>2001166</t>
  </si>
  <si>
    <t>COLLARIN P/TQT AURINCO PEDIATRI 97190503</t>
  </si>
  <si>
    <t>2001167</t>
  </si>
  <si>
    <t>CIRCUITO LARGO ADULTO 285/5064 COVIDIEN</t>
  </si>
  <si>
    <t>2001170</t>
  </si>
  <si>
    <t>AIRVO CIRCUITO + CAMARA OPTIFLOW ADULTO</t>
  </si>
  <si>
    <t>2001173</t>
  </si>
  <si>
    <t>AIRVO INTERFAZ OPTIFLOW ADULTO MEDIUM</t>
  </si>
  <si>
    <t>2001174</t>
  </si>
  <si>
    <t>AIRVO INTERFAZ OPTIFLOW ADULTO LARGE</t>
  </si>
  <si>
    <t>2001176</t>
  </si>
  <si>
    <t>CANULA JUNIOR OPT PREMATURO</t>
  </si>
  <si>
    <t>2001177</t>
  </si>
  <si>
    <t>CANULA JUNIOR OPT NEONATAL</t>
  </si>
  <si>
    <t>2001178</t>
  </si>
  <si>
    <t>CANULA JUNIOR OPT INFANTIL</t>
  </si>
  <si>
    <t>2001179</t>
  </si>
  <si>
    <t>CANULA JUNIOR OPT PEDIATRICO</t>
  </si>
  <si>
    <t>2001180</t>
  </si>
  <si>
    <t>CIRCUITO AIRVO2 AIR SPIRAL REF900T561</t>
  </si>
  <si>
    <t>2001182</t>
  </si>
  <si>
    <t>PULVERIZADOR 500 CC</t>
  </si>
  <si>
    <t>2001183</t>
  </si>
  <si>
    <t>HISOPOS DOBLE PARA NASOFARÍNGEO</t>
  </si>
  <si>
    <t>2001184</t>
  </si>
  <si>
    <t>TUBO PLÁSTICO PARA TEST 15ML TIPO FALCON</t>
  </si>
  <si>
    <t>2001190</t>
  </si>
  <si>
    <t>ADAPTADOR ALIMENTACION ENTERAL C/FLEX</t>
  </si>
  <si>
    <t>2001192</t>
  </si>
  <si>
    <t>PAÑAL ADULTO MEDIANO</t>
  </si>
  <si>
    <t>2001193</t>
  </si>
  <si>
    <t>PAÑAL ADULTO GRANDE BASICO C/GEL</t>
  </si>
  <si>
    <t>2001194</t>
  </si>
  <si>
    <t>PAÑAL ADULTO  EXTRA GRANDE BASICO C/GEL</t>
  </si>
  <si>
    <t>2001195</t>
  </si>
  <si>
    <t>PAÑAL ADULTO NONISEC XXG C/GEL</t>
  </si>
  <si>
    <t>2001196</t>
  </si>
  <si>
    <t>PAÑAL JUVENIL S-M</t>
  </si>
  <si>
    <t>2001197</t>
  </si>
  <si>
    <t>PAÑAL JUVENIL L-XL</t>
  </si>
  <si>
    <t>2001198</t>
  </si>
  <si>
    <t>PAÑAL BABY G</t>
  </si>
  <si>
    <t>2001199</t>
  </si>
  <si>
    <t>PAÑAL BABY XG</t>
  </si>
  <si>
    <t>2001200</t>
  </si>
  <si>
    <t>PAÑAL BABY XXG</t>
  </si>
  <si>
    <t>2001201</t>
  </si>
  <si>
    <t>SIST CERRADO DE ASPIRACION TRAQUEAL 14FR</t>
  </si>
  <si>
    <t>2001203</t>
  </si>
  <si>
    <t>CIRCUITO TRACH CARE 14FR P/TQT HALYARD</t>
  </si>
  <si>
    <t>2001207</t>
  </si>
  <si>
    <t>TEST DE EXTRACCION RAPIDA DE ARN/ADN</t>
  </si>
  <si>
    <t>2001209</t>
  </si>
  <si>
    <t>TUBO PARA MUESTRA DE SANGRE</t>
  </si>
  <si>
    <t>2001210</t>
  </si>
  <si>
    <t>TEST RÁPIDO COVID-19 IGG/IGM BIOTECH</t>
  </si>
  <si>
    <t>2001211</t>
  </si>
  <si>
    <t>CAJA 50X40x40</t>
  </si>
  <si>
    <t>2001212</t>
  </si>
  <si>
    <t>TOTEM SANITIZANTE</t>
  </si>
  <si>
    <t>2001213</t>
  </si>
  <si>
    <t>INSUMOS TOTEM SANITIZANTES</t>
  </si>
  <si>
    <t>2001214</t>
  </si>
  <si>
    <t>AMBU CON VALVULA PEEP</t>
  </si>
  <si>
    <t>2001216</t>
  </si>
  <si>
    <t>SONDA NASOGASTRICA ADUL 391-12 SILMAG</t>
  </si>
  <si>
    <t>2001217</t>
  </si>
  <si>
    <t>VAPORIZADOR V11 SILFAB</t>
  </si>
  <si>
    <t>2001221</t>
  </si>
  <si>
    <t>CANULA P/TQT AURINCO N° 4.5 C/B</t>
  </si>
  <si>
    <t>2001230</t>
  </si>
  <si>
    <t>HILO DE SUTURA SUPRALON 3</t>
  </si>
  <si>
    <t>2001234</t>
  </si>
  <si>
    <t>REGULADOR DE FLUJO</t>
  </si>
  <si>
    <t>2001237</t>
  </si>
  <si>
    <t>TOALLAS HUMEDAS FRESH x 60</t>
  </si>
  <si>
    <t>2001238</t>
  </si>
  <si>
    <t>TUBO ENDOTRAQ. Nº 2 S/BALON</t>
  </si>
  <si>
    <t>2001239</t>
  </si>
  <si>
    <t>CIRCUITO RAMA SIMPLE PEDIATRICO F&amp;P</t>
  </si>
  <si>
    <t>2001240</t>
  </si>
  <si>
    <t>TEST ANTIGENO PANBIO COVID</t>
  </si>
  <si>
    <t>2001241</t>
  </si>
  <si>
    <t>KIT IRRIGADOR PARA ENEMA</t>
  </si>
  <si>
    <t>2001242</t>
  </si>
  <si>
    <t>TELA ADHESIVA 10CM HOSPITALARIA</t>
  </si>
  <si>
    <t>2001243</t>
  </si>
  <si>
    <t>COLCHON DE USO SANATORIAL</t>
  </si>
  <si>
    <t>2001245</t>
  </si>
  <si>
    <t>SOPORTE DE CATETER EXTENSIBLE</t>
  </si>
  <si>
    <t>2001246</t>
  </si>
  <si>
    <t>METRO DE CINTA AL BIES</t>
  </si>
  <si>
    <t>2001249</t>
  </si>
  <si>
    <t>TIRAS REACTIVAS OPTIUM NEO H</t>
  </si>
  <si>
    <t>2001251</t>
  </si>
  <si>
    <t>BARBIJO KN95</t>
  </si>
  <si>
    <t>2001252</t>
  </si>
  <si>
    <t>FRASCO DE ALIMENTACION 500 CC DOBLE PICO</t>
  </si>
  <si>
    <t>2001253</t>
  </si>
  <si>
    <t>FILTRO RESP TQT HMEF ADULTO</t>
  </si>
  <si>
    <t>2001254</t>
  </si>
  <si>
    <t>CANULA DE GUEDEL 12CM N5 NARANJA</t>
  </si>
  <si>
    <t>2001255</t>
  </si>
  <si>
    <t>CANULA P/TQT RUSH Nº 7 BIELSASKY 120900</t>
  </si>
  <si>
    <t>2001256</t>
  </si>
  <si>
    <t>GUIA P/BOMBA KANGAROO 924 REF 775100</t>
  </si>
  <si>
    <t>2001261</t>
  </si>
  <si>
    <t>BOLSA DE OBITO NEGRA 200MIC C/CIERRE</t>
  </si>
  <si>
    <t>2001262</t>
  </si>
  <si>
    <t>EJERCITADOR PULMONAR RESPIRATORIO</t>
  </si>
  <si>
    <t>2001264</t>
  </si>
  <si>
    <t>MASCARA PROTECCION FACIAL IMPORTADA</t>
  </si>
  <si>
    <t>2001265</t>
  </si>
  <si>
    <t>HISOPOS COMUNES x 100</t>
  </si>
  <si>
    <t>2001266</t>
  </si>
  <si>
    <t>GUIA MACROGOTERO C/ SIST AUTOSELLAN KAWA</t>
  </si>
  <si>
    <t>2001267</t>
  </si>
  <si>
    <t>SONDA NASOGASTRICA ADUL 391-18 SILMAG</t>
  </si>
  <si>
    <t>2001268</t>
  </si>
  <si>
    <t>CANULA P/TQT SHILEY N° 7.5 C/B 138-75</t>
  </si>
  <si>
    <t>2001269</t>
  </si>
  <si>
    <t>APOSITO DE ALGINATO 15X20CM</t>
  </si>
  <si>
    <t>2001270</t>
  </si>
  <si>
    <t>SONDA ASPIRACION K30 S/REGUL</t>
  </si>
  <si>
    <t>2001272</t>
  </si>
  <si>
    <t>SONDA SPEEDICAT FLEX 28922 12FR</t>
  </si>
  <si>
    <t>2001273</t>
  </si>
  <si>
    <t>APOSITO DE ALGINATO 10X10 ASKINA</t>
  </si>
  <si>
    <t>2001275</t>
  </si>
  <si>
    <t>EXTRACCION RAPIDA ARN SARS COV-2 HIGHWAY</t>
  </si>
  <si>
    <t>2001276</t>
  </si>
  <si>
    <t>CERTEST BIOTEC SARS-COV-2</t>
  </si>
  <si>
    <t>2001277</t>
  </si>
  <si>
    <t>CANULA P/TQT AURINCO N° 8.0 C/FONA</t>
  </si>
  <si>
    <t>2001278</t>
  </si>
  <si>
    <t>TELA ADHE HIPOALERGENICA DE SEDA 2.5CM</t>
  </si>
  <si>
    <t>2001279</t>
  </si>
  <si>
    <t>TEST ID NOW COVID 19</t>
  </si>
  <si>
    <t>2001280</t>
  </si>
  <si>
    <t>SONDA FOLEY 3 VIAS Nº18 100% SILICONA</t>
  </si>
  <si>
    <t>2001281</t>
  </si>
  <si>
    <t>CANULA TRAQ. 4.5MM C/BALON WELL LEAD</t>
  </si>
  <si>
    <t>2001282</t>
  </si>
  <si>
    <t>CANULA P/TQT AURINCO N° 8.0 S/B</t>
  </si>
  <si>
    <t>2001283</t>
  </si>
  <si>
    <t>PAÑOS DE LIMPIEZA</t>
  </si>
  <si>
    <t>2001284</t>
  </si>
  <si>
    <t>PAÑAL PAMPERS PREMIUM XG</t>
  </si>
  <si>
    <t>2001285</t>
  </si>
  <si>
    <t>CANULA TRACOE-VARIO REF 455 Nro 7</t>
  </si>
  <si>
    <t>2001292</t>
  </si>
  <si>
    <t>FILTRO P/TQT TRACH-VENT 353/19046</t>
  </si>
  <si>
    <t>2001293</t>
  </si>
  <si>
    <t>CIRCUITO P/RESP COVIDIEN REF 5094000</t>
  </si>
  <si>
    <t>2001294</t>
  </si>
  <si>
    <t>SET FERULAS INFLABL. MIEMBROS SUPERIORES</t>
  </si>
  <si>
    <t>2001296</t>
  </si>
  <si>
    <t>MALETIN EMERGENCIAS MEDICAS</t>
  </si>
  <si>
    <t>2001303</t>
  </si>
  <si>
    <t>APOSITO TIPO TEGADERM 5X7 LEUKONET</t>
  </si>
  <si>
    <t>2001304</t>
  </si>
  <si>
    <t>CANULA NRO 6 REF 113-68 SHILLEY</t>
  </si>
  <si>
    <t>2001305</t>
  </si>
  <si>
    <t>CANULA NRO 9 REF 113-80 SHILLEY</t>
  </si>
  <si>
    <t>2001307</t>
  </si>
  <si>
    <t>COLECTOR ORINA PEDIATRICO KOLLER</t>
  </si>
  <si>
    <t>2001308</t>
  </si>
  <si>
    <t>FERULA DIGITAL 10MM</t>
  </si>
  <si>
    <t>2001309</t>
  </si>
  <si>
    <t>GUIA DE ALIM. SN/108 KOLLER</t>
  </si>
  <si>
    <t>2001311</t>
  </si>
  <si>
    <t>ROLLO PARA ECG 80X20</t>
  </si>
  <si>
    <t>2001312</t>
  </si>
  <si>
    <t>GUIA PARA TUBO ENDOT DESECHABLE REF 500</t>
  </si>
  <si>
    <t>2001313</t>
  </si>
  <si>
    <t>SONDA NELATON K97</t>
  </si>
  <si>
    <t>2001314</t>
  </si>
  <si>
    <t>SONDA NELATON K93</t>
  </si>
  <si>
    <t>2001315</t>
  </si>
  <si>
    <t>APOSITO COMFEEL PLUS EXTRA ABS 20X20CM</t>
  </si>
  <si>
    <t>2001316</t>
  </si>
  <si>
    <t>CANULA P/TQT S/B SHILLEY NRO 9 4.0 PEF</t>
  </si>
  <si>
    <t>2001317</t>
  </si>
  <si>
    <t>CANULA TQT AURINCO C/CAMISA Y VA N° 5</t>
  </si>
  <si>
    <t>2001318</t>
  </si>
  <si>
    <t>CANULA TQT AURINCO C/CAMISA Y VA N° 7</t>
  </si>
  <si>
    <t>2001319</t>
  </si>
  <si>
    <t>CANULA TQT AURINCO N° 6 S/B</t>
  </si>
  <si>
    <t>2001320</t>
  </si>
  <si>
    <t>CANULA P/TQT RUSH Nº 4 BIELSASKY 121610</t>
  </si>
  <si>
    <t>2001321</t>
  </si>
  <si>
    <t>CANULA P/TQT TRACOE REF TR306-10</t>
  </si>
  <si>
    <t>2001322</t>
  </si>
  <si>
    <t>CANULA TQT AURINCO N° 4 S/B</t>
  </si>
  <si>
    <t>2001323</t>
  </si>
  <si>
    <t>CANULA P/TQT AURINCO N° 4.0 C/B</t>
  </si>
  <si>
    <t>2001324</t>
  </si>
  <si>
    <t>TAPA PARA FRASCO D/ALIM 2 PICOS</t>
  </si>
  <si>
    <t>2001325</t>
  </si>
  <si>
    <t>TUBO P/ALIMENTACION POLYMED REF 4002</t>
  </si>
  <si>
    <t>2001326</t>
  </si>
  <si>
    <t>GUIA P/BOMBA KANGAROO EPUMP REF 673656</t>
  </si>
  <si>
    <t>2001327</t>
  </si>
  <si>
    <t>TIRAS REACTIVAS FREESTYLE OPTIUM S/CODIF</t>
  </si>
  <si>
    <t>2001329</t>
  </si>
  <si>
    <t>JUEGOS DE PERAS PRECORDIALES</t>
  </si>
  <si>
    <t>2001330</t>
  </si>
  <si>
    <t>CANULA TRACOE 8 CON BALON</t>
  </si>
  <si>
    <t>2001331</t>
  </si>
  <si>
    <t>CANULA P/TQT RUSH Nº 9 BIELSASKY 121500</t>
  </si>
  <si>
    <t>2001332</t>
  </si>
  <si>
    <t>PAÑAL HUGGIES NATURAL CARE XXG UNISEX</t>
  </si>
  <si>
    <t>2001333</t>
  </si>
  <si>
    <t>TELA ADHE MICROPOROSA HIPOALER 2.5CM</t>
  </si>
  <si>
    <t>2001334</t>
  </si>
  <si>
    <t>TELA ADHE MICROPOROSA HIPOALER 5CM</t>
  </si>
  <si>
    <t>2001336</t>
  </si>
  <si>
    <t>INMOVILIZADOR DE COLUMNA ADULTO</t>
  </si>
  <si>
    <t>2001337</t>
  </si>
  <si>
    <t>CIRCUITO P/RESP RESMED REF 21302</t>
  </si>
  <si>
    <t>2001338</t>
  </si>
  <si>
    <t>CONECTOR P/RESP RESMED REF 24971</t>
  </si>
  <si>
    <t>2001339</t>
  </si>
  <si>
    <t>FILTRO P/RESP ASTRAL 24971 RESMED</t>
  </si>
  <si>
    <t>2001340</t>
  </si>
  <si>
    <t>PINZA MAGILL ADULTO</t>
  </si>
  <si>
    <t>2001341</t>
  </si>
  <si>
    <t>TEST DROGAS DE ABUSO - KIT x 25</t>
  </si>
  <si>
    <t>2001351</t>
  </si>
  <si>
    <t>CANULA P/TQT AURINCO N° 7.5 C/B</t>
  </si>
  <si>
    <t>2001353</t>
  </si>
  <si>
    <t>PAÑAL PLENITUD REAL FIT HOMBRE TALLE P/M</t>
  </si>
  <si>
    <t>2001354</t>
  </si>
  <si>
    <t>TOALLAS HUMEDAS ADULTO QSOFT x 40u</t>
  </si>
  <si>
    <t>2001356</t>
  </si>
  <si>
    <t>PAÑAL ESTRELLA JUNIOR + 18KG</t>
  </si>
  <si>
    <t>2001358</t>
  </si>
  <si>
    <t>PAÑAL INDASLIP PREMIUM S7</t>
  </si>
  <si>
    <t>2001361</t>
  </si>
  <si>
    <t>CANULA SHILEY REF 6CN75A</t>
  </si>
  <si>
    <t>2001362</t>
  </si>
  <si>
    <t>CANULA SHILEY REF 8DFEN</t>
  </si>
  <si>
    <t>2001363</t>
  </si>
  <si>
    <t>CIRCUITO RESPIRADOR ADULT REF 300/13315</t>
  </si>
  <si>
    <t>2001365</t>
  </si>
  <si>
    <t>TUBO ENDOTRAQ Nº 8 S/BALON</t>
  </si>
  <si>
    <t>2001366</t>
  </si>
  <si>
    <t>RIÑONERA DE ACERO</t>
  </si>
  <si>
    <t>2001367</t>
  </si>
  <si>
    <t>PROLONGADOR PT-3515 150cm KOLER</t>
  </si>
  <si>
    <t>2001369</t>
  </si>
  <si>
    <t>NO USAR</t>
  </si>
  <si>
    <t>2001371</t>
  </si>
  <si>
    <t>GASA COTICELL CLASSIC 10X10CM</t>
  </si>
  <si>
    <t>2001372</t>
  </si>
  <si>
    <t>CINTA NEURO TAPPING 5cm x 5mtros RIGIDA</t>
  </si>
  <si>
    <t>2001377</t>
  </si>
  <si>
    <t>TIJERA LISTER CURVA</t>
  </si>
  <si>
    <t>2001381</t>
  </si>
  <si>
    <t>TIJERA METZENBAUM 18CM</t>
  </si>
  <si>
    <t>2001385</t>
  </si>
  <si>
    <t>PINZA KOCHER CURVA 18CM</t>
  </si>
  <si>
    <t>2001392</t>
  </si>
  <si>
    <t>NO UTILIZAR</t>
  </si>
  <si>
    <t>2001393</t>
  </si>
  <si>
    <t>CANULA P/TQT TRACOE Nº7 460-07</t>
  </si>
  <si>
    <t>2001398</t>
  </si>
  <si>
    <t>CANULA P/TQT SHILEY N° 8.0 C/B 313-80</t>
  </si>
  <si>
    <t>2001399</t>
  </si>
  <si>
    <t>CANULA P/TQT SHILEY N° 6.0 C/B 313-60</t>
  </si>
  <si>
    <t>2001400</t>
  </si>
  <si>
    <t>PAÑAL HUGGIES SUPREME XXG</t>
  </si>
  <si>
    <t>2001401</t>
  </si>
  <si>
    <t>TEST RAPIDO ANTIGENO COVID19</t>
  </si>
  <si>
    <t>2001402</t>
  </si>
  <si>
    <t>PAÑAL HUGGIES PANT XTRAFLEX XXG</t>
  </si>
  <si>
    <t>2001403</t>
  </si>
  <si>
    <t>PAÑAL INDASLIP PREMIUM L10</t>
  </si>
  <si>
    <t>2001404</t>
  </si>
  <si>
    <t>CANULA DE YANKAUER</t>
  </si>
  <si>
    <t>2001405</t>
  </si>
  <si>
    <t>PANTOSCOPIO</t>
  </si>
  <si>
    <t>2001406</t>
  </si>
  <si>
    <t>PINZA BAYONETA</t>
  </si>
  <si>
    <t>2001407</t>
  </si>
  <si>
    <t>PINZA KELLY</t>
  </si>
  <si>
    <t>2001408</t>
  </si>
  <si>
    <t>PINZA KELLY RECTA</t>
  </si>
  <si>
    <t>2001409</t>
  </si>
  <si>
    <t>PINZA MOSQUITO CURVA</t>
  </si>
  <si>
    <t>2001410</t>
  </si>
  <si>
    <t>PINZA MOSQUITO RECTA</t>
  </si>
  <si>
    <t>2001411</t>
  </si>
  <si>
    <t>PAÑAL PAMPERS PREMIUM CARE XXG</t>
  </si>
  <si>
    <t>2001412</t>
  </si>
  <si>
    <t>GASA VASELINADA 10X10CM - CUTICELL CLASS</t>
  </si>
  <si>
    <t>2001413</t>
  </si>
  <si>
    <t>SONDA SPEEDICATH Compact Plus COD 28578</t>
  </si>
  <si>
    <t>2001415</t>
  </si>
  <si>
    <t>APOSITO SINTETICO 10X20</t>
  </si>
  <si>
    <t>2001416</t>
  </si>
  <si>
    <t>CAMARA HME</t>
  </si>
  <si>
    <t>2001417</t>
  </si>
  <si>
    <t>CIRCUITO RESP ADUL 2RAMA REF RB01-A0-160</t>
  </si>
  <si>
    <t>2001418</t>
  </si>
  <si>
    <t>FILTRO ANTIPOLEN RESPIRADOR</t>
  </si>
  <si>
    <t>2001419</t>
  </si>
  <si>
    <t>GASA TUBULAR X 1500GR</t>
  </si>
  <si>
    <t>2001420</t>
  </si>
  <si>
    <t>GASAS SINTETICA CURITY 10 X 10</t>
  </si>
  <si>
    <t>2001421</t>
  </si>
  <si>
    <t>LEUKOTAPE K CINTA 5 X 5 MT (PIEL)</t>
  </si>
  <si>
    <t>2001422</t>
  </si>
  <si>
    <t>TIRAS REACTIVAS ON CALL PLUS</t>
  </si>
  <si>
    <t>2001423</t>
  </si>
  <si>
    <t>PERFUS BOMBA KANGAROO 924</t>
  </si>
  <si>
    <t>2001424</t>
  </si>
  <si>
    <t>PERFUS MACROGOTERO Nº 1</t>
  </si>
  <si>
    <t>2001425</t>
  </si>
  <si>
    <t>PERFUS MACROGOTERO Nº 5</t>
  </si>
  <si>
    <t>2001426</t>
  </si>
  <si>
    <t>PERITA ASPIRACION Nº 0</t>
  </si>
  <si>
    <t>2001427</t>
  </si>
  <si>
    <t>SONDA NASOGASTRICA K-108</t>
  </si>
  <si>
    <t>2001428</t>
  </si>
  <si>
    <t>SONDA NASOGASTRICA SILICONADA Nº 7</t>
  </si>
  <si>
    <t>2001429</t>
  </si>
  <si>
    <t>SONDA NASOGASTRICA SILICONADA Nº 9</t>
  </si>
  <si>
    <t>2001430</t>
  </si>
  <si>
    <t>TRACH CARE FREE TRACHEA Nº 12</t>
  </si>
  <si>
    <t>2001431</t>
  </si>
  <si>
    <t>TRACH CARE FREE TRACHEA Nº 14</t>
  </si>
  <si>
    <t>2001432</t>
  </si>
  <si>
    <t>PAÑAL BEBE XXG - PAMPERS PREM CARE PANTS</t>
  </si>
  <si>
    <t>2001433</t>
  </si>
  <si>
    <t>PAÑAL PLENITUD FEMME G/XG</t>
  </si>
  <si>
    <t>2001437</t>
  </si>
  <si>
    <t>CANULA P/TQT PORTEX Nº 7.5 C/B</t>
  </si>
  <si>
    <t>2001441</t>
  </si>
  <si>
    <t>CANULA TQT AURINCO N° 9 C/ENDOCA C/B</t>
  </si>
  <si>
    <t>2001442</t>
  </si>
  <si>
    <t>FERULA TRUMAT. MOLDEABLE 11CM X 46CM</t>
  </si>
  <si>
    <t>2001443</t>
  </si>
  <si>
    <t>FERULA TRUMAT. MOLDEABLE 15CM X 92CM</t>
  </si>
  <si>
    <t>2001444</t>
  </si>
  <si>
    <t>GUIA PARA BOMBA DE INFUSION - ADMISOL</t>
  </si>
  <si>
    <t>2001445</t>
  </si>
  <si>
    <t>GEL ENERGIZANTE</t>
  </si>
  <si>
    <t>2001446</t>
  </si>
  <si>
    <t>Conector Flex Enternders REF. S6419P</t>
  </si>
  <si>
    <t>2001448</t>
  </si>
  <si>
    <t>AEROCAMARA C/ADAPTARDOR TRAQUEO AEROSPAC</t>
  </si>
  <si>
    <t>2001449</t>
  </si>
  <si>
    <t>PINZA HALSTEAD CURVA SIN DIENTES</t>
  </si>
  <si>
    <t>2001450</t>
  </si>
  <si>
    <t>TAMBOR DE ACERO INOXIDABLE</t>
  </si>
  <si>
    <t>2001451</t>
  </si>
  <si>
    <t>FILTRO VIR/BACT HAND REF 42382</t>
  </si>
  <si>
    <t>2001452</t>
  </si>
  <si>
    <t>SONDA GASTROSTOMIA C/B 330-18 18FR SILMA</t>
  </si>
  <si>
    <t>2001453</t>
  </si>
  <si>
    <t>GUIA P/BOMBA D/INFUSION-ARGIMED PM973001</t>
  </si>
  <si>
    <t>2001454</t>
  </si>
  <si>
    <t>FILTRO VIR/BACT DCD REF. AB5030</t>
  </si>
  <si>
    <t>2001455</t>
  </si>
  <si>
    <t>CANULA TQT AURINCO Nº 9 SUBGLOTICA</t>
  </si>
  <si>
    <t>2001460</t>
  </si>
  <si>
    <t>PINZA METZEBAUM</t>
  </si>
  <si>
    <t>2001477</t>
  </si>
  <si>
    <t>SET DE PUNCION CRICOTIROTOMÍA</t>
  </si>
  <si>
    <t>2001510</t>
  </si>
  <si>
    <t>SATUROMETRO PORTATIL PILAS SAN-UP A310</t>
  </si>
  <si>
    <t>2001515</t>
  </si>
  <si>
    <t>INMOVILIZADOR LATERO CERVICAL</t>
  </si>
  <si>
    <t>2001528</t>
  </si>
  <si>
    <t>FILTRO HUMIFICADOR HME C/PUER R6219</t>
  </si>
  <si>
    <t>2001531</t>
  </si>
  <si>
    <t>TUBULADURA SILICONA  C/FILT ASPIRADOR</t>
  </si>
  <si>
    <t>2001537</t>
  </si>
  <si>
    <t>SONDA VESICAL DE 2 VIAS N° 14 (LATEX)</t>
  </si>
  <si>
    <t>2001540</t>
  </si>
  <si>
    <t>APOSITO SAM CHEST SEAL C/V CS200-EN</t>
  </si>
  <si>
    <t>2001541</t>
  </si>
  <si>
    <t>APOSITO SAM CHEST SEAL S/V CS201-EN</t>
  </si>
  <si>
    <t>2001543</t>
  </si>
  <si>
    <t>CINTURON SAM PELVIC SLING II PS301 STAND</t>
  </si>
  <si>
    <t>2001544</t>
  </si>
  <si>
    <t>CINTURON SAM PELVIC SLING II PS302 LARGE</t>
  </si>
  <si>
    <t>2001545</t>
  </si>
  <si>
    <t>APOSITO CHITOSAM 3X4 CT100-B-EN</t>
  </si>
  <si>
    <t>2001546</t>
  </si>
  <si>
    <t>APOSITO CHITOSAM 3X6 CT100-C-EN</t>
  </si>
  <si>
    <t>2001552</t>
  </si>
  <si>
    <t>2001561</t>
  </si>
  <si>
    <t>BICARBONATO DE SODIO 100 GR</t>
  </si>
  <si>
    <t>2001672</t>
  </si>
  <si>
    <t>MANTA DE LANA</t>
  </si>
  <si>
    <t>2001695</t>
  </si>
  <si>
    <t>Cintas de aprox. tipo steris (12x10mm)</t>
  </si>
  <si>
    <t>2001696</t>
  </si>
  <si>
    <t>Cintas de aprox. tipo steris (3x7,5mm)</t>
  </si>
  <si>
    <t>2001697</t>
  </si>
  <si>
    <t>Cintas de aprox. tipo steris (6x10cm)</t>
  </si>
  <si>
    <t>2001699</t>
  </si>
  <si>
    <t>ALGODON HIDROFILO CLASICO X 140 Grs.</t>
  </si>
  <si>
    <t>2001700</t>
  </si>
  <si>
    <t>GUANTES DE NITRILO LIBRE DE LATEX t.9</t>
  </si>
  <si>
    <t>2001704</t>
  </si>
  <si>
    <t>YERBA 500G</t>
  </si>
  <si>
    <t>2001706</t>
  </si>
  <si>
    <t>Collares cervicales regulables</t>
  </si>
  <si>
    <t>2001708</t>
  </si>
  <si>
    <t>SUTURA MONONYLON 6-0 AGUJA REDONDA</t>
  </si>
  <si>
    <t>2001736</t>
  </si>
  <si>
    <t>VASO PLASTICO DESCARTABLE 190cc</t>
  </si>
  <si>
    <t>2001752</t>
  </si>
  <si>
    <t>TEST 6 DROGAS x saliva</t>
  </si>
  <si>
    <t>2001759</t>
  </si>
  <si>
    <t>FABOGESIC 600MG X 90COMP</t>
  </si>
  <si>
    <t>2001771</t>
  </si>
  <si>
    <t>GEL BASE NEUTRO 5KG</t>
  </si>
  <si>
    <t>2001772</t>
  </si>
  <si>
    <t>TOFLUX 200MG SOBRES X20</t>
  </si>
  <si>
    <t>2001806</t>
  </si>
  <si>
    <t>parches Chitosam</t>
  </si>
  <si>
    <t>2001808</t>
  </si>
  <si>
    <t>PARCHE P/MARCAPASO NIHON KOHDEN TEC5531E</t>
  </si>
  <si>
    <t>2001809</t>
  </si>
  <si>
    <t>PARCHE P/MARCAPASO NIHON KOHDEN TEC5631E</t>
  </si>
  <si>
    <t>2001814</t>
  </si>
  <si>
    <t>2001833</t>
  </si>
  <si>
    <t>GUANTE EXAMINACION NITRILO LARGE</t>
  </si>
  <si>
    <t>2001852</t>
  </si>
  <si>
    <t>REGUL FLUJ C/EXT PTO INYECC Y</t>
  </si>
  <si>
    <t>2001853</t>
  </si>
  <si>
    <t>JERINGA 60 ML PICO LUER SLIP</t>
  </si>
  <si>
    <t>2001854</t>
  </si>
  <si>
    <t>TEBCIN PLUS X 20CAPS</t>
  </si>
  <si>
    <t>2001862</t>
  </si>
  <si>
    <t>SONDA P/ ALIMENTACION NASOGASTRICA K11</t>
  </si>
  <si>
    <t>2001870</t>
  </si>
  <si>
    <t>SONDA P/ ASPIRACION K32</t>
  </si>
  <si>
    <t>2001876</t>
  </si>
  <si>
    <t>TUBO DE MAYO N°0</t>
  </si>
  <si>
    <t>2001879</t>
  </si>
  <si>
    <t>2001880</t>
  </si>
  <si>
    <t>INSYTE 24GRS X 0.75 IN</t>
  </si>
  <si>
    <t>2001970</t>
  </si>
  <si>
    <t>CINTURON DE JUJACION UNIV PARA TABLA RAQ</t>
  </si>
  <si>
    <t>2001974</t>
  </si>
  <si>
    <t>AGUJA HIPODERMICA 23G x 1 - 25/6</t>
  </si>
  <si>
    <t>2002281</t>
  </si>
  <si>
    <t>VENDA DE YESO 15 CM</t>
  </si>
  <si>
    <t>2002392</t>
  </si>
  <si>
    <t>NOVADERM MICROPOROUS TAPE 2.5CMX9M X12U</t>
  </si>
  <si>
    <t>2002428</t>
  </si>
  <si>
    <t>JER DESC TUBER 1ML X100UN</t>
  </si>
  <si>
    <t>2002429</t>
  </si>
  <si>
    <t>JERINGA 20 ML X100UN</t>
  </si>
  <si>
    <t>2002430</t>
  </si>
  <si>
    <t>JERINGA 20 ML X50UN</t>
  </si>
  <si>
    <t>2002432</t>
  </si>
  <si>
    <t>INMOVILIZADOR DE CADERA REGUL INF AMBIDI</t>
  </si>
  <si>
    <t>2002433</t>
  </si>
  <si>
    <t>TENSIOMETRO WELCH ALLYN D545MC</t>
  </si>
  <si>
    <t>2002435</t>
  </si>
  <si>
    <t>TENSIOMETRO WELCH ALLYN DS44-11C DSHOCK</t>
  </si>
  <si>
    <t>2002436</t>
  </si>
  <si>
    <t>LARINGOSCOPIO C/CAMARA McGRATH COVIDEN</t>
  </si>
  <si>
    <t>2002437</t>
  </si>
  <si>
    <t>BRAZO ENTRENAMIENTO IVP50 ENFERMERIA</t>
  </si>
  <si>
    <t>2002438</t>
  </si>
  <si>
    <t>MULETA</t>
  </si>
  <si>
    <t>2002465</t>
  </si>
  <si>
    <t>CUELLO FILADELFIA</t>
  </si>
  <si>
    <t>2002466</t>
  </si>
  <si>
    <t>SUJETADOR MANDÍBULA</t>
  </si>
  <si>
    <t>2002467</t>
  </si>
  <si>
    <t>SUJETADOR DE CABEZA C/VELCRO</t>
  </si>
  <si>
    <t>2002468</t>
  </si>
  <si>
    <t>INSTRUMENTO DE APERTURA DE TRAQUEO/ESÓFA</t>
  </si>
  <si>
    <t>2002470</t>
  </si>
  <si>
    <t>EQUIPO DE INFECCIONES</t>
  </si>
  <si>
    <t>2002471</t>
  </si>
  <si>
    <t>FERULAS SAM SPLINT CHICA</t>
  </si>
  <si>
    <t>2002472</t>
  </si>
  <si>
    <t>FERULAS SAM SPLINT GRANDE</t>
  </si>
  <si>
    <t>2002473</t>
  </si>
  <si>
    <t>AMBU SIN VALVULA PEEP</t>
  </si>
  <si>
    <t>2002474</t>
  </si>
  <si>
    <t>VENDAS ELÁSTICAS - ANCHO 7 Y LARGO 2,5</t>
  </si>
  <si>
    <t>2002475</t>
  </si>
  <si>
    <t>VENDAS TIPO CAMBRIC - 7CM</t>
  </si>
  <si>
    <t>2002476</t>
  </si>
  <si>
    <t>SONDA PARA INTUBACIÓN GÁSTRICA 16FR</t>
  </si>
  <si>
    <t>2002478</t>
  </si>
  <si>
    <t>CANULA DE GUEDEL 100CM</t>
  </si>
  <si>
    <t>2002479</t>
  </si>
  <si>
    <t>FRASCO VENTURI</t>
  </si>
  <si>
    <t>2002480</t>
  </si>
  <si>
    <t>CIRCUITO PARA CICLADOR</t>
  </si>
  <si>
    <t>2002481</t>
  </si>
  <si>
    <t>VARILLA DE HEICHMANN</t>
  </si>
  <si>
    <t>2002499</t>
  </si>
  <si>
    <t>KIT DE AFEITADO DESCARTABLE</t>
  </si>
  <si>
    <t>2002564</t>
  </si>
  <si>
    <t>REGULADOR 02 C/MAN DOBLE FLOWMETER 0-15</t>
  </si>
  <si>
    <t>2002583</t>
  </si>
  <si>
    <t>SUJETADOR TUBO ENDOCRANEAL</t>
  </si>
  <si>
    <t>2002587</t>
  </si>
  <si>
    <t>VENDA OVATA 15CM</t>
  </si>
  <si>
    <t>2002588</t>
  </si>
  <si>
    <t>VENDA DE YESO 10 CM</t>
  </si>
  <si>
    <t>2002589</t>
  </si>
  <si>
    <t>VENDA OVATA 10CM</t>
  </si>
  <si>
    <t>2002590</t>
  </si>
  <si>
    <t>BATERIA LARINGOSCOPIO McGRATH COVIDEN</t>
  </si>
  <si>
    <t>2002612</t>
  </si>
  <si>
    <t>STERI STRIP 3M SUTURA 5T SOB. 3X7,5MM</t>
  </si>
  <si>
    <t>2002613</t>
  </si>
  <si>
    <t>STERI STRIP 3M SUTURA 5T SOB. 6.3X7,6MM</t>
  </si>
  <si>
    <t>2002614</t>
  </si>
  <si>
    <t>STERI STRIP 3M SUTURA 5T SOB. 60.3X102MM</t>
  </si>
  <si>
    <t>2002619</t>
  </si>
  <si>
    <t>SPONGOSTAN 7*5 1CM</t>
  </si>
  <si>
    <t>3000003</t>
  </si>
  <si>
    <t>CHALECO MEDICOS/CHOFERES TM</t>
  </si>
  <si>
    <t>3000004</t>
  </si>
  <si>
    <t>SACO GRIS DAMA TL</t>
  </si>
  <si>
    <t>3000005</t>
  </si>
  <si>
    <t>SACO GRIS DAMA TS</t>
  </si>
  <si>
    <t>3000006</t>
  </si>
  <si>
    <t>SACO GRIS DAMA TXL</t>
  </si>
  <si>
    <t>3000007</t>
  </si>
  <si>
    <t>SACO GRIS DAMA TXXL</t>
  </si>
  <si>
    <t>3000008</t>
  </si>
  <si>
    <t>SACO GRIS HOMBRE TL</t>
  </si>
  <si>
    <t>3000009</t>
  </si>
  <si>
    <t>SACO GRIS HOMBRE TM</t>
  </si>
  <si>
    <t>3000010</t>
  </si>
  <si>
    <t>SACO GRIS HOMBRE TXL</t>
  </si>
  <si>
    <t>3000011</t>
  </si>
  <si>
    <t>SACO GRIS HOMBRE TXS</t>
  </si>
  <si>
    <t>3000012</t>
  </si>
  <si>
    <t>CAMPERA MEDICO/CHOFERES TALLE XS</t>
  </si>
  <si>
    <t>3000013</t>
  </si>
  <si>
    <t>CAMPERA LAVADORES/FARMACIA TALLE S</t>
  </si>
  <si>
    <t>3000014</t>
  </si>
  <si>
    <t>CAMPERA SOFT GRIS MEDICO XS-38</t>
  </si>
  <si>
    <t>3000015</t>
  </si>
  <si>
    <t>CAMPERA SOFT GRIS MEDICO S-40</t>
  </si>
  <si>
    <t>3000016</t>
  </si>
  <si>
    <t>CAMPERA SOFT GRIS MEDICO M-42</t>
  </si>
  <si>
    <t>3000017</t>
  </si>
  <si>
    <t>CAMPERA SOFT GRIS MEDICO L-44</t>
  </si>
  <si>
    <t>3000018</t>
  </si>
  <si>
    <t>CAMPERA SOFT GRIS MEDICO XL-46</t>
  </si>
  <si>
    <t>3000019</t>
  </si>
  <si>
    <t>CAMPERA SOFT GRIS MEDICO 2XL-48</t>
  </si>
  <si>
    <t>3000020</t>
  </si>
  <si>
    <t>CAMPERA SOFT GRIS MEDICO 3XL-50</t>
  </si>
  <si>
    <t>3000021</t>
  </si>
  <si>
    <t>PANTALON GABARDINA DAMA T36</t>
  </si>
  <si>
    <t>3000022</t>
  </si>
  <si>
    <t>PANTALON GABARDINA DAMA T38</t>
  </si>
  <si>
    <t>3000023</t>
  </si>
  <si>
    <t>PANTALON GABARDINA DAMA T40</t>
  </si>
  <si>
    <t>3000024</t>
  </si>
  <si>
    <t>PANTALON GABARDINA DAMA T42</t>
  </si>
  <si>
    <t>3000025</t>
  </si>
  <si>
    <t>PANTALON GABARDINA DAMA T44</t>
  </si>
  <si>
    <t>3000026</t>
  </si>
  <si>
    <t>PANTALON GABARDINA DAMA T46</t>
  </si>
  <si>
    <t>3000027</t>
  </si>
  <si>
    <t>PANTALON GABARDINA DAMA T48</t>
  </si>
  <si>
    <t>3000028</t>
  </si>
  <si>
    <t>PANTALON GABARDINA DAMA T50</t>
  </si>
  <si>
    <t>3000029</t>
  </si>
  <si>
    <t>PANTALON GABARDINA DAMA T52</t>
  </si>
  <si>
    <t>3000030</t>
  </si>
  <si>
    <t>PANTALON GABARDINA DAMA T54</t>
  </si>
  <si>
    <t>3000031</t>
  </si>
  <si>
    <t>PANTALON GABARDINA DAMA T56</t>
  </si>
  <si>
    <t>3000032</t>
  </si>
  <si>
    <t>PANTALON GABARDINA DAMA T58</t>
  </si>
  <si>
    <t>3000033</t>
  </si>
  <si>
    <t>PANTALON GABARDINA DAMA T60</t>
  </si>
  <si>
    <t>3000034</t>
  </si>
  <si>
    <t>PANTALON GABARDINA DAMA T62</t>
  </si>
  <si>
    <t>3000035</t>
  </si>
  <si>
    <t>PANTALON GABARDINA DAMA T64</t>
  </si>
  <si>
    <t>3000036</t>
  </si>
  <si>
    <t>PANTALON GABARDINA DAMA T66</t>
  </si>
  <si>
    <t>3000037</t>
  </si>
  <si>
    <t>PANTALON GABARDINA DAMA T68</t>
  </si>
  <si>
    <t>3000038</t>
  </si>
  <si>
    <t>PANTALON GABARDINA HBRE T36</t>
  </si>
  <si>
    <t>3000039</t>
  </si>
  <si>
    <t>PANTALON GABARDINA HBRE T38</t>
  </si>
  <si>
    <t>3000040</t>
  </si>
  <si>
    <t>PANTALON GABARDINA HBRE T40</t>
  </si>
  <si>
    <t>3000041</t>
  </si>
  <si>
    <t>PANTALON GABARDINA HBRE T42</t>
  </si>
  <si>
    <t>3000042</t>
  </si>
  <si>
    <t>PANTALON GABARDINA HBRE T44</t>
  </si>
  <si>
    <t>3000043</t>
  </si>
  <si>
    <t>PANTALON GABARDINA HBRE T46</t>
  </si>
  <si>
    <t>3000044</t>
  </si>
  <si>
    <t>PANTALON GABARDINA HBRE T48</t>
  </si>
  <si>
    <t>3000045</t>
  </si>
  <si>
    <t>PANTALON GABARDINA HBRE T50</t>
  </si>
  <si>
    <t>3000046</t>
  </si>
  <si>
    <t>PANTALON GABARDINA HBRE T52</t>
  </si>
  <si>
    <t>3000047</t>
  </si>
  <si>
    <t>PANTALON GABARDINA HBRE T54</t>
  </si>
  <si>
    <t>3000048</t>
  </si>
  <si>
    <t>PANTALON GABARDINA HBRE T56</t>
  </si>
  <si>
    <t>3000049</t>
  </si>
  <si>
    <t>PANTALON GABARDINA HBRE T58</t>
  </si>
  <si>
    <t>3000050</t>
  </si>
  <si>
    <t>PANTALON GABARDINA HBRE T60</t>
  </si>
  <si>
    <t>3000051</t>
  </si>
  <si>
    <t>PANTALON GABARDINA HBRE T62</t>
  </si>
  <si>
    <t>3000052</t>
  </si>
  <si>
    <t>PANTALON GABARDINA HBRE T64</t>
  </si>
  <si>
    <t>3000053</t>
  </si>
  <si>
    <t>PANTALON GABARDINA HBRE T66</t>
  </si>
  <si>
    <t>3000054</t>
  </si>
  <si>
    <t>PANTALON GABARDINA HBRE T68</t>
  </si>
  <si>
    <t>3000055</t>
  </si>
  <si>
    <t>CAMISA CELESTE DAMA T36</t>
  </si>
  <si>
    <t>3000056</t>
  </si>
  <si>
    <t>CAMISA CELESTE DAMA T38</t>
  </si>
  <si>
    <t>3000057</t>
  </si>
  <si>
    <t>CAMISA CELESTE DAMA T40</t>
  </si>
  <si>
    <t>3000058</t>
  </si>
  <si>
    <t>CAMISA CELESTE DAMA T42</t>
  </si>
  <si>
    <t>3000059</t>
  </si>
  <si>
    <t>CAMISA CELESTE DAMA T44</t>
  </si>
  <si>
    <t>3000060</t>
  </si>
  <si>
    <t>CAMISA CELESTE DAMA T46</t>
  </si>
  <si>
    <t>3000061</t>
  </si>
  <si>
    <t>CAMISA CELESTE DAMA T48</t>
  </si>
  <si>
    <t>3000062</t>
  </si>
  <si>
    <t>CAMISA CELESTE DAMA T50</t>
  </si>
  <si>
    <t>3000063</t>
  </si>
  <si>
    <t>CAMISA CELESTE DAMA T52</t>
  </si>
  <si>
    <t>3000064</t>
  </si>
  <si>
    <t>CAMISA CELESTE DAMA T54</t>
  </si>
  <si>
    <t>3000065</t>
  </si>
  <si>
    <t>CAMISA CELESTE DAMA T56</t>
  </si>
  <si>
    <t>3000066</t>
  </si>
  <si>
    <t>CAMISA CELESTE DAMA T58</t>
  </si>
  <si>
    <t>3000067</t>
  </si>
  <si>
    <t>CAMISA CELESTE DAMA T60</t>
  </si>
  <si>
    <t>3000068</t>
  </si>
  <si>
    <t>CAMISA CELESTE DAMA T62</t>
  </si>
  <si>
    <t>3000069</t>
  </si>
  <si>
    <t>CAMISA CELESTE DAMA T64</t>
  </si>
  <si>
    <t>3000070</t>
  </si>
  <si>
    <t>CAMISA CELESTE DAMA T66</t>
  </si>
  <si>
    <t>3000071</t>
  </si>
  <si>
    <t>CAMISA CELESTE DAMA T68</t>
  </si>
  <si>
    <t>3000072</t>
  </si>
  <si>
    <t>CAMISA CELESTE HBRE T36</t>
  </si>
  <si>
    <t>3000073</t>
  </si>
  <si>
    <t>CAMISA CELESTE HBRE T38</t>
  </si>
  <si>
    <t>3000074</t>
  </si>
  <si>
    <t>CAMISA CELESTE HBRE T40</t>
  </si>
  <si>
    <t>3000075</t>
  </si>
  <si>
    <t>CAMISA CELESTE HBRE T42</t>
  </si>
  <si>
    <t>3000076</t>
  </si>
  <si>
    <t>CAMISA CELESTE HBRE T44</t>
  </si>
  <si>
    <t>3000077</t>
  </si>
  <si>
    <t>CAMISA CELESTE HBRE T46</t>
  </si>
  <si>
    <t>3000078</t>
  </si>
  <si>
    <t>CAMISA CELESTE HBRE T48</t>
  </si>
  <si>
    <t>3000079</t>
  </si>
  <si>
    <t>CAMISA CELESTE HBRE T50</t>
  </si>
  <si>
    <t>3000080</t>
  </si>
  <si>
    <t>CAMISA CELESTE HBRE T52</t>
  </si>
  <si>
    <t>3000081</t>
  </si>
  <si>
    <t>CAMISA CELESTE HBRE T54</t>
  </si>
  <si>
    <t>3000082</t>
  </si>
  <si>
    <t>CAMISA CELESTE HBRE T56</t>
  </si>
  <si>
    <t>3000083</t>
  </si>
  <si>
    <t>CAMISA CELESTE HBRE T58</t>
  </si>
  <si>
    <t>3000084</t>
  </si>
  <si>
    <t>CAMISA CELESTE HBRE T60</t>
  </si>
  <si>
    <t>3000085</t>
  </si>
  <si>
    <t>CAMISA CELESTE HBRE T62</t>
  </si>
  <si>
    <t>3000086</t>
  </si>
  <si>
    <t>CAMISA CELESTE HBRE T64</t>
  </si>
  <si>
    <t>3000087</t>
  </si>
  <si>
    <t>CAMISA CELESTE HBRE T66</t>
  </si>
  <si>
    <t>3000088</t>
  </si>
  <si>
    <t>CAMISA CELESTE HBRE T68</t>
  </si>
  <si>
    <t>3000089</t>
  </si>
  <si>
    <t>CAMISA BLANCA DAMA T36</t>
  </si>
  <si>
    <t>3000091</t>
  </si>
  <si>
    <t>CAMISA BLANCA DAMA T40</t>
  </si>
  <si>
    <t>3000092</t>
  </si>
  <si>
    <t>CAMISA BLANCA DAMA T42</t>
  </si>
  <si>
    <t>3000093</t>
  </si>
  <si>
    <t>CAMISA BLANCA DAMA T44</t>
  </si>
  <si>
    <t>3000094</t>
  </si>
  <si>
    <t>CAMISA BLANCA DAMA T46</t>
  </si>
  <si>
    <t>3000095</t>
  </si>
  <si>
    <t>CAMISA BLANCA DAMA T48</t>
  </si>
  <si>
    <t>3000096</t>
  </si>
  <si>
    <t>CAMISA BLANCA DAMA T50</t>
  </si>
  <si>
    <t>3000097</t>
  </si>
  <si>
    <t>CAMISA BLANCA DAMA T52</t>
  </si>
  <si>
    <t>3000098</t>
  </si>
  <si>
    <t>CAMISA BLANCA DAMA T54</t>
  </si>
  <si>
    <t>3000099</t>
  </si>
  <si>
    <t>CAMISA BLANCA DAMA T56</t>
  </si>
  <si>
    <t>3000100</t>
  </si>
  <si>
    <t>CAMISA BLANCA DAMA T58</t>
  </si>
  <si>
    <t>3000101</t>
  </si>
  <si>
    <t>CAMISA BLANCA DAMA T60</t>
  </si>
  <si>
    <t>3000102</t>
  </si>
  <si>
    <t>CAMISA BLANCA DAMA T62</t>
  </si>
  <si>
    <t>3000103</t>
  </si>
  <si>
    <t>CAMISA BLANCA DAMA T64</t>
  </si>
  <si>
    <t>3000104</t>
  </si>
  <si>
    <t>CAMISA BLANCA DAMA T66</t>
  </si>
  <si>
    <t>3000105</t>
  </si>
  <si>
    <t>CAMISA BLANCA DAMA T68</t>
  </si>
  <si>
    <t>3000106</t>
  </si>
  <si>
    <t>CAMISA BLANCA HBRE T36</t>
  </si>
  <si>
    <t>3000107</t>
  </si>
  <si>
    <t>CAMISA BLANCA HBRE T38</t>
  </si>
  <si>
    <t>3000108</t>
  </si>
  <si>
    <t>CAMISA BLANCA HBRE T40</t>
  </si>
  <si>
    <t>3000109</t>
  </si>
  <si>
    <t>CAMISA BLANCA HBRE T42</t>
  </si>
  <si>
    <t>3000110</t>
  </si>
  <si>
    <t>CAMISA BLANCA HBRE T44</t>
  </si>
  <si>
    <t>3000111</t>
  </si>
  <si>
    <t>CAMISA BLANCA HBRE T46</t>
  </si>
  <si>
    <t>3000112</t>
  </si>
  <si>
    <t>CAMISA BLANCA HBRE T48</t>
  </si>
  <si>
    <t>3000113</t>
  </si>
  <si>
    <t>CAMISA BLANCA HBRE T50</t>
  </si>
  <si>
    <t>3000114</t>
  </si>
  <si>
    <t>CAMISA BLANCA HBRE T52</t>
  </si>
  <si>
    <t>3000115</t>
  </si>
  <si>
    <t>CAMISA BLANCA HBRE T54</t>
  </si>
  <si>
    <t>3000116</t>
  </si>
  <si>
    <t>CAMISA BLANCA HBRE T56</t>
  </si>
  <si>
    <t>3000117</t>
  </si>
  <si>
    <t>CAMISA BLANCA HBRE T58</t>
  </si>
  <si>
    <t>3000118</t>
  </si>
  <si>
    <t>CAMISA BLANCA HBRE T60</t>
  </si>
  <si>
    <t>3000119</t>
  </si>
  <si>
    <t>CAMISA BLANCA HBRE T62</t>
  </si>
  <si>
    <t>3000120</t>
  </si>
  <si>
    <t>CAMISA BLANCA HBRE T64</t>
  </si>
  <si>
    <t>3000121</t>
  </si>
  <si>
    <t>CAMISA BLANCA HBRE T66</t>
  </si>
  <si>
    <t>3000122</t>
  </si>
  <si>
    <t>CAMISA BLANCA HBRE T68</t>
  </si>
  <si>
    <t>3000123</t>
  </si>
  <si>
    <t>PANTALON CARGO AZUL T36</t>
  </si>
  <si>
    <t>3000124</t>
  </si>
  <si>
    <t>PANTALON CARGO AZUL T38</t>
  </si>
  <si>
    <t>3000125</t>
  </si>
  <si>
    <t>PANTALON CARGO AZUL T40</t>
  </si>
  <si>
    <t>3000126</t>
  </si>
  <si>
    <t>PANTALON CARGO AZUL T42</t>
  </si>
  <si>
    <t>3000127</t>
  </si>
  <si>
    <t>PANTALON CARGO AZUL T44</t>
  </si>
  <si>
    <t>3000128</t>
  </si>
  <si>
    <t>PANTALON CARGO AZUL T46</t>
  </si>
  <si>
    <t>3000129</t>
  </si>
  <si>
    <t>PANTALON CARGO AZUL T48</t>
  </si>
  <si>
    <t>3000130</t>
  </si>
  <si>
    <t>PANTALON CARGO AZUL T50</t>
  </si>
  <si>
    <t>3000131</t>
  </si>
  <si>
    <t>PANTALON CARGO AZUL T52</t>
  </si>
  <si>
    <t>3000132</t>
  </si>
  <si>
    <t>PANTALON CARGO AZUL T54</t>
  </si>
  <si>
    <t>3000133</t>
  </si>
  <si>
    <t>PANTALON CARGO AZUL T56</t>
  </si>
  <si>
    <t>3000134</t>
  </si>
  <si>
    <t>PANTALON CARGO AZUL T58</t>
  </si>
  <si>
    <t>3000135</t>
  </si>
  <si>
    <t>PANTALON CARGO AZUL T60</t>
  </si>
  <si>
    <t>3000136</t>
  </si>
  <si>
    <t>PANTALON CARGO AZUL T62</t>
  </si>
  <si>
    <t>3000137</t>
  </si>
  <si>
    <t>PANTALON CARGO AZUL T64</t>
  </si>
  <si>
    <t>3000138</t>
  </si>
  <si>
    <t>PANTALON CARGO AZUL T66</t>
  </si>
  <si>
    <t>3000139</t>
  </si>
  <si>
    <t>PANTALON CARGO AZUL T68</t>
  </si>
  <si>
    <t>3000140</t>
  </si>
  <si>
    <t>PANTALON CARGO NEGRO T36</t>
  </si>
  <si>
    <t>3000141</t>
  </si>
  <si>
    <t>PANTALON CARGO NEGRO T38</t>
  </si>
  <si>
    <t>3000142</t>
  </si>
  <si>
    <t>PANTALON CARGO NEGRO T40</t>
  </si>
  <si>
    <t>3000143</t>
  </si>
  <si>
    <t>PANTALON CARGO NEGRO T42</t>
  </si>
  <si>
    <t>3000144</t>
  </si>
  <si>
    <t>PANTALON CARGO NEGRO T44</t>
  </si>
  <si>
    <t>3000145</t>
  </si>
  <si>
    <t>PANTALON CARGO NEGRO T46</t>
  </si>
  <si>
    <t>3000146</t>
  </si>
  <si>
    <t>PANTALON CARGO NEGRO T48</t>
  </si>
  <si>
    <t>3000147</t>
  </si>
  <si>
    <t>PANTALON CARGO NEGRO T50</t>
  </si>
  <si>
    <t>3000148</t>
  </si>
  <si>
    <t>PANTALON CARGO NEGRO T52</t>
  </si>
  <si>
    <t>3000149</t>
  </si>
  <si>
    <t>PANTALON CARGO NEGRO T54</t>
  </si>
  <si>
    <t>3000150</t>
  </si>
  <si>
    <t>PANTALON CARGO NEGRO T56</t>
  </si>
  <si>
    <t>3000151</t>
  </si>
  <si>
    <t>PANTALON CARGO NEGRO T58</t>
  </si>
  <si>
    <t>3000152</t>
  </si>
  <si>
    <t>PANTALON CARGO NEGRO T60</t>
  </si>
  <si>
    <t>3000153</t>
  </si>
  <si>
    <t>PANTALON CARGO NEGRO T62</t>
  </si>
  <si>
    <t>3000154</t>
  </si>
  <si>
    <t>PANTALON CARGO NEGRO T64</t>
  </si>
  <si>
    <t>3000155</t>
  </si>
  <si>
    <t>PANTALON CARGO NEGRO T66</t>
  </si>
  <si>
    <t>3000156</t>
  </si>
  <si>
    <t>PANTALON CARGO NEGRO T68</t>
  </si>
  <si>
    <t>3000157</t>
  </si>
  <si>
    <t>SACO GRIS DAMA TXS</t>
  </si>
  <si>
    <t>3000158</t>
  </si>
  <si>
    <t>SACO GRIS DAMA TM</t>
  </si>
  <si>
    <t>3000159</t>
  </si>
  <si>
    <t>SACO GRIS DAMA T3XL</t>
  </si>
  <si>
    <t>3000160</t>
  </si>
  <si>
    <t>SACO GRIS HOMBRE TS</t>
  </si>
  <si>
    <t>3000161</t>
  </si>
  <si>
    <t>SACO GRIS HOMBRE T2XL</t>
  </si>
  <si>
    <t>3000162</t>
  </si>
  <si>
    <t>SACO GRIS HOMBRE T3XL</t>
  </si>
  <si>
    <t>3000163</t>
  </si>
  <si>
    <t>CHOMBA NARANJA TXS</t>
  </si>
  <si>
    <t>3000164</t>
  </si>
  <si>
    <t>CHOMBA NARANJA TS</t>
  </si>
  <si>
    <t>3000165</t>
  </si>
  <si>
    <t>CHOMBA NARANJA TM</t>
  </si>
  <si>
    <t>3000166</t>
  </si>
  <si>
    <t>CHOMBA NARANJA TXL</t>
  </si>
  <si>
    <t>3000167</t>
  </si>
  <si>
    <t>CHOMBA NARANJA T2XL</t>
  </si>
  <si>
    <t>3000168</t>
  </si>
  <si>
    <t>CHOMBA NARANJA T3XL</t>
  </si>
  <si>
    <t>3000169</t>
  </si>
  <si>
    <t>CHOMBA NEGRA LAVADOR TXS</t>
  </si>
  <si>
    <t>3000170</t>
  </si>
  <si>
    <t>CHOMBA NEGRA LAVADOR TS</t>
  </si>
  <si>
    <t>3000171</t>
  </si>
  <si>
    <t>CHOMBA NEGRA LAVADOR TL</t>
  </si>
  <si>
    <t>3000172</t>
  </si>
  <si>
    <t>CHOMBA NEGRA LAVADOR TXL</t>
  </si>
  <si>
    <t>3000173</t>
  </si>
  <si>
    <t>CHOMBA NEGRA LAVADOR T2XL</t>
  </si>
  <si>
    <t>3000174</t>
  </si>
  <si>
    <t>CHOMBA NEGRA LAVADOR T3XL</t>
  </si>
  <si>
    <t>3000175</t>
  </si>
  <si>
    <t>CHALECO MEDICOS/CHOFERES TXS</t>
  </si>
  <si>
    <t>3000176</t>
  </si>
  <si>
    <t>CHALECO MEDICOS/CHOFERES TS</t>
  </si>
  <si>
    <t>3000177</t>
  </si>
  <si>
    <t>CHALECO MEDICOS/CHOFERES TXL</t>
  </si>
  <si>
    <t>3000178</t>
  </si>
  <si>
    <t>CHALECO MEDICOS/CHOFERES T2XL</t>
  </si>
  <si>
    <t>3000179</t>
  </si>
  <si>
    <t>CHALECO MEDICOS/CHOFERES T3XL</t>
  </si>
  <si>
    <t>3000180</t>
  </si>
  <si>
    <t>CHOMBA BLANCA DAMA TXS</t>
  </si>
  <si>
    <t>3000181</t>
  </si>
  <si>
    <t>CHOMBA BLANCA DAMA TS</t>
  </si>
  <si>
    <t>3000182</t>
  </si>
  <si>
    <t>CHOMBA BLANCA DAMA TM</t>
  </si>
  <si>
    <t>3000183</t>
  </si>
  <si>
    <t>CHOMBA BLANCA DAMA TL</t>
  </si>
  <si>
    <t>3000184</t>
  </si>
  <si>
    <t>CHOMBA BLANCA DAMA TXL</t>
  </si>
  <si>
    <t>3000185</t>
  </si>
  <si>
    <t>CHOMBA BLANCA DAMA T2XL</t>
  </si>
  <si>
    <t>3000186</t>
  </si>
  <si>
    <t>CHOMBA BLANCA DAMA T3XL</t>
  </si>
  <si>
    <t>3000187</t>
  </si>
  <si>
    <t>CHOMBA BLANCA HBRE TXS</t>
  </si>
  <si>
    <t>3000188</t>
  </si>
  <si>
    <t>CHOMBA BLANCA HBRE TS</t>
  </si>
  <si>
    <t>3000189</t>
  </si>
  <si>
    <t>CHOMBA BLANCA HBRE TM</t>
  </si>
  <si>
    <t>3000190</t>
  </si>
  <si>
    <t>CHOMBA BLANCA HBRE TL</t>
  </si>
  <si>
    <t>3000191</t>
  </si>
  <si>
    <t>CHOMBA BLANCA HBRE TXL</t>
  </si>
  <si>
    <t>3000192</t>
  </si>
  <si>
    <t>CHOMBA BLANCA HBRE T2XL</t>
  </si>
  <si>
    <t>3000193</t>
  </si>
  <si>
    <t>CHOMBA BLANCA HBRE T3XL</t>
  </si>
  <si>
    <t>3000194</t>
  </si>
  <si>
    <t>AMBOS AZULES PARAMED TXS</t>
  </si>
  <si>
    <t>3000195</t>
  </si>
  <si>
    <t>AMBOS AZULES PARAMED TS</t>
  </si>
  <si>
    <t>3000196</t>
  </si>
  <si>
    <t>AMBOS AZULES PARAMED TM</t>
  </si>
  <si>
    <t>3000197</t>
  </si>
  <si>
    <t>AMBOS AZULES PARAMED TXL</t>
  </si>
  <si>
    <t>3000198</t>
  </si>
  <si>
    <t>AMBOS AZULES PARAMED T2XL</t>
  </si>
  <si>
    <t>3000199</t>
  </si>
  <si>
    <t>AMBOS AZULES PARAMED T3XL</t>
  </si>
  <si>
    <t>3000200</t>
  </si>
  <si>
    <t>AMBOS BLANCOS MEDICO TXS</t>
  </si>
  <si>
    <t>3000201</t>
  </si>
  <si>
    <t>AMBOS BLANCOS MEDICO TS</t>
  </si>
  <si>
    <t>3000202</t>
  </si>
  <si>
    <t>AMBOS BLANCOS MEDICO TM</t>
  </si>
  <si>
    <t>3000203</t>
  </si>
  <si>
    <t>AMBOS BLANCOS MEDICO TXL</t>
  </si>
  <si>
    <t>3000204</t>
  </si>
  <si>
    <t>AMBOS BLANCOS MEDICO T2XL</t>
  </si>
  <si>
    <t>3000205</t>
  </si>
  <si>
    <t>AMBOS BLANCOS MEDICO T3XL</t>
  </si>
  <si>
    <t>3000206</t>
  </si>
  <si>
    <t>AMBOS AZUL FRANCIA TXS</t>
  </si>
  <si>
    <t>3000207</t>
  </si>
  <si>
    <t>AMBOS AZUL FRANCIA TS</t>
  </si>
  <si>
    <t>3000208</t>
  </si>
  <si>
    <t>AMBOS AZUL FRANCIA TM</t>
  </si>
  <si>
    <t>3000209</t>
  </si>
  <si>
    <t>AMBOS AZUL FRANCIA TL</t>
  </si>
  <si>
    <t>3000210</t>
  </si>
  <si>
    <t>AMBOS AZUL FRANCIA T2XL</t>
  </si>
  <si>
    <t>3000211</t>
  </si>
  <si>
    <t>AMBOS AZUL FRANCIA T3XL</t>
  </si>
  <si>
    <t>3000212</t>
  </si>
  <si>
    <t>AMBOS AZULES S/PARAMED TL</t>
  </si>
  <si>
    <t>3000213</t>
  </si>
  <si>
    <t>ZAPATOS CHOFER TALLE 36</t>
  </si>
  <si>
    <t>3000214</t>
  </si>
  <si>
    <t>ZAPATOS CHOFER TALLE 37</t>
  </si>
  <si>
    <t>3000215</t>
  </si>
  <si>
    <t>BOTIN DE SEGURIDAD T36</t>
  </si>
  <si>
    <t>3000216</t>
  </si>
  <si>
    <t>BOTIN DE SEGURIDAD T37</t>
  </si>
  <si>
    <t>3000217</t>
  </si>
  <si>
    <t>BOTIN DE SEGURIDAD T38</t>
  </si>
  <si>
    <t>3000218</t>
  </si>
  <si>
    <t>BOTIN DE SEGURIDAD T39</t>
  </si>
  <si>
    <t>3000219</t>
  </si>
  <si>
    <t>BOTIN DE SEGURIDAD T41</t>
  </si>
  <si>
    <t>3000220</t>
  </si>
  <si>
    <t>ZAPATOS DE SEGURIDAD T42</t>
  </si>
  <si>
    <t>3000221</t>
  </si>
  <si>
    <t>ZAPATOS DE SEGURIDAD T43</t>
  </si>
  <si>
    <t>3000222</t>
  </si>
  <si>
    <t>ZAPATOS DE SEGURIDAD T44</t>
  </si>
  <si>
    <t>3000223</t>
  </si>
  <si>
    <t>ZAPATOS DE SEGURIDAD T45</t>
  </si>
  <si>
    <t>3000224</t>
  </si>
  <si>
    <t>ZAPATOS DE SEGURIDAD T46</t>
  </si>
  <si>
    <t>3000225</t>
  </si>
  <si>
    <t>CAMPERA AZUL LAVADOR TS</t>
  </si>
  <si>
    <t>3000226</t>
  </si>
  <si>
    <t>CAMPERA AZUL LAVADOR TM</t>
  </si>
  <si>
    <t>3000227</t>
  </si>
  <si>
    <t>CAMPERA AZUL LAVADOR TL</t>
  </si>
  <si>
    <t>3000228</t>
  </si>
  <si>
    <t>CAMPERA AZUL LAVADOR TXL</t>
  </si>
  <si>
    <t>3000229</t>
  </si>
  <si>
    <t>CAMPERA AZUL LAVADOR TXXL</t>
  </si>
  <si>
    <t>3000230</t>
  </si>
  <si>
    <t>CAMPERA AZUL LAVADOR TXXXL</t>
  </si>
  <si>
    <t>3000231</t>
  </si>
  <si>
    <t>CAMPERA AZUL LAVADOR TALLE ESPECIAL</t>
  </si>
  <si>
    <t>3000232</t>
  </si>
  <si>
    <t>CAMPERA AZUL LAVADOR T50 (borrado)</t>
  </si>
  <si>
    <t>3000233</t>
  </si>
  <si>
    <t>CAMPERA AZUL LAVADOR T52</t>
  </si>
  <si>
    <t>3000234</t>
  </si>
  <si>
    <t>CAMPERA AZUL LAVADOR T54</t>
  </si>
  <si>
    <t>3000235</t>
  </si>
  <si>
    <t>BUZO POLAR NEGRO XS</t>
  </si>
  <si>
    <t>3000236</t>
  </si>
  <si>
    <t>BUZO POLAR NEGRO S</t>
  </si>
  <si>
    <t>3000237</t>
  </si>
  <si>
    <t>BUZO POLAR NEGRO M</t>
  </si>
  <si>
    <t>3000238</t>
  </si>
  <si>
    <t>BUZO POLAR NEGRO L</t>
  </si>
  <si>
    <t>3000239</t>
  </si>
  <si>
    <t>BUZO POLAR NEGRO XL</t>
  </si>
  <si>
    <t>3000240</t>
  </si>
  <si>
    <t>BUZO POLAR NEGRO XXL</t>
  </si>
  <si>
    <t>3000241</t>
  </si>
  <si>
    <t>BUZO POLAR NEGRO XXXL</t>
  </si>
  <si>
    <t>3000242</t>
  </si>
  <si>
    <t>BUZO POLAR NEGRO TALLE ESPECIAL</t>
  </si>
  <si>
    <t>3000243</t>
  </si>
  <si>
    <t>BUZO POLAR AZUL XS</t>
  </si>
  <si>
    <t>3000244</t>
  </si>
  <si>
    <t>BUZO POLAR AZUL S</t>
  </si>
  <si>
    <t>3000245</t>
  </si>
  <si>
    <t>BUZO POLAR AZUL M</t>
  </si>
  <si>
    <t>3000246</t>
  </si>
  <si>
    <t>BUZO POLAR AZUL L</t>
  </si>
  <si>
    <t>3000247</t>
  </si>
  <si>
    <t>BUZO POLAR AZUL XL</t>
  </si>
  <si>
    <t>3000248</t>
  </si>
  <si>
    <t>BUZO POLAR AZUL XXL</t>
  </si>
  <si>
    <t>3000249</t>
  </si>
  <si>
    <t>BUZO POLAR AZUL XXXL</t>
  </si>
  <si>
    <t>3000250</t>
  </si>
  <si>
    <t>BUZO POLAR AZUL TALLE ESPECIAL</t>
  </si>
  <si>
    <t>3000251</t>
  </si>
  <si>
    <t>AMBOS BLANCOS MEDICO TL</t>
  </si>
  <si>
    <t>3000252</t>
  </si>
  <si>
    <t>BOTIN DE SEGURIDAD T40</t>
  </si>
  <si>
    <t>3000253</t>
  </si>
  <si>
    <t>ZAPATOS CHOFER TALLE 38</t>
  </si>
  <si>
    <t>3000254</t>
  </si>
  <si>
    <t>ZAPATOS CHOFER TALLE 39</t>
  </si>
  <si>
    <t>3000255</t>
  </si>
  <si>
    <t>ZAPATOS CHOFER TALLE 40</t>
  </si>
  <si>
    <t>3000256</t>
  </si>
  <si>
    <t>ZAPATOS CHOFER TALLE 41</t>
  </si>
  <si>
    <t>3000257</t>
  </si>
  <si>
    <t>ZAPATOS CHOFER TALLE 42</t>
  </si>
  <si>
    <t>3000258</t>
  </si>
  <si>
    <t>ZAPATOS CHOFER TALLE 43</t>
  </si>
  <si>
    <t>3000259</t>
  </si>
  <si>
    <t>ZAPATOS CHOFER TALLE 44</t>
  </si>
  <si>
    <t>3000260</t>
  </si>
  <si>
    <t>ZAPATOS CHOFER TALLE 45</t>
  </si>
  <si>
    <t>3000261</t>
  </si>
  <si>
    <t>ZAPATOS CHOFER TALLE 46</t>
  </si>
  <si>
    <t>3000262</t>
  </si>
  <si>
    <t>CHOMBA NEGRA EMERPHONE TXS</t>
  </si>
  <si>
    <t>3000263</t>
  </si>
  <si>
    <t>CHOMBA NEGRA EMERPHONE TS</t>
  </si>
  <si>
    <t>3000264</t>
  </si>
  <si>
    <t>CHOMBA NEGRA EMERPHONE TM</t>
  </si>
  <si>
    <t>3000265</t>
  </si>
  <si>
    <t>CHOMBA NEGRA EMERPHONE TL</t>
  </si>
  <si>
    <t>3000266</t>
  </si>
  <si>
    <t>CHOMBA NEGRA EMERPHONE TXL</t>
  </si>
  <si>
    <t>3000267</t>
  </si>
  <si>
    <t>CHOMBA NEGRA EMERPHONE T2XL</t>
  </si>
  <si>
    <t>3000268</t>
  </si>
  <si>
    <t>CHOMBA NEGRA EMERPHONE T3XL</t>
  </si>
  <si>
    <t>3000269</t>
  </si>
  <si>
    <t>CAMPERA GRIS MEDICO MOD 2016 T4XL-52</t>
  </si>
  <si>
    <t>3000270</t>
  </si>
  <si>
    <t>CHOMBA AZUL C/LOGO EMERG - INSTR XS</t>
  </si>
  <si>
    <t>3000271</t>
  </si>
  <si>
    <t>CHOMBA AZUL C/LOGO EMERG - INSTR S</t>
  </si>
  <si>
    <t>3000272</t>
  </si>
  <si>
    <t>CHOMBA AZUL C/LOGO EMERG - INSTR M</t>
  </si>
  <si>
    <t>3000273</t>
  </si>
  <si>
    <t>CHOMBA AZUL C/LOGO EMERG - INSTR L</t>
  </si>
  <si>
    <t>3000274</t>
  </si>
  <si>
    <t>CHOMBA AZUL C/LOGO EMERG - INSTR XL</t>
  </si>
  <si>
    <t>3000275</t>
  </si>
  <si>
    <t>CHOMBA AZUL C/LOGO EMERG - INSTR XXL</t>
  </si>
  <si>
    <t>3000276</t>
  </si>
  <si>
    <t>CHOMBA AZUL C/LOGO EMERG - INSTR XXXL</t>
  </si>
  <si>
    <t>3000277</t>
  </si>
  <si>
    <t>CHOMBA SALMON C/LOGO EMERG - ECA XS</t>
  </si>
  <si>
    <t>3000278</t>
  </si>
  <si>
    <t>CHOMBA SALMON C/LOGO EMERG - ECA S</t>
  </si>
  <si>
    <t>3000279</t>
  </si>
  <si>
    <t>CHOMBA SALMON C/LOGO EMERG - ECA M</t>
  </si>
  <si>
    <t>3000280</t>
  </si>
  <si>
    <t>CHOMBA SALMON C/LOGO EMERG - ECA L</t>
  </si>
  <si>
    <t>3000281</t>
  </si>
  <si>
    <t>CHOMBA SALMON C/LOGO EMERG - ECA XL</t>
  </si>
  <si>
    <t>3000282</t>
  </si>
  <si>
    <t>CHOMBA SALMON C/LOGO EMERG - ECA XXL</t>
  </si>
  <si>
    <t>3000283</t>
  </si>
  <si>
    <t>CHOMBA SALMON C/LOGO EMERG - ECA XXXL</t>
  </si>
  <si>
    <t>3000284</t>
  </si>
  <si>
    <t>CHOMBA GRIS C/ LOGO EMERG - CADETES XS</t>
  </si>
  <si>
    <t>3000285</t>
  </si>
  <si>
    <t>CHOMBA GRIS C/ LOGO EMERG - CADETES S</t>
  </si>
  <si>
    <t>3000286</t>
  </si>
  <si>
    <t>CHOMBA GRIS C/ LOGO EMERG - CADETES M</t>
  </si>
  <si>
    <t>3000287</t>
  </si>
  <si>
    <t>CHOMBA GRIS C/ LOGO EMERG - CADETES L</t>
  </si>
  <si>
    <t>3000288</t>
  </si>
  <si>
    <t>CHOMBA GRIS C/ LOGO EMERG - CADETES XL</t>
  </si>
  <si>
    <t>3000289</t>
  </si>
  <si>
    <t>CHOMBA GRIS C/ LOGO EMERG - CADETES XXL</t>
  </si>
  <si>
    <t>3000290</t>
  </si>
  <si>
    <t>CHOMBA GRIS C/ LOGO EMERG - CADETES XXXL</t>
  </si>
  <si>
    <t>3000291</t>
  </si>
  <si>
    <t>CAMPERA SOFT SHELL GRIS GERENTES XS</t>
  </si>
  <si>
    <t>3000292</t>
  </si>
  <si>
    <t>CAMPERA SOFT SHELL GRIS GERENTES S</t>
  </si>
  <si>
    <t>3000293</t>
  </si>
  <si>
    <t>CAMPERA SOFT SHELL GRIS GERENTES M</t>
  </si>
  <si>
    <t>3000294</t>
  </si>
  <si>
    <t>CAMPERA SOFT SHELL GRIS GERENTES L</t>
  </si>
  <si>
    <t>3000295</t>
  </si>
  <si>
    <t>CAMPERA SOFT SHELL GRIS GERENTES XL</t>
  </si>
  <si>
    <t>3000296</t>
  </si>
  <si>
    <t>CAMPERA SOFT SHELL GRIS GERENTES XXL</t>
  </si>
  <si>
    <t>3000297</t>
  </si>
  <si>
    <t>CAMPERA SOFT SHELL GRIS GERENTES XXXL</t>
  </si>
  <si>
    <t>3000298</t>
  </si>
  <si>
    <t>CAMPERA SOFT SHELL GRIS ECA XS</t>
  </si>
  <si>
    <t>3000299</t>
  </si>
  <si>
    <t>CAMPERA SOFT SHELL GRIS ECA S</t>
  </si>
  <si>
    <t>3000300</t>
  </si>
  <si>
    <t>CAMPERA SOFT SHELL GRIS ECA M</t>
  </si>
  <si>
    <t>3000301</t>
  </si>
  <si>
    <t>CAMPERA SOFT SHELL GRIS ECA L</t>
  </si>
  <si>
    <t>3000302</t>
  </si>
  <si>
    <t>CAMPERA SOFT SHELL GRIS ECA XL</t>
  </si>
  <si>
    <t>3000303</t>
  </si>
  <si>
    <t>CAMPERA SOFT SHELL GRIS ECA XXL</t>
  </si>
  <si>
    <t>3000304</t>
  </si>
  <si>
    <t>CAMPERA SOFT SHELL GRIS ECA XXXL</t>
  </si>
  <si>
    <t>3000305</t>
  </si>
  <si>
    <t>CAMPERA SOFT SHELL GRIS MARCODINA XS</t>
  </si>
  <si>
    <t>3000306</t>
  </si>
  <si>
    <t>CAMPERA SOFT SHELL GRIS MARCODINA S</t>
  </si>
  <si>
    <t>3000307</t>
  </si>
  <si>
    <t>CAMPERA SOFT SHELL GRIS MARCODINA M</t>
  </si>
  <si>
    <t>3000308</t>
  </si>
  <si>
    <t>CAMPERA SOFT SHELL GRIS MARCODINA L</t>
  </si>
  <si>
    <t>3000309</t>
  </si>
  <si>
    <t>CAMPERA SOFT SHELL GRIS MARCODINA XL</t>
  </si>
  <si>
    <t>3000310</t>
  </si>
  <si>
    <t>CAMPERA SOFT SHELL GRIS MARCODINA XXL</t>
  </si>
  <si>
    <t>3000311</t>
  </si>
  <si>
    <t>CAMPERA SOFT SHELL GRIS MARCODINA XXXL</t>
  </si>
  <si>
    <t>3000312</t>
  </si>
  <si>
    <t>CAMPERA SOFT SHELL GRIS SER TEC (SISTEMA</t>
  </si>
  <si>
    <t>3000313</t>
  </si>
  <si>
    <t>3000314</t>
  </si>
  <si>
    <t>3000315</t>
  </si>
  <si>
    <t>3000316</t>
  </si>
  <si>
    <t>3000317</t>
  </si>
  <si>
    <t>3000318</t>
  </si>
  <si>
    <t>3000319</t>
  </si>
  <si>
    <t>BUZO POLAR NEG C/LOGO MARCODINA XS</t>
  </si>
  <si>
    <t>3000320</t>
  </si>
  <si>
    <t>BUZO POLAR NEG C/LOGO MARCODINA S</t>
  </si>
  <si>
    <t>3000321</t>
  </si>
  <si>
    <t>BUZO POLAR NEG C/LOGO MARCODINA M</t>
  </si>
  <si>
    <t>3000322</t>
  </si>
  <si>
    <t>BUZO POLAR NEG C/LOGO MARCODINA L</t>
  </si>
  <si>
    <t>3000323</t>
  </si>
  <si>
    <t>BUZO POLAR NEG C/LOGO MARCODINA XL</t>
  </si>
  <si>
    <t>3000324</t>
  </si>
  <si>
    <t>BUZO POLAR NEG C/LOGO MARCODINA XXL</t>
  </si>
  <si>
    <t>3000325</t>
  </si>
  <si>
    <t>BUZO POLAR NEG C/LOGO MARCODINA XXXL</t>
  </si>
  <si>
    <t>3000326</t>
  </si>
  <si>
    <t>AMBO BCO -  MEDICO TALLE ESP</t>
  </si>
  <si>
    <t>3000327</t>
  </si>
  <si>
    <t>AMBO AZUL -  PARAMED TALLE ESP</t>
  </si>
  <si>
    <t>3000328</t>
  </si>
  <si>
    <t>AMBO AZUL C/LOGO EMERG XS</t>
  </si>
  <si>
    <t>3000329</t>
  </si>
  <si>
    <t>AMBO AZUL C/LOGO EMERG S</t>
  </si>
  <si>
    <t>3000330</t>
  </si>
  <si>
    <t>AMBO AZUL C/LOGO EMERG M</t>
  </si>
  <si>
    <t>3000331</t>
  </si>
  <si>
    <t>AMBO AZUL C/LOGO EMERG L</t>
  </si>
  <si>
    <t>3000332</t>
  </si>
  <si>
    <t>AMBO AZUL C/LOGO EMERG XL</t>
  </si>
  <si>
    <t>3000333</t>
  </si>
  <si>
    <t>AMBO AZUL C/LOGO EMERG XXL</t>
  </si>
  <si>
    <t>3000334</t>
  </si>
  <si>
    <t>AMBO AZUL C/LOGO EMERG TALLE ESP</t>
  </si>
  <si>
    <t>3000335</t>
  </si>
  <si>
    <t>AMBO BCO C/LOGO EMERG XS</t>
  </si>
  <si>
    <t>3000336</t>
  </si>
  <si>
    <t>AMBO BCO C/LOGO EMERG S</t>
  </si>
  <si>
    <t>3000337</t>
  </si>
  <si>
    <t>AMBO BCO C/LOGO EMERG M</t>
  </si>
  <si>
    <t>3000338</t>
  </si>
  <si>
    <t>AMBO BCO C/LOGO EMERG L</t>
  </si>
  <si>
    <t>3000339</t>
  </si>
  <si>
    <t>AMBO BCO C/LOGO EMERG XL</t>
  </si>
  <si>
    <t>3000340</t>
  </si>
  <si>
    <t>AMBO BCO C/LOGO EMERG XXL</t>
  </si>
  <si>
    <t>3000341</t>
  </si>
  <si>
    <t>AMBO BCO AEP XS</t>
  </si>
  <si>
    <t>3000342</t>
  </si>
  <si>
    <t>AMBO BCO AEP S</t>
  </si>
  <si>
    <t>3000343</t>
  </si>
  <si>
    <t>AMBO BCO AEP M</t>
  </si>
  <si>
    <t>3000344</t>
  </si>
  <si>
    <t>AMBO BCO AEP L</t>
  </si>
  <si>
    <t>3000345</t>
  </si>
  <si>
    <t>AMBO BCO AEP XL</t>
  </si>
  <si>
    <t>3000346</t>
  </si>
  <si>
    <t>AMBO BCO AEP XXL</t>
  </si>
  <si>
    <t>3000347</t>
  </si>
  <si>
    <t>PANTALON AZUL C/LOGO EMERG HOM TALLE ESP</t>
  </si>
  <si>
    <t>3000348</t>
  </si>
  <si>
    <t>PANTALON AZUL C/LOGO EMERG MUJ TALLE ESP</t>
  </si>
  <si>
    <t>3000349</t>
  </si>
  <si>
    <t>GUARDAPOLVO BCO C/LOGO EMERG - HOM 36</t>
  </si>
  <si>
    <t>3000350</t>
  </si>
  <si>
    <t>GUARDAPOLVO BCO C/LOGO EMERG - HOM 38</t>
  </si>
  <si>
    <t>3000351</t>
  </si>
  <si>
    <t>GUARDAPOLVO BCO C/LOGO EMERG - HOM 40</t>
  </si>
  <si>
    <t>3000352</t>
  </si>
  <si>
    <t>GUARDAPOLVO BCO C/LOGO EMERG - HOM 42</t>
  </si>
  <si>
    <t>3000353</t>
  </si>
  <si>
    <t>GUARDAPOLVO BCO C/LOGO EMERG - HOM 44</t>
  </si>
  <si>
    <t>3000354</t>
  </si>
  <si>
    <t>GUARDAPOLVO BCO C/LOGO EMERG - HOM 46</t>
  </si>
  <si>
    <t>3000355</t>
  </si>
  <si>
    <t>GUARDAPOLVO BCO C/LOGO EMERG - HOM 48</t>
  </si>
  <si>
    <t>3000356</t>
  </si>
  <si>
    <t>GUARDAPOLVO BCO C/LOGO EMERG - HOM 50</t>
  </si>
  <si>
    <t>3000357</t>
  </si>
  <si>
    <t>GUARDAPOLVO BCO C/LOGO EMERG - HOM 52</t>
  </si>
  <si>
    <t>3000358</t>
  </si>
  <si>
    <t>GUARDAPOLVO BCO C/LOGO EMERG - HOM 54</t>
  </si>
  <si>
    <t>3000359</t>
  </si>
  <si>
    <t>GUARDAPOLVO BCO C/LOGO EMERG - HOM 56</t>
  </si>
  <si>
    <t>3000360</t>
  </si>
  <si>
    <t>GUARDAPOLVO BCO C/LOGO EMERG - HOM 58</t>
  </si>
  <si>
    <t>3000361</t>
  </si>
  <si>
    <t>GUARDAPOLVO BCO C/LOGO EMERG - HOM 60</t>
  </si>
  <si>
    <t>3000362</t>
  </si>
  <si>
    <t>GUARDAPOLVO BCO C/LOGO EMERG - HOM 62</t>
  </si>
  <si>
    <t>3000363</t>
  </si>
  <si>
    <t>GUARDAPOLVO BCO C/LOGO EMERG - HOM 64</t>
  </si>
  <si>
    <t>3000364</t>
  </si>
  <si>
    <t>GUARDAPOLVO BCO C/LOGO EMERG - HOM 68</t>
  </si>
  <si>
    <t>3000365</t>
  </si>
  <si>
    <t>GUARDAPOLVO BCO C/LOGO EMERG - MUJ 36</t>
  </si>
  <si>
    <t>3000366</t>
  </si>
  <si>
    <t>GUARDAPOLVO BCO C/LOGO EMERG - MUJ 38</t>
  </si>
  <si>
    <t>3000367</t>
  </si>
  <si>
    <t>GUARDAPOLVO BCO C/LOGO EMERG - MUJ 40</t>
  </si>
  <si>
    <t>3000368</t>
  </si>
  <si>
    <t>GUARDAPOLVO BCO C/LOGO EMERG - MUJ 42</t>
  </si>
  <si>
    <t>3000369</t>
  </si>
  <si>
    <t>GUARDAPOLVO BCO C/LOGO EMERG - MUJ 44</t>
  </si>
  <si>
    <t>3000370</t>
  </si>
  <si>
    <t>GUARDAPOLVO BCO C/LOGO EMERG - MUJ 46</t>
  </si>
  <si>
    <t>3000371</t>
  </si>
  <si>
    <t>GUARDAPOLVO BCO C/LOGO EMERG - MUJ 48</t>
  </si>
  <si>
    <t>3000372</t>
  </si>
  <si>
    <t>GUARDAPOLVO BCO C/LOGO EMERG - MUJ 50</t>
  </si>
  <si>
    <t>3000373</t>
  </si>
  <si>
    <t>GUARDAPOLVO BCO C/LOGO EMERG - MUJ 52</t>
  </si>
  <si>
    <t>3000374</t>
  </si>
  <si>
    <t>GUARDAPOLVO BCO C/LOGO EMERG - MUJ 54</t>
  </si>
  <si>
    <t>3000375</t>
  </si>
  <si>
    <t>GUARDAPOLVO BCO C/LOGO EMERG - MUJ 56</t>
  </si>
  <si>
    <t>3000376</t>
  </si>
  <si>
    <t>GUARDAPOLVO BCO C/LOGO EMERG - MUJ 58</t>
  </si>
  <si>
    <t>3000377</t>
  </si>
  <si>
    <t>GUARDAPOLVO BCO C/LOGO EMERG - MUJ 60</t>
  </si>
  <si>
    <t>3000378</t>
  </si>
  <si>
    <t>GUARDAPOLVO BCO C/LOGO EMERG - MUJ 62</t>
  </si>
  <si>
    <t>3000379</t>
  </si>
  <si>
    <t>GUARDAPOLVO BCO C/LOGO EMERG - MUJ 64</t>
  </si>
  <si>
    <t>3000380</t>
  </si>
  <si>
    <t>GUARDAPOLVO BCO C/LOGO EMERG - MUJ 68</t>
  </si>
  <si>
    <t>3000381</t>
  </si>
  <si>
    <t>TRAJE DE AGUA S</t>
  </si>
  <si>
    <t>3000382</t>
  </si>
  <si>
    <t>TRAJE DE AGUA M</t>
  </si>
  <si>
    <t>3000383</t>
  </si>
  <si>
    <t>TRAJE DE AGUA L</t>
  </si>
  <si>
    <t>3000384</t>
  </si>
  <si>
    <t>TRAJE DE AGUA XL</t>
  </si>
  <si>
    <t>3000385</t>
  </si>
  <si>
    <t>TRAJE DE AGUA XXL</t>
  </si>
  <si>
    <t>3000386</t>
  </si>
  <si>
    <t>CHALECO MEDICOS/CHOFERES TL</t>
  </si>
  <si>
    <t>3000387</t>
  </si>
  <si>
    <t>CHOMBA NEGRA LAVADOR TM</t>
  </si>
  <si>
    <t>3000388</t>
  </si>
  <si>
    <t>CHOMBA BLANCA HBRE T4XL</t>
  </si>
  <si>
    <t>3000389</t>
  </si>
  <si>
    <t>CHOMBA BLANCA HBRE T6XL</t>
  </si>
  <si>
    <t>3000413</t>
  </si>
  <si>
    <t>CHALECO POLAR GRIS YACIMIENTOS TM</t>
  </si>
  <si>
    <t>3000416</t>
  </si>
  <si>
    <t>Chomba Chofer Gris yacimiento L</t>
  </si>
  <si>
    <t>3000417</t>
  </si>
  <si>
    <t>Chomba Chofer Gris yacimiento XL</t>
  </si>
  <si>
    <t>3000418</t>
  </si>
  <si>
    <t>Chomba Chofer Gris yacimiento 2XL</t>
  </si>
  <si>
    <t>3000419</t>
  </si>
  <si>
    <t>Chomba Chofer Gris yacimiento 3XL</t>
  </si>
  <si>
    <t>3000420</t>
  </si>
  <si>
    <t>CHOMBA CELESTE ENFERMO YACIMIENTOS TS</t>
  </si>
  <si>
    <t>3000421</t>
  </si>
  <si>
    <t>CHOMBA CELESTE ENFERMO YACIMIENTOS TM</t>
  </si>
  <si>
    <t>3000422</t>
  </si>
  <si>
    <t>CHOMBA CELESTE ENFERMO YACIMIENTOS TL</t>
  </si>
  <si>
    <t>3000423</t>
  </si>
  <si>
    <t>CHOMBA CELESTE ENFERMO YACIMIENTOS TXL</t>
  </si>
  <si>
    <t>3000424</t>
  </si>
  <si>
    <t>Chomba Medico Blanca yacimiento T S</t>
  </si>
  <si>
    <t>3000425</t>
  </si>
  <si>
    <t>Chomba Medico Blanca yacimiento T M</t>
  </si>
  <si>
    <t>3000426</t>
  </si>
  <si>
    <t>Chomba Medico Blanca yacimiento TL</t>
  </si>
  <si>
    <t>3000427</t>
  </si>
  <si>
    <t>Chomba Medico Blanca yacimiento T XL</t>
  </si>
  <si>
    <t>3000432</t>
  </si>
  <si>
    <t>CHAQUETA BLANCA YACIMIENTO TALLE 62</t>
  </si>
  <si>
    <t>3000433</t>
  </si>
  <si>
    <t>CHAQUETA BLANCA ML MEDICO YACIMIENTO T M</t>
  </si>
  <si>
    <t>3000434</t>
  </si>
  <si>
    <t>Chaqueta Blanca ML yacimiento T L</t>
  </si>
  <si>
    <t>3000435</t>
  </si>
  <si>
    <t>Chaqueta Blanca ML yacimiento T XL</t>
  </si>
  <si>
    <t>3000436</t>
  </si>
  <si>
    <t>Chaqueta Celeste ML yacimiento M</t>
  </si>
  <si>
    <t>3000437</t>
  </si>
  <si>
    <t>Chaqueta celeste ML yacimiento L</t>
  </si>
  <si>
    <t>3000439</t>
  </si>
  <si>
    <t>Chaqueta Celeste ML yacimiento XXL</t>
  </si>
  <si>
    <t>3000440</t>
  </si>
  <si>
    <t>Chaqueta Chofer ML Gris yac T S</t>
  </si>
  <si>
    <t>3000441</t>
  </si>
  <si>
    <t>Chaqueta Chofer ML Gris yac T M</t>
  </si>
  <si>
    <t>3000442</t>
  </si>
  <si>
    <t>Chaqueta Chofer ML Gris yac T L</t>
  </si>
  <si>
    <t>3000443</t>
  </si>
  <si>
    <t>Chaqueta Chofer ML Gris yac T XL</t>
  </si>
  <si>
    <t>3000444</t>
  </si>
  <si>
    <t>CHOMBA NARANJA TALLE L</t>
  </si>
  <si>
    <t>3000445</t>
  </si>
  <si>
    <t>PANTALON PROMOTORA T 48</t>
  </si>
  <si>
    <t>3000446</t>
  </si>
  <si>
    <t>SACO PROMOTORA T 48</t>
  </si>
  <si>
    <t>3000447</t>
  </si>
  <si>
    <t>CAMISA PROMOTORA T 48</t>
  </si>
  <si>
    <t>3000448</t>
  </si>
  <si>
    <t>3000463</t>
  </si>
  <si>
    <t>CAMPERON TRUKER GRIS YAC TM</t>
  </si>
  <si>
    <t>3000465</t>
  </si>
  <si>
    <t>CAMPERON TRUKER GRIS YAC TXL</t>
  </si>
  <si>
    <t>3000466</t>
  </si>
  <si>
    <t>CAMPERON TRUKER GRIS YAC TXXL</t>
  </si>
  <si>
    <t>3000467</t>
  </si>
  <si>
    <t>CAMISA JEAN BLANCA YAC T42</t>
  </si>
  <si>
    <t>3000468</t>
  </si>
  <si>
    <t>CAMISA JEAN BLANCA YAC T44</t>
  </si>
  <si>
    <t>3000469</t>
  </si>
  <si>
    <t>CAMISA JEAN BLANCA YAC T46</t>
  </si>
  <si>
    <t>3000470</t>
  </si>
  <si>
    <t>CAMISA JEAN BLANCA YAC T48</t>
  </si>
  <si>
    <t>3000471</t>
  </si>
  <si>
    <t>CAMISA JEAN BLANCA YAC T50</t>
  </si>
  <si>
    <t>3000472</t>
  </si>
  <si>
    <t>CAMISA JEAN BLANCA YAC T52</t>
  </si>
  <si>
    <t>3000473</t>
  </si>
  <si>
    <t>CAMISA JEAN BLANCA YAC T54</t>
  </si>
  <si>
    <t>3000474</t>
  </si>
  <si>
    <t>CAMISA JEAN BLANCA YAC T56</t>
  </si>
  <si>
    <t>3000475</t>
  </si>
  <si>
    <t>CAMISA JEAN BLANCA YAC T58</t>
  </si>
  <si>
    <t>3000476</t>
  </si>
  <si>
    <t>CAMISA JEAN BLANCA YAC T60</t>
  </si>
  <si>
    <t>3000477</t>
  </si>
  <si>
    <t>CAMISA JEAN GRIS YAC 42</t>
  </si>
  <si>
    <t>3000478</t>
  </si>
  <si>
    <t>CAMISA JEAN GRIS YAC TALLE 44</t>
  </si>
  <si>
    <t>3000479</t>
  </si>
  <si>
    <t>CAMISA JEAN GRIS YAC 46</t>
  </si>
  <si>
    <t>3000480</t>
  </si>
  <si>
    <t>CAMISA JEAN GRIS YAC 48</t>
  </si>
  <si>
    <t>3000481</t>
  </si>
  <si>
    <t>CAMISA JEAN GRIS YAC 50</t>
  </si>
  <si>
    <t>3000487</t>
  </si>
  <si>
    <t>CAMISA JEAN CELESTE YAC T S</t>
  </si>
  <si>
    <t>3000488</t>
  </si>
  <si>
    <t>CAMISA JEAN CELESTE YAC T44</t>
  </si>
  <si>
    <t>3000489</t>
  </si>
  <si>
    <t>CAMISA JEAN CELESTE YAC T46</t>
  </si>
  <si>
    <t>3000490</t>
  </si>
  <si>
    <t>CAMISA JEAN CELESTE YAC T48</t>
  </si>
  <si>
    <t>3000491</t>
  </si>
  <si>
    <t>CAMISA JEAN CELESTE YAC T50</t>
  </si>
  <si>
    <t>3000492</t>
  </si>
  <si>
    <t>CAMISA JEAN CELESTE YAC T52</t>
  </si>
  <si>
    <t>3000493</t>
  </si>
  <si>
    <t>CAMISA JEAN CELESTE YAC T54</t>
  </si>
  <si>
    <t>3000494</t>
  </si>
  <si>
    <t>CAMISA JEAN CELESTE YAC T56</t>
  </si>
  <si>
    <t>3000495</t>
  </si>
  <si>
    <t>CAMISA JEAN CELESTE YAC T58</t>
  </si>
  <si>
    <t>3000496</t>
  </si>
  <si>
    <t>CAMISA JEAN CELESTE YAC T60</t>
  </si>
  <si>
    <t>3000497</t>
  </si>
  <si>
    <t>PANTALON JEAN C/LOGO YAC T40</t>
  </si>
  <si>
    <t>3000498</t>
  </si>
  <si>
    <t>PANTALON JEAN C/LOGO YAC T42</t>
  </si>
  <si>
    <t>3000499</t>
  </si>
  <si>
    <t>PANTALON JEAN C/LOGO YAC T44</t>
  </si>
  <si>
    <t>3000500</t>
  </si>
  <si>
    <t>PANTALON JEAN C/LOGO YAC T46</t>
  </si>
  <si>
    <t>3000501</t>
  </si>
  <si>
    <t>PANTALON JEAN C/LOGO YAC T48</t>
  </si>
  <si>
    <t>3000502</t>
  </si>
  <si>
    <t>PANTALON JEAN C/LOGO YAC T49</t>
  </si>
  <si>
    <t>3000503</t>
  </si>
  <si>
    <t>PANTALON JEAN C/LOGO YAC T50</t>
  </si>
  <si>
    <t>3000504</t>
  </si>
  <si>
    <t>PANTALON JEAN C/LOGO YAC T52</t>
  </si>
  <si>
    <t>3000505</t>
  </si>
  <si>
    <t>PANTALON JEAN C/LOGO YAC T54</t>
  </si>
  <si>
    <t>3000506</t>
  </si>
  <si>
    <t>PANTALON JEAN C/LOGO YAC T56</t>
  </si>
  <si>
    <t>3000507</t>
  </si>
  <si>
    <t>PANTALON JEAN C/LOGO YAC T58</t>
  </si>
  <si>
    <t>3000508</t>
  </si>
  <si>
    <t>PANTALON JEAN C/LOGO YAC T60</t>
  </si>
  <si>
    <t>3000509</t>
  </si>
  <si>
    <t>PANTALON JEAN C/LOGO YAC T62</t>
  </si>
  <si>
    <t>3000510</t>
  </si>
  <si>
    <t>CAMISA CELESTE DAMA TALLE ESPECIAL</t>
  </si>
  <si>
    <t>3000511</t>
  </si>
  <si>
    <t>PANTALON GABARDINA DAMA TALLE ESPECIAL</t>
  </si>
  <si>
    <t>3000512</t>
  </si>
  <si>
    <t>BOLSO DE EMERGENCIAS VMD</t>
  </si>
  <si>
    <t>3000513</t>
  </si>
  <si>
    <t>CHOMBA BLANCA HBRE T5XL</t>
  </si>
  <si>
    <t>3000545</t>
  </si>
  <si>
    <t>AMBO AEROPUERTO MEDICO T XS</t>
  </si>
  <si>
    <t>3000546</t>
  </si>
  <si>
    <t>AMBO AEROPUERTO MEDICO TS</t>
  </si>
  <si>
    <t>3000547</t>
  </si>
  <si>
    <t>AMBO AEROPUERTO MEDICO  TM</t>
  </si>
  <si>
    <t>3000548</t>
  </si>
  <si>
    <t>AMBO AEROPUERTO MEDICO  TL</t>
  </si>
  <si>
    <t>3000549</t>
  </si>
  <si>
    <t>AMBO AEROPUERTO MEDICO  T XL</t>
  </si>
  <si>
    <t>3000550</t>
  </si>
  <si>
    <t>AMBO AEROPUERTO MEDICO  T 2XL</t>
  </si>
  <si>
    <t>3000552</t>
  </si>
  <si>
    <t>AMBO AEROPUERTO MEDICO  T 3XL</t>
  </si>
  <si>
    <t>3000555</t>
  </si>
  <si>
    <t>AMBO AEROPUERTO CHOFER  T M</t>
  </si>
  <si>
    <t>3000556</t>
  </si>
  <si>
    <t>AMBO AEROPUERTO CHOFER  T L</t>
  </si>
  <si>
    <t>3000557</t>
  </si>
  <si>
    <t>AMBO AEROPUERTO CHOFER  T XL</t>
  </si>
  <si>
    <t>3000562</t>
  </si>
  <si>
    <t>AMBO AEROPUERTO ENFERMERO TM</t>
  </si>
  <si>
    <t>3000563</t>
  </si>
  <si>
    <t>AMBO AEROPUERTO ENFERMERO TL</t>
  </si>
  <si>
    <t>3000567</t>
  </si>
  <si>
    <t>CHOMBA CELESTE ENFERMO YACIMIENTOS T2XL</t>
  </si>
  <si>
    <t>3000568</t>
  </si>
  <si>
    <t>CHOMBA CELESTE ENFERMO YACIMIENTOS T3XL</t>
  </si>
  <si>
    <t>3000571</t>
  </si>
  <si>
    <t>CHALECO POLAR GRIS YACIMIENTOS T2XL</t>
  </si>
  <si>
    <t>3000575</t>
  </si>
  <si>
    <t>SACO GRIS HOMBRE TALLE ESPECIAL</t>
  </si>
  <si>
    <t>3000576</t>
  </si>
  <si>
    <t>PANTALON CARGO NEGRO LOG MARCODINA T36</t>
  </si>
  <si>
    <t>3000577</t>
  </si>
  <si>
    <t>PANTALON CARGO NEGRO LOG MARCODINA T38</t>
  </si>
  <si>
    <t>3000578</t>
  </si>
  <si>
    <t>PANTALON CARGO NEGRO LOG MARCODINA T40</t>
  </si>
  <si>
    <t>3000579</t>
  </si>
  <si>
    <t>PANTALON CARGO NEGRO LOG MARCODINA T42</t>
  </si>
  <si>
    <t>3000580</t>
  </si>
  <si>
    <t>PANTALON CARGO NEGRO LOG MARCODINA T44</t>
  </si>
  <si>
    <t>3000581</t>
  </si>
  <si>
    <t>PANTALON CARGO NEGRO LOG MARCODINA T46</t>
  </si>
  <si>
    <t>3000582</t>
  </si>
  <si>
    <t>PANTALON CARGO NEGRO LOG MARCODINA T48</t>
  </si>
  <si>
    <t>3000583</t>
  </si>
  <si>
    <t>PANTALON CARGO NEGRO LOG MARCODINA T50</t>
  </si>
  <si>
    <t>3000584</t>
  </si>
  <si>
    <t>PANTALON CARGO NEGRO LOG MARCODINA T52</t>
  </si>
  <si>
    <t>3000585</t>
  </si>
  <si>
    <t>PANTALON CARGO NEGRO LOG MARCODINA T54</t>
  </si>
  <si>
    <t>3000587</t>
  </si>
  <si>
    <t>PANTALON CARGO NEGRO LOG MARCODINA T56</t>
  </si>
  <si>
    <t>3000588</t>
  </si>
  <si>
    <t>PANTALON CARGO NEGRO LOG MARCODINA T58</t>
  </si>
  <si>
    <t>3000589</t>
  </si>
  <si>
    <t>PANTALON CARGO NEGRO LOG MARCODINA T60</t>
  </si>
  <si>
    <t>3000590</t>
  </si>
  <si>
    <t>PANTALON CARGO NEGRO LOG MARCODINA T62</t>
  </si>
  <si>
    <t>3000591</t>
  </si>
  <si>
    <t>PANTALON CARGO NEGRO LOG MARCODINA T64</t>
  </si>
  <si>
    <t>3000592</t>
  </si>
  <si>
    <t>PANTALON CARGO NEGRO LOG MARCODINA T68</t>
  </si>
  <si>
    <t>3000593</t>
  </si>
  <si>
    <t>AMBOS AZULES PARAMED TALLE ESPECIAL</t>
  </si>
  <si>
    <t>3000594</t>
  </si>
  <si>
    <t>AMBOS AZULES CON LOGO TALLE XXXL</t>
  </si>
  <si>
    <t>3000599</t>
  </si>
  <si>
    <t>CHAQUETA BLANCA YACIMIENTO TALLE 60</t>
  </si>
  <si>
    <t>3000602</t>
  </si>
  <si>
    <t>CHAQUETA GRIS CHOFER TALLE 52</t>
  </si>
  <si>
    <t>3000603</t>
  </si>
  <si>
    <t>ZAPATOS DE SEGURIDAD TALLE 47</t>
  </si>
  <si>
    <t>3000605</t>
  </si>
  <si>
    <t>PANTALON DE JEAN YAC TALLE 38</t>
  </si>
  <si>
    <t>3000606</t>
  </si>
  <si>
    <t>CHAQUETA BLANCA MEDICO TALLE 46</t>
  </si>
  <si>
    <t>3000709</t>
  </si>
  <si>
    <t>PANTALON CARGO ANTI DESGARRO T40</t>
  </si>
  <si>
    <t>3000712</t>
  </si>
  <si>
    <t>PANTALON CARGO ANTI DESGARRO T42</t>
  </si>
  <si>
    <t>3000715</t>
  </si>
  <si>
    <t>PANTALON CARGO ANTI DESGARRO T46</t>
  </si>
  <si>
    <t>3000716</t>
  </si>
  <si>
    <t>PANTALON CARGO ANTI DESGARRO T48</t>
  </si>
  <si>
    <t>3000718</t>
  </si>
  <si>
    <t>PANTALON CARGO ANTI DESGARRO T52</t>
  </si>
  <si>
    <t>3000743</t>
  </si>
  <si>
    <t>CHOMBA ROJA TS</t>
  </si>
  <si>
    <t>3000744</t>
  </si>
  <si>
    <t>CHOMBA ROJA TM</t>
  </si>
  <si>
    <t>3000745</t>
  </si>
  <si>
    <t>CHOMBA ROJA TL</t>
  </si>
  <si>
    <t>3000746</t>
  </si>
  <si>
    <t>CHOMBA ROJA TXL</t>
  </si>
  <si>
    <t>3000747</t>
  </si>
  <si>
    <t>CHOMBA ROJA TXXL</t>
  </si>
  <si>
    <t>3000748</t>
  </si>
  <si>
    <t>CAMPERA TRUKER GRIS FFCC S/LOGO TXS</t>
  </si>
  <si>
    <t>3000749</t>
  </si>
  <si>
    <t>CAMPERA TRUKER GRIS FFCC S/LOGO T S</t>
  </si>
  <si>
    <t>3000750</t>
  </si>
  <si>
    <t>CAMPERA TRUKER GRIS FFCC S/LOGO T M</t>
  </si>
  <si>
    <t>3000751</t>
  </si>
  <si>
    <t>CAMPERA TRUKER GRIS FFCC S/LOGO T L</t>
  </si>
  <si>
    <t>3000752</t>
  </si>
  <si>
    <t>CAMPERA TRUKER GRIS FFCC S/LOGO T XL</t>
  </si>
  <si>
    <t>3000753</t>
  </si>
  <si>
    <t>CAMPERA TRUKER GRIS FFCC S/LOGO TXXL</t>
  </si>
  <si>
    <t>3000754</t>
  </si>
  <si>
    <t>CAMPERA TRUKER GRIS FFCC S/LOGO TXXXL</t>
  </si>
  <si>
    <t>3000782</t>
  </si>
  <si>
    <t>AMBO AZUL C/LOGO EMERGENCIAS TALLE XS</t>
  </si>
  <si>
    <t>3000783</t>
  </si>
  <si>
    <t>AMBO AZUL C/LOGO EMERGENCIAS TALLE S</t>
  </si>
  <si>
    <t>3000784</t>
  </si>
  <si>
    <t>AMBO AZUL C/LOGO EMERGENCIAS TALLE M</t>
  </si>
  <si>
    <t>3000785</t>
  </si>
  <si>
    <t>AMBO AZUL C/LOGO EMERGENCIAS TALLE L</t>
  </si>
  <si>
    <t>3000786</t>
  </si>
  <si>
    <t>AMBO AZUL C/LOGO EMERGENCIAS TALLE XL</t>
  </si>
  <si>
    <t>3000789</t>
  </si>
  <si>
    <t>AMBO AZUL C/LOGO EMERGENCIAS TALLE XXL</t>
  </si>
  <si>
    <t>3000790</t>
  </si>
  <si>
    <t>AMBO AZUL C/LOGO EMERGENCIAS TALLE XXXL</t>
  </si>
  <si>
    <t>3000828</t>
  </si>
  <si>
    <t>ZAPATOS DE SEGURIDAD T38</t>
  </si>
  <si>
    <t>3000829</t>
  </si>
  <si>
    <t>ZAPATOS DE SEGURIDAD T39</t>
  </si>
  <si>
    <t>3000831</t>
  </si>
  <si>
    <t>ZAPATOS DE SEGURIDAD T40</t>
  </si>
  <si>
    <t>3000832</t>
  </si>
  <si>
    <t>ZAPATOS DE SEGURIDAD T41</t>
  </si>
  <si>
    <t>3000886</t>
  </si>
  <si>
    <t>MEDIAS TERMICAS LARGAS</t>
  </si>
  <si>
    <t>3000914</t>
  </si>
  <si>
    <t>BOTIN DE SEGURIDAD T42</t>
  </si>
  <si>
    <t>3000915</t>
  </si>
  <si>
    <t>BOTIN DE SEGURIDAD T43</t>
  </si>
  <si>
    <t>3000916</t>
  </si>
  <si>
    <t>BOTIN DE SEGURIDAD T44</t>
  </si>
  <si>
    <t>3000917</t>
  </si>
  <si>
    <t>BOTIN DE SEGURIDAD TALLE 47</t>
  </si>
  <si>
    <t>3000921</t>
  </si>
  <si>
    <t>CAMPERA SOFT GRIS PARAMEDICO XS-38</t>
  </si>
  <si>
    <t>3000922</t>
  </si>
  <si>
    <t>CAMPERA SOFT GRIS PARAMEDICO S-40</t>
  </si>
  <si>
    <t>3000923</t>
  </si>
  <si>
    <t>CAMPERA SOFT GRIS PARAMEDICO M-42</t>
  </si>
  <si>
    <t>3000924</t>
  </si>
  <si>
    <t>CAMPERA SOFT GRIS PARAMEDICO L-44</t>
  </si>
  <si>
    <t>3000925</t>
  </si>
  <si>
    <t>CAMPERA SOFT GRIS PARAMEDICO XL-46</t>
  </si>
  <si>
    <t>3000926</t>
  </si>
  <si>
    <t>CAMPERA SOFT GRIS PARAMEDICO 2XL-48</t>
  </si>
  <si>
    <t>3000927</t>
  </si>
  <si>
    <t>CAMPERA SOFT GRIS PARAMEDICO 3XL-50</t>
  </si>
  <si>
    <t>3000928</t>
  </si>
  <si>
    <t>AMBOS AZUL FRANCIA TALLE ESPECIAL</t>
  </si>
  <si>
    <t>3000929</t>
  </si>
  <si>
    <t>AMBO BCO C/LOGO EMERG 3XL</t>
  </si>
  <si>
    <t>3000930</t>
  </si>
  <si>
    <t>AMBO BCO C/LOGO EMERG TALLE ESPECIAL</t>
  </si>
  <si>
    <t>3000931</t>
  </si>
  <si>
    <t>AMBO BCO AEP 3XL</t>
  </si>
  <si>
    <t>3000932</t>
  </si>
  <si>
    <t>AMBO BCO AEP TALLE ESPECIAL</t>
  </si>
  <si>
    <t>3000933</t>
  </si>
  <si>
    <t>GUARDAPOLVO BCO C/LOGO EMERG - HOM 66</t>
  </si>
  <si>
    <t>3000934</t>
  </si>
  <si>
    <t>GUARDAPOLVO BCO C/LOGO EMERG - MUJ 66</t>
  </si>
  <si>
    <t>3000935</t>
  </si>
  <si>
    <t>CHOMBA MEDICO BLANCA YACIMIENTO TXS</t>
  </si>
  <si>
    <t>3000936</t>
  </si>
  <si>
    <t>CHOMBA MEDICO BLANCA YACIMIENTO T2XL</t>
  </si>
  <si>
    <t>3000940</t>
  </si>
  <si>
    <t>CHOMBA CELESTE ENFERMO YACIMIENTOS TXS</t>
  </si>
  <si>
    <t>3000945</t>
  </si>
  <si>
    <t>Chomba Chofer Gris yacimiento XS</t>
  </si>
  <si>
    <t>3000946</t>
  </si>
  <si>
    <t>Chomba Chofer Gris yacimiento M</t>
  </si>
  <si>
    <t>3000947</t>
  </si>
  <si>
    <t>Chomba Chofer Gris yacimiento S</t>
  </si>
  <si>
    <t>3000954</t>
  </si>
  <si>
    <t>BUZO POLAR BLANCO XS</t>
  </si>
  <si>
    <t>3000955</t>
  </si>
  <si>
    <t>BUZO POLAR BLANCO S</t>
  </si>
  <si>
    <t>3000956</t>
  </si>
  <si>
    <t>BUZO POLAR BLANCO M</t>
  </si>
  <si>
    <t>3000957</t>
  </si>
  <si>
    <t>BUZO POLAR BLANCO L</t>
  </si>
  <si>
    <t>3000958</t>
  </si>
  <si>
    <t>BUZO POLAR BLANCO XL</t>
  </si>
  <si>
    <t>3000960</t>
  </si>
  <si>
    <t>BUZO POLAR BLANCO XXL</t>
  </si>
  <si>
    <t>3000961</t>
  </si>
  <si>
    <t>BUZO POLAR BLANCO XXXL</t>
  </si>
  <si>
    <t>3000962</t>
  </si>
  <si>
    <t>BUZO POLAR BLANCO TALLE ESPECIAL</t>
  </si>
  <si>
    <t>3000964</t>
  </si>
  <si>
    <t>FRAZADA CON LOGO EMERGENCIAS</t>
  </si>
  <si>
    <t>3000975</t>
  </si>
  <si>
    <t>BOTIN DE SEGURIDAD T45</t>
  </si>
  <si>
    <t>3000976</t>
  </si>
  <si>
    <t>BOTIN DE SEGURIDAD T46</t>
  </si>
  <si>
    <t>3000980</t>
  </si>
  <si>
    <t>CHOMBA BLANCA DAMA T5XL</t>
  </si>
  <si>
    <t>3000981</t>
  </si>
  <si>
    <t>SACO GRIS DAMA T5XL</t>
  </si>
  <si>
    <t>3000992</t>
  </si>
  <si>
    <t>Chaqueta Chofer ML Gris yac XXXL</t>
  </si>
  <si>
    <t>3000993</t>
  </si>
  <si>
    <t>PANTALON JEAN C/LOGO YAC T34</t>
  </si>
  <si>
    <t>3000994</t>
  </si>
  <si>
    <t>PANTALON JEAN C/LOGO YAC T36</t>
  </si>
  <si>
    <t>3001064</t>
  </si>
  <si>
    <t>PIEL OVINA 45x45</t>
  </si>
  <si>
    <t>3001163</t>
  </si>
  <si>
    <t>ZAPATOS CHOFER TALLE 35</t>
  </si>
  <si>
    <t>3001164</t>
  </si>
  <si>
    <t>ZAPATOS CHOFER TALLE 34</t>
  </si>
  <si>
    <t>4000022</t>
  </si>
  <si>
    <t>ENSURE POLVO VAINILLA X 400GR</t>
  </si>
  <si>
    <t>ZALI</t>
  </si>
  <si>
    <t>4000081</t>
  </si>
  <si>
    <t>SANCOR ENFA BB 2 X 500ML</t>
  </si>
  <si>
    <t>5000004</t>
  </si>
  <si>
    <t>BLOCK REPOSICION DE DROGAS Y ELEMENTOS</t>
  </si>
  <si>
    <t>5000005</t>
  </si>
  <si>
    <t>BLOCK ORDEN MANUAL DE MANTENIMIENTO</t>
  </si>
  <si>
    <t>5000006</t>
  </si>
  <si>
    <t>BLOCK FICHA ATENCION DOMICILIARIA</t>
  </si>
  <si>
    <t>5000007</t>
  </si>
  <si>
    <t>BLOCK RECETARIOS</t>
  </si>
  <si>
    <t>5000008</t>
  </si>
  <si>
    <t>SOBRES CINTA BIFAZ</t>
  </si>
  <si>
    <t>5000009</t>
  </si>
  <si>
    <t>BLOCK HOJA DE RUTA</t>
  </si>
  <si>
    <t>5000010</t>
  </si>
  <si>
    <t>BLOCK FICHA PREHOSPITALARIA</t>
  </si>
  <si>
    <t>5000012</t>
  </si>
  <si>
    <t>BLOCK ADHERIDOS EMSA NUM DIGITAL NUIC</t>
  </si>
  <si>
    <t>5000013</t>
  </si>
  <si>
    <t>BLOCK ASISTENCIA</t>
  </si>
  <si>
    <t>5000014</t>
  </si>
  <si>
    <t>BLOCK Audiometría</t>
  </si>
  <si>
    <t>5000015</t>
  </si>
  <si>
    <t>BLOCK cambio de equipo</t>
  </si>
  <si>
    <t>5000016</t>
  </si>
  <si>
    <t>BLOCK Caratula Laboral</t>
  </si>
  <si>
    <t>5000017</t>
  </si>
  <si>
    <t>BLOCK Cardiología</t>
  </si>
  <si>
    <t>5000018</t>
  </si>
  <si>
    <t>BLOCK COMPROBANTE FONDO FIJO</t>
  </si>
  <si>
    <t>5000019</t>
  </si>
  <si>
    <t>BLOCK consentimiento VIH</t>
  </si>
  <si>
    <t>5000020</t>
  </si>
  <si>
    <t>BLOCK control ausentismo papel quim</t>
  </si>
  <si>
    <t>5000021</t>
  </si>
  <si>
    <t>BLOCK CUIDADOR</t>
  </si>
  <si>
    <t>5000022</t>
  </si>
  <si>
    <t>BLOCK DE ENFERMERIA</t>
  </si>
  <si>
    <t>5000023</t>
  </si>
  <si>
    <t>BLOCK de Evolución médica</t>
  </si>
  <si>
    <t>5000024</t>
  </si>
  <si>
    <t>BLOCK DE VISITA</t>
  </si>
  <si>
    <t>5000025</t>
  </si>
  <si>
    <t>BLOCK declaracion jurada</t>
  </si>
  <si>
    <t>5000026</t>
  </si>
  <si>
    <t>BLOCK evolución</t>
  </si>
  <si>
    <t>5000027</t>
  </si>
  <si>
    <t>BLOCK Examen Preocupacional</t>
  </si>
  <si>
    <t>5000028</t>
  </si>
  <si>
    <t>BLOCK Ficha de Contingencia</t>
  </si>
  <si>
    <t>5000029</t>
  </si>
  <si>
    <t>BLOCK FICHA TRASLADO</t>
  </si>
  <si>
    <t>5000030</t>
  </si>
  <si>
    <t>BLOCK Historia Personal</t>
  </si>
  <si>
    <t>5000031</t>
  </si>
  <si>
    <t>RECORDATORIO DE TURNO KINESIOLOGIA</t>
  </si>
  <si>
    <t>5000032</t>
  </si>
  <si>
    <t>BLOCK Radiología</t>
  </si>
  <si>
    <t>5000033</t>
  </si>
  <si>
    <t>BLOCK retiros de equipo</t>
  </si>
  <si>
    <t>5000044</t>
  </si>
  <si>
    <t>IMAN</t>
  </si>
  <si>
    <t>5000046</t>
  </si>
  <si>
    <t>RECORDATORIOS DE TURNO</t>
  </si>
  <si>
    <t>5000047</t>
  </si>
  <si>
    <t>REMITOS X</t>
  </si>
  <si>
    <t>5000071</t>
  </si>
  <si>
    <t>BLISTER PILAS AA</t>
  </si>
  <si>
    <t>5000072</t>
  </si>
  <si>
    <t>BLISTER PILAS AAA</t>
  </si>
  <si>
    <t>5000083</t>
  </si>
  <si>
    <t>Cartucho HP 122 XL NEGRO</t>
  </si>
  <si>
    <t>5000115</t>
  </si>
  <si>
    <t>5000121</t>
  </si>
  <si>
    <t>RECIBO X MANUAL</t>
  </si>
  <si>
    <t>5000122</t>
  </si>
  <si>
    <t>BORRADO</t>
  </si>
  <si>
    <t>5000123</t>
  </si>
  <si>
    <t>BLOCK HOJAS DE RUTA</t>
  </si>
  <si>
    <t>5000124</t>
  </si>
  <si>
    <t>RECORDATORIO DE TURNO</t>
  </si>
  <si>
    <t>5000125</t>
  </si>
  <si>
    <t>ORDEN DE DERIVACION</t>
  </si>
  <si>
    <t>5000126</t>
  </si>
  <si>
    <t>RECHAZO DE INDICACION MEDICA</t>
  </si>
  <si>
    <t>5000127</t>
  </si>
  <si>
    <t>PLANILLA DE ASISTENCIA</t>
  </si>
  <si>
    <t>5000128</t>
  </si>
  <si>
    <t>HOJA DE CUIDADOR</t>
  </si>
  <si>
    <t>5000129</t>
  </si>
  <si>
    <t>GUARDIA DE ENFERMERO</t>
  </si>
  <si>
    <t>5000130</t>
  </si>
  <si>
    <t>FORM. DE PREST. KINESIO. Y FONO. Y TO.</t>
  </si>
  <si>
    <t>5000131</t>
  </si>
  <si>
    <t>SOLICITUD DE AUTORIZACION</t>
  </si>
  <si>
    <t>5000145</t>
  </si>
  <si>
    <t>BOLSA DE ARRANQUE 30X20 x ROLLO</t>
  </si>
  <si>
    <t>5000148</t>
  </si>
  <si>
    <t>BOLSA  EMSA 60X80</t>
  </si>
  <si>
    <t>5000149</t>
  </si>
  <si>
    <t>BOLSA ROJA</t>
  </si>
  <si>
    <t>5000150</t>
  </si>
  <si>
    <t>BOLSA VERDE</t>
  </si>
  <si>
    <t>5000163</t>
  </si>
  <si>
    <t>Cartel Nicho Hidrante</t>
  </si>
  <si>
    <t>5000169</t>
  </si>
  <si>
    <t>CINTA ADHESIVA ANTIDESLIZANTE</t>
  </si>
  <si>
    <t>5000172</t>
  </si>
  <si>
    <t>CINTA PAPEL SEGURIDAD 48MM por 50 C/LOGO</t>
  </si>
  <si>
    <t>5000174</t>
  </si>
  <si>
    <t>CINTA METRICA</t>
  </si>
  <si>
    <t>5000207</t>
  </si>
  <si>
    <t>MANGUERA</t>
  </si>
  <si>
    <t>5000213</t>
  </si>
  <si>
    <t>PAPEL HIGIENICO BCO 100MX20UN</t>
  </si>
  <si>
    <t>5000221</t>
  </si>
  <si>
    <t>TOALLA DE PAPEL BLANCO</t>
  </si>
  <si>
    <t>5000222</t>
  </si>
  <si>
    <t>TUBO FLUORECENTE</t>
  </si>
  <si>
    <t>5000223</t>
  </si>
  <si>
    <t>VASO PLASTICO DESCARTABLE</t>
  </si>
  <si>
    <t>5000225</t>
  </si>
  <si>
    <t>SELLO DIRECCION MEDICA</t>
  </si>
  <si>
    <t>5000233</t>
  </si>
  <si>
    <t>.</t>
  </si>
  <si>
    <t>5000234</t>
  </si>
  <si>
    <t>5000247</t>
  </si>
  <si>
    <t>TONER</t>
  </si>
  <si>
    <t>5000277</t>
  </si>
  <si>
    <t>SHAMPOO TOCADOR ECO PARA MANOS</t>
  </si>
  <si>
    <t>5000327</t>
  </si>
  <si>
    <t>CANDADO BLINDADO 63MM</t>
  </si>
  <si>
    <t>5000340</t>
  </si>
  <si>
    <t>TONER HP 78</t>
  </si>
  <si>
    <t>5000345</t>
  </si>
  <si>
    <t>CARTEL ACRLICO 3MM 40X20</t>
  </si>
  <si>
    <t>5000365</t>
  </si>
  <si>
    <t>PILA A23S 12 VOLTIOS</t>
  </si>
  <si>
    <t>5000366</t>
  </si>
  <si>
    <t>CAJA Largo 42 cm x Ancho 32 cm x Alto 25</t>
  </si>
  <si>
    <t>5000388</t>
  </si>
  <si>
    <t>TOALLA DE PAPEL 20X24CM 24GR X 1250UN</t>
  </si>
  <si>
    <t>5000398</t>
  </si>
  <si>
    <t>CAJON APILABLE 60X39X30CM ENCASTR</t>
  </si>
  <si>
    <t>5000402</t>
  </si>
  <si>
    <t>BLOCK FORMULARIO DE DEVOLUCION</t>
  </si>
  <si>
    <t>5000410</t>
  </si>
  <si>
    <t>REJILLA TIPO BALLERINA</t>
  </si>
  <si>
    <t>5000412</t>
  </si>
  <si>
    <t>REPUESTOS AROMATIZADOR</t>
  </si>
  <si>
    <t>5000415</t>
  </si>
  <si>
    <t>DESODORANTE AMBIENTE</t>
  </si>
  <si>
    <t>5000416</t>
  </si>
  <si>
    <t>PASTILLA P/BAÑO</t>
  </si>
  <si>
    <t>5000478</t>
  </si>
  <si>
    <t>LYSOFORM</t>
  </si>
  <si>
    <t>5000604</t>
  </si>
  <si>
    <t>MANUAL TAMAÑO POCKET</t>
  </si>
  <si>
    <t>5000605</t>
  </si>
  <si>
    <t>PLACA LED 20 X 20</t>
  </si>
  <si>
    <t>5000606</t>
  </si>
  <si>
    <t>PINTURA VIAL AMARILLA</t>
  </si>
  <si>
    <t>5000627</t>
  </si>
  <si>
    <t>TALONARIO FACTURA B</t>
  </si>
  <si>
    <t>5000690</t>
  </si>
  <si>
    <t>CARTEL ACRLICO 40X30 CM</t>
  </si>
  <si>
    <t>5000691</t>
  </si>
  <si>
    <t>TOALLAS INTERCALADAS PARA MANOS PACK 250</t>
  </si>
  <si>
    <t>5000759</t>
  </si>
  <si>
    <t>LLAVES</t>
  </si>
  <si>
    <t>5000780</t>
  </si>
  <si>
    <t>5000795</t>
  </si>
  <si>
    <t>SCANNER PORTATIL</t>
  </si>
  <si>
    <t>5000797</t>
  </si>
  <si>
    <t>PILAS V DL 2032</t>
  </si>
  <si>
    <t>5000853</t>
  </si>
  <si>
    <t>FORMULARIO HISTORIA CLINICA</t>
  </si>
  <si>
    <t>5000863</t>
  </si>
  <si>
    <t>PLANILLA MEDICA PARA EVENTOS</t>
  </si>
  <si>
    <t>5000883</t>
  </si>
  <si>
    <t>REMITOS R</t>
  </si>
  <si>
    <t>5000947</t>
  </si>
  <si>
    <t>TONER HP CE278A NEGRO</t>
  </si>
  <si>
    <t>5000973</t>
  </si>
  <si>
    <t>NEBULIZADOR</t>
  </si>
  <si>
    <t>5001017</t>
  </si>
  <si>
    <t>PULVERIZADOR 1 LT</t>
  </si>
  <si>
    <t>5001018</t>
  </si>
  <si>
    <t>GATILLO PULVERIZADOR</t>
  </si>
  <si>
    <t>5001155</t>
  </si>
  <si>
    <t>TABLILLAS METALICAS MM2300X1000E</t>
  </si>
  <si>
    <t>5001156</t>
  </si>
  <si>
    <t>TABLILLAS METALICAS MM1200X1000E</t>
  </si>
  <si>
    <t>5001158</t>
  </si>
  <si>
    <t>ALCOHOLIMETRO</t>
  </si>
  <si>
    <t>5001236</t>
  </si>
  <si>
    <t>EXPENDEDORA DE AGUA CALIENTE</t>
  </si>
  <si>
    <t>5001256</t>
  </si>
  <si>
    <t>ESTANTE REPISA 30 Cm X 15</t>
  </si>
  <si>
    <t>5001257</t>
  </si>
  <si>
    <t>CONTENEDOR 1100 LITROS DESECHO COMUN</t>
  </si>
  <si>
    <t>5001261</t>
  </si>
  <si>
    <t>POLVO ABC/BC</t>
  </si>
  <si>
    <t>5001262</t>
  </si>
  <si>
    <t>CHAPA BALIZA</t>
  </si>
  <si>
    <t>5001263</t>
  </si>
  <si>
    <t>POLVO HCFC 123</t>
  </si>
  <si>
    <t>5001308</t>
  </si>
  <si>
    <t>REPELENTE OFF AEROSOL x 165 CC</t>
  </si>
  <si>
    <t>5001334</t>
  </si>
  <si>
    <t>5001343</t>
  </si>
  <si>
    <t>PULVERIZADOR FUMIGADOR MOCHILA 11 LTS</t>
  </si>
  <si>
    <t>5001349</t>
  </si>
  <si>
    <t>BIDON DE PLASTICO</t>
  </si>
  <si>
    <t>5001364</t>
  </si>
  <si>
    <t>DESINFECTANTE EN AEROSOL</t>
  </si>
  <si>
    <t>5001368</t>
  </si>
  <si>
    <t>HELADERA PORTATIL 33lt</t>
  </si>
  <si>
    <t>5001436</t>
  </si>
  <si>
    <t>BOLSA CRISTAL POLIPROPILENO 30X40 x 100u</t>
  </si>
  <si>
    <t>5001469</t>
  </si>
  <si>
    <t>CONSENTIMIENTO COVID19 - CUIDADOS DOM</t>
  </si>
  <si>
    <t>5001526</t>
  </si>
  <si>
    <t>BOLSA ZIPLOC 30X40</t>
  </si>
  <si>
    <t>5001527</t>
  </si>
  <si>
    <t>BOLSA ZIPLOC 25X35</t>
  </si>
  <si>
    <t>5001549</t>
  </si>
  <si>
    <t>BOBINA INDUST  300M. 35G BEIG X4UN</t>
  </si>
  <si>
    <t>5001550</t>
  </si>
  <si>
    <t>BOBINA DE PAPEL 21CM 400MX2 ECOLOG</t>
  </si>
  <si>
    <t>5001576</t>
  </si>
  <si>
    <t>MANOMETRO PARA TUBOS GRANDES</t>
  </si>
  <si>
    <t>5001577</t>
  </si>
  <si>
    <t>MANOMETRO DE PANEL</t>
  </si>
  <si>
    <t>5001581</t>
  </si>
  <si>
    <t>DETERGENTE LIQUIDO BIDON 2L</t>
  </si>
  <si>
    <t>5001582</t>
  </si>
  <si>
    <t>LIMPIADOR PARA PISO X 5 LT</t>
  </si>
  <si>
    <t>5001641</t>
  </si>
  <si>
    <t>ESC TIJERA C/PLATAFORMA SUPERIOR PLEGABL</t>
  </si>
  <si>
    <t>5001677</t>
  </si>
  <si>
    <t>5001708</t>
  </si>
  <si>
    <t>CAJA 30X20X20</t>
  </si>
  <si>
    <t>5001858</t>
  </si>
  <si>
    <t>CONTENEDOR VERDE</t>
  </si>
  <si>
    <t>5001872</t>
  </si>
  <si>
    <t>TABLILLAS METALICAS MM141x1000 E0,71MM</t>
  </si>
  <si>
    <t>5001884</t>
  </si>
  <si>
    <t>SOGA POLIPROPILENO 8MM</t>
  </si>
  <si>
    <t>5001900</t>
  </si>
  <si>
    <t>CINTA PAPEL SEGURIDAD 72MM C/LOGO</t>
  </si>
  <si>
    <t>5001917</t>
  </si>
  <si>
    <t>BALANZA DE BAÑO</t>
  </si>
  <si>
    <t>5001918</t>
  </si>
  <si>
    <t>NEBULIZADOR SILFAB</t>
  </si>
  <si>
    <t>5001955</t>
  </si>
  <si>
    <t>BOLSA DE ARRANQUE 40x60 x ROLLO</t>
  </si>
  <si>
    <t>5001956</t>
  </si>
  <si>
    <t>BOLSA DE ARRANQUE 60x90 x ROLLO</t>
  </si>
  <si>
    <t>5001958</t>
  </si>
  <si>
    <t>BOBINA STRETCH FILM 4kg x 50 cm</t>
  </si>
  <si>
    <t>5001979</t>
  </si>
  <si>
    <t>BLOCK CONSENTIMIENTO DE TRASLADO</t>
  </si>
  <si>
    <t>5001981</t>
  </si>
  <si>
    <t>BOLSA DE ARRANQUE 50x70 x ROLLO</t>
  </si>
  <si>
    <t>5001983</t>
  </si>
  <si>
    <t>SECADOR DE PISO</t>
  </si>
  <si>
    <t>5002033</t>
  </si>
  <si>
    <t>ROLLO ETIQUETA TERMICA 100x100mm</t>
  </si>
  <si>
    <t>5002057</t>
  </si>
  <si>
    <t>BALANZA 200 KG</t>
  </si>
  <si>
    <t>5002070</t>
  </si>
  <si>
    <t>CAJON APILABLE 30 LITROS</t>
  </si>
  <si>
    <t>5002100</t>
  </si>
  <si>
    <t>CAJA 25X20X22</t>
  </si>
  <si>
    <t>5002174</t>
  </si>
  <si>
    <t>FICHA ATENCION UTIM</t>
  </si>
  <si>
    <t>5002190</t>
  </si>
  <si>
    <t>CUTTER DE SEGURIDAD MARTOR</t>
  </si>
  <si>
    <t>5002191</t>
  </si>
  <si>
    <t>HOJA CUTTER MARTOR x 10u</t>
  </si>
  <si>
    <t>5002193</t>
  </si>
  <si>
    <t>ASPIRADOR PORTATIL DUAL MAVERICK 7E-G</t>
  </si>
  <si>
    <t>5003183</t>
  </si>
  <si>
    <t>GUIAS PARA SUJECION DE TUBOS DE O2</t>
  </si>
  <si>
    <t>5003602</t>
  </si>
  <si>
    <t>TULIPA PROTECCION TUBO 02</t>
  </si>
  <si>
    <t>5004233</t>
  </si>
  <si>
    <t>VASTAGO Y TRABA VALVULA DE O2 ALUMINIO</t>
  </si>
  <si>
    <t>5004242</t>
  </si>
  <si>
    <t>PARCHE DEA ADULT RADIANQBIO P-303</t>
  </si>
  <si>
    <t>5004243</t>
  </si>
  <si>
    <t>ASP DE SECRECIONES C/BAT YUWELL 7E-G</t>
  </si>
  <si>
    <t>5004245</t>
  </si>
  <si>
    <t>ALCOHOLIMETRO DRAGER 5000 FUNNEL PAQ</t>
  </si>
  <si>
    <t>5004247</t>
  </si>
  <si>
    <t>LAMPARA CIALITICA PORTATIL</t>
  </si>
  <si>
    <t>5004248</t>
  </si>
  <si>
    <t>CARRO DE ECG RODANTE CHAPA</t>
  </si>
  <si>
    <t>5004249</t>
  </si>
  <si>
    <t>CONSULTA CLINICA MEDICA</t>
  </si>
  <si>
    <t>8000002</t>
  </si>
  <si>
    <t>ZHAW</t>
  </si>
  <si>
    <t>8000012</t>
  </si>
  <si>
    <t>UNBW</t>
  </si>
  <si>
    <t>8000029</t>
  </si>
  <si>
    <t>CAJA 40X30X30CM</t>
  </si>
  <si>
    <t>8000032</t>
  </si>
  <si>
    <t>CAMILLA DE TRANSPORTE</t>
  </si>
  <si>
    <t>VOLL</t>
  </si>
  <si>
    <t>8000051</t>
  </si>
  <si>
    <t>CAMILLA FIJA</t>
  </si>
  <si>
    <t>8000446</t>
  </si>
  <si>
    <t>CAMILLA TRASLADO PARDO ATICA</t>
  </si>
  <si>
    <t>ELEC1422</t>
  </si>
  <si>
    <t>0401- DESFIBRILADOR CERTIFICACION</t>
  </si>
  <si>
    <t>ELEC1436</t>
  </si>
  <si>
    <t>0476- DESFIBRILADOR CERTIFICACION</t>
  </si>
  <si>
    <t>ELEC1445</t>
  </si>
  <si>
    <t>0704- DESFIBRILADOR CERTIFICACION</t>
  </si>
  <si>
    <t>ELEC2219</t>
  </si>
  <si>
    <t>0014- ECG CERTIFICACION</t>
  </si>
  <si>
    <t>ELEC2297</t>
  </si>
  <si>
    <t>0487- ECG CERTIFICACION</t>
  </si>
  <si>
    <t>ELEC4071</t>
  </si>
  <si>
    <t>0024- OXIMETRO DE PULSO CERTIFICACION</t>
  </si>
  <si>
    <t>ELEC4097</t>
  </si>
  <si>
    <t>0985- DESFIBRILADOR CERTIFICACION</t>
  </si>
  <si>
    <t>ELEC4105</t>
  </si>
  <si>
    <t>0015-OXIMETRO DE PULSO CERTIFICACION</t>
  </si>
  <si>
    <t>ELEC4375</t>
  </si>
  <si>
    <t>MONITOR MINDRAY UMEC-10 STD</t>
  </si>
  <si>
    <t>ELEC5085</t>
  </si>
  <si>
    <t>0902- DESFIBRILADOR CERTIFICACION</t>
  </si>
  <si>
    <t>ELEC5101</t>
  </si>
  <si>
    <t>0904- DESFIBRILADOR CERTIFICACION</t>
  </si>
  <si>
    <t>ELEC5541</t>
  </si>
  <si>
    <t>0911-  MONITOR CERTIFICACION</t>
  </si>
  <si>
    <t>ELEC7144</t>
  </si>
  <si>
    <t>1299 - ECG CERTIFICACION</t>
  </si>
  <si>
    <t>ELEC7556</t>
  </si>
  <si>
    <t>1813 - MONITOR CERTIFICACION</t>
  </si>
  <si>
    <t>ELEC7558</t>
  </si>
  <si>
    <t>OFTALMOSCOPIO</t>
  </si>
  <si>
    <t>ELEC7561</t>
  </si>
  <si>
    <t>DESFIBRILADOR BENEHEART D3</t>
  </si>
  <si>
    <t>ELEC77726</t>
  </si>
  <si>
    <t>1814 ECG CALIBRACION/LIMPIEZA</t>
  </si>
  <si>
    <t>ELEC77735</t>
  </si>
  <si>
    <t>1815 ECG CERTIFICACION</t>
  </si>
  <si>
    <t>ELEC77745</t>
  </si>
  <si>
    <t>1816 ECG CERTIFICACION</t>
  </si>
  <si>
    <t>ELEC7794</t>
  </si>
  <si>
    <t>114293 - ECG CERTIFICACION</t>
  </si>
  <si>
    <t>ELEC7795</t>
  </si>
  <si>
    <t>114293 - ECG REPARACION</t>
  </si>
  <si>
    <t>ELEC7796</t>
  </si>
  <si>
    <t>114270 - ECG CERTIFICACION</t>
  </si>
  <si>
    <t>ELEC7797</t>
  </si>
  <si>
    <t>114270 - ECG REPARACION</t>
  </si>
  <si>
    <t>ELEC7798</t>
  </si>
  <si>
    <t>114272 - ECG CERTIFICACION</t>
  </si>
  <si>
    <t>ELEC7799</t>
  </si>
  <si>
    <t>114272 - ECG REPARACION</t>
  </si>
  <si>
    <t>ELEC7800</t>
  </si>
  <si>
    <t>114273 - ECG CERTIFICACION</t>
  </si>
  <si>
    <t>ELEC7801</t>
  </si>
  <si>
    <t>114273 - ECG REPARACION</t>
  </si>
  <si>
    <t>ELEC7802</t>
  </si>
  <si>
    <t>114261 - ECG CERTIFICACION</t>
  </si>
  <si>
    <t>ELEC7803</t>
  </si>
  <si>
    <t>114261 - ECG REPARACION</t>
  </si>
  <si>
    <t>ELEC7804</t>
  </si>
  <si>
    <t>1951 CERTIFICACION</t>
  </si>
  <si>
    <t>ELEC7805</t>
  </si>
  <si>
    <t>1951 REPARACION</t>
  </si>
  <si>
    <t>ELEC7806</t>
  </si>
  <si>
    <t>1850 CERTIFICACION</t>
  </si>
  <si>
    <t>OFIC1013</t>
  </si>
  <si>
    <t>PILA  AAA</t>
  </si>
  <si>
    <t>OFIC1275</t>
  </si>
  <si>
    <t>TIJERA ESCOLAR 10 CM.</t>
  </si>
  <si>
    <t>OFIC1466</t>
  </si>
  <si>
    <t>TURRÓN</t>
  </si>
  <si>
    <t>OFIC1633</t>
  </si>
  <si>
    <t>PAN DULCE</t>
  </si>
  <si>
    <t>OFIC1635</t>
  </si>
  <si>
    <t>GARRAPIÑADA</t>
  </si>
  <si>
    <t>OFIC1689</t>
  </si>
  <si>
    <t>VELAS</t>
  </si>
  <si>
    <t>OFIC1690</t>
  </si>
  <si>
    <t>PORTACREDENCIAL PVC SIN BROCHE 9.8X16CM</t>
  </si>
  <si>
    <t>SAP11461</t>
  </si>
  <si>
    <t>LAMPARA CREE LED H4</t>
  </si>
  <si>
    <t>ZERS</t>
  </si>
  <si>
    <t>SAP11560</t>
  </si>
  <si>
    <t>CAJA TUBOS 107 PIEZAS</t>
  </si>
  <si>
    <t>SERV1621</t>
  </si>
  <si>
    <t>CALIBRACION Y CERTIFICACION DEA-ECG-MON</t>
  </si>
  <si>
    <t>SERV1798</t>
  </si>
  <si>
    <t>SERVICIO ARREGLO REGULADORES MEDICINALES</t>
  </si>
  <si>
    <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</si>
</sst>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9">
    <font>
      <sz val="11"/>
      <name val="Carlito"/>
    </font>
    <font>
      <sz val="11"/>
      <color rgb="FF20313F"/>
      <name val="Arial"/>
      <family val="2"/>
    </font>
    <font>
      <b/>
      <sz val="16"/>
      <color rgb="FF19354C"/>
      <name val="Arial"/>
      <family val="2"/>
    </font>
    <font>
      <sz val="10"/>
      <color rgb="FF536573"/>
      <name val="Arial"/>
      <family val="2"/>
    </font>
    <font>
      <b/>
      <sz val="11"/>
      <color rgb="FF19354C"/>
      <name val="Arial"/>
      <family val="2"/>
    </font>
    <font>
      <b/>
      <sz val="11"/>
      <color rgb="FFFFFFFF"/>
      <name val="Arial"/>
      <family val="2"/>
    </font>
    <font>
      <b/>
      <sz val="16"/>
      <color rgb="FF19354C"/>
      <name val="Arial"/>
      <family val="2"/>
    </font>
    <font>
      <b/>
      <sz val="11"/>
      <color theme="0"/>
      <name val="Arial"/>
      <family val="2"/>
    </font>
    <font>
      <b/>
      <sz val="11"/>
      <color rgb="FF20313F"/>
      <name val="Arial"/>
      <family val="2"/>
    </font>
  </fonts>
  <fills count="8">
    <fill>
      <patternFill patternType="none"/>
    </fill>
    <fill>
      <patternFill patternType="gray125"/>
    </fill>
    <fill>
      <patternFill patternType="solid">
        <fgColor rgb="FFEAF2F8"/>
      </patternFill>
    </fill>
    <fill>
      <patternFill patternType="solid">
        <fgColor rgb="FFFFF2CC"/>
      </patternFill>
    </fill>
    <fill>
      <patternFill patternType="solid">
        <fgColor rgb="FFF2F4F6"/>
      </patternFill>
    </fill>
    <fill>
      <patternFill patternType="solid">
        <fgColor rgb="FF19354C"/>
      </patternFill>
    </fill>
    <fill>
      <patternFill patternType="solid">
        <fgColor rgb="FFE7F0ED"/>
      </patternFill>
    </fill>
    <fill>
      <patternFill patternType="solid">
        <fgColor theme="9" tint="0.59999389629810485"/>
        <bgColor indexed="64"/>
      </patternFill>
    </fill>
  </fills>
  <borders count="13">
    <border>
      <left/>
      <right/>
      <top/>
      <bottom/>
      <diagonal/>
    </border>
    <border>
      <left/>
      <right style="thin">
        <color rgb="FFE0D4B1"/>
      </right>
      <top/>
      <bottom style="thin">
        <color rgb="FFE0D4B1"/>
      </bottom>
      <diagonal/>
    </border>
    <border>
      <left style="thin">
        <color rgb="FFE0D4B1"/>
      </left>
      <right style="thin">
        <color rgb="FFE0D4B1"/>
      </right>
      <top/>
      <bottom style="thin">
        <color rgb="FFE0D4B1"/>
      </bottom>
      <diagonal/>
    </border>
    <border>
      <left style="thin">
        <color rgb="FFE0D4B1"/>
      </left>
      <right/>
      <top/>
      <bottom style="thin">
        <color rgb="FFE0D4B1"/>
      </bottom>
      <diagonal/>
    </border>
    <border>
      <left/>
      <right style="thin">
        <color rgb="FFE0D4B1"/>
      </right>
      <top style="thin">
        <color rgb="FFE0D4B1"/>
      </top>
      <bottom style="thin">
        <color rgb="FFE0D4B1"/>
      </bottom>
      <diagonal/>
    </border>
    <border>
      <left style="thin">
        <color rgb="FFE0D4B1"/>
      </left>
      <right style="thin">
        <color rgb="FFE0D4B1"/>
      </right>
      <top style="thin">
        <color rgb="FFE0D4B1"/>
      </top>
      <bottom style="thin">
        <color rgb="FFE0D4B1"/>
      </bottom>
      <diagonal/>
    </border>
    <border>
      <left style="thin">
        <color rgb="FFE0D4B1"/>
      </left>
      <right/>
      <top style="thin">
        <color rgb="FFE0D4B1"/>
      </top>
      <bottom style="thin">
        <color rgb="FFE0D4B1"/>
      </bottom>
      <diagonal/>
    </border>
    <border>
      <left/>
      <right style="thin">
        <color rgb="FFE0D4B1"/>
      </right>
      <top style="thin">
        <color rgb="FFE0D4B1"/>
      </top>
      <bottom/>
      <diagonal/>
    </border>
    <border>
      <left style="thin">
        <color rgb="FFE0D4B1"/>
      </left>
      <right style="thin">
        <color rgb="FFE0D4B1"/>
      </right>
      <top style="thin">
        <color rgb="FFE0D4B1"/>
      </top>
      <bottom/>
      <diagonal/>
    </border>
    <border>
      <left style="thin">
        <color rgb="FFE0D4B1"/>
      </left>
      <right/>
      <top style="thin">
        <color rgb="FFE0D4B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54">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4" fillId="2" borderId="0" xfId="0" applyFont="1" applyFill="1" applyAlignment="1">
      <alignment vertical="center"/>
    </xf>
    <xf numFmtId="0" fontId="4" fillId="3" borderId="0" xfId="0" applyFont="1" applyFill="1" applyAlignment="1">
      <alignment vertical="center"/>
    </xf>
    <xf numFmtId="0" fontId="4" fillId="4" borderId="0" xfId="0" applyFont="1" applyFill="1" applyAlignment="1">
      <alignment vertical="center"/>
    </xf>
    <xf numFmtId="0" fontId="5" fillId="5" borderId="0" xfId="0" applyFont="1" applyFill="1" applyAlignment="1">
      <alignment horizontal="center" vertical="center" wrapText="1"/>
    </xf>
    <xf numFmtId="0" fontId="1" fillId="0" borderId="0" xfId="0" applyFont="1" applyAlignment="1">
      <alignment vertical="center" wrapText="1"/>
    </xf>
    <xf numFmtId="0" fontId="1" fillId="0" borderId="0" xfId="0" applyFont="1" applyAlignment="1">
      <alignment vertical="top" wrapText="1"/>
    </xf>
    <xf numFmtId="0" fontId="1" fillId="3" borderId="1" xfId="0" applyFont="1" applyFill="1" applyBorder="1" applyAlignment="1">
      <alignment vertical="top" wrapText="1"/>
    </xf>
    <xf numFmtId="0" fontId="1" fillId="3" borderId="2" xfId="0" applyFont="1" applyFill="1" applyBorder="1" applyAlignment="1">
      <alignment vertical="top" wrapText="1"/>
    </xf>
    <xf numFmtId="0" fontId="1" fillId="4" borderId="0" xfId="0" applyFont="1" applyFill="1" applyAlignment="1">
      <alignment vertical="top" wrapText="1"/>
    </xf>
    <xf numFmtId="0" fontId="1" fillId="3" borderId="4" xfId="0" applyFont="1" applyFill="1" applyBorder="1" applyAlignment="1">
      <alignment vertical="top" wrapText="1"/>
    </xf>
    <xf numFmtId="0" fontId="1" fillId="3" borderId="5" xfId="0" applyFont="1" applyFill="1" applyBorder="1" applyAlignment="1">
      <alignment vertical="top" wrapText="1"/>
    </xf>
    <xf numFmtId="0" fontId="1" fillId="3" borderId="7" xfId="0" applyFont="1" applyFill="1" applyBorder="1" applyAlignment="1">
      <alignment vertical="top" wrapText="1"/>
    </xf>
    <xf numFmtId="0" fontId="1" fillId="3" borderId="8" xfId="0" applyFont="1" applyFill="1" applyBorder="1" applyAlignment="1">
      <alignment vertical="top" wrapText="1"/>
    </xf>
    <xf numFmtId="49" fontId="1" fillId="0" borderId="0" xfId="0" applyNumberFormat="1" applyFont="1" applyAlignment="1">
      <alignment vertical="top" wrapText="1"/>
    </xf>
    <xf numFmtId="49" fontId="1" fillId="3" borderId="2" xfId="0" applyNumberFormat="1" applyFont="1" applyFill="1" applyBorder="1" applyAlignment="1">
      <alignment vertical="top" wrapText="1"/>
    </xf>
    <xf numFmtId="49" fontId="1" fillId="3" borderId="5" xfId="0" applyNumberFormat="1" applyFont="1" applyFill="1" applyBorder="1" applyAlignment="1">
      <alignment vertical="top" wrapText="1"/>
    </xf>
    <xf numFmtId="49" fontId="1" fillId="3" borderId="8" xfId="0" applyNumberFormat="1" applyFont="1" applyFill="1" applyBorder="1" applyAlignment="1">
      <alignment vertical="top" wrapText="1"/>
    </xf>
    <xf numFmtId="164" fontId="1" fillId="3" borderId="3" xfId="0" applyNumberFormat="1" applyFont="1" applyFill="1" applyBorder="1" applyAlignment="1">
      <alignment vertical="top" wrapText="1"/>
    </xf>
    <xf numFmtId="164" fontId="1" fillId="3" borderId="6" xfId="0" applyNumberFormat="1" applyFont="1" applyFill="1" applyBorder="1" applyAlignment="1">
      <alignment vertical="top" wrapText="1"/>
    </xf>
    <xf numFmtId="164" fontId="1" fillId="3" borderId="9" xfId="0" applyNumberFormat="1" applyFont="1" applyFill="1" applyBorder="1" applyAlignment="1">
      <alignment vertical="top" wrapText="1"/>
    </xf>
    <xf numFmtId="0" fontId="1" fillId="0" borderId="0" xfId="0" applyFont="1" applyAlignment="1">
      <alignment horizontal="left" vertical="top" wrapText="1"/>
    </xf>
    <xf numFmtId="49" fontId="1" fillId="0" borderId="0" xfId="0" applyNumberFormat="1" applyFont="1" applyAlignment="1">
      <alignment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4" fillId="0" borderId="0" xfId="0" applyFont="1" applyAlignment="1">
      <alignment vertical="center" wrapText="1"/>
    </xf>
    <xf numFmtId="0" fontId="4" fillId="2" borderId="0" xfId="0" applyFont="1" applyFill="1" applyAlignment="1">
      <alignment vertical="center" wrapText="1"/>
    </xf>
    <xf numFmtId="0" fontId="4" fillId="3" borderId="0" xfId="0" applyFont="1" applyFill="1" applyAlignment="1">
      <alignment vertical="center" wrapText="1"/>
    </xf>
    <xf numFmtId="0" fontId="4" fillId="2" borderId="0" xfId="0" applyFont="1" applyFill="1" applyAlignment="1">
      <alignment horizontal="center" vertical="center"/>
    </xf>
    <xf numFmtId="0" fontId="1" fillId="0" borderId="0" xfId="0" applyFont="1" applyAlignment="1">
      <alignment horizontal="center" vertical="top" wrapText="1"/>
    </xf>
    <xf numFmtId="0" fontId="0" fillId="0" borderId="0" xfId="0" applyAlignment="1">
      <alignment horizontal="center"/>
    </xf>
    <xf numFmtId="0" fontId="4" fillId="4" borderId="0" xfId="0" applyFont="1" applyFill="1" applyAlignment="1">
      <alignment horizontal="center" vertical="center"/>
    </xf>
    <xf numFmtId="0" fontId="7" fillId="5" borderId="0" xfId="0" applyFont="1" applyFill="1" applyAlignment="1">
      <alignment horizontal="center" vertical="center" wrapText="1"/>
    </xf>
    <xf numFmtId="0" fontId="1" fillId="2" borderId="10" xfId="0" applyFont="1" applyFill="1" applyBorder="1" applyAlignment="1">
      <alignment vertical="center"/>
    </xf>
    <xf numFmtId="0" fontId="1" fillId="2" borderId="11" xfId="0" applyFont="1" applyFill="1" applyBorder="1" applyAlignment="1">
      <alignment vertical="center"/>
    </xf>
    <xf numFmtId="0" fontId="1" fillId="2" borderId="12" xfId="0" applyFont="1" applyFill="1" applyBorder="1" applyAlignment="1">
      <alignment vertical="center"/>
    </xf>
    <xf numFmtId="0" fontId="1" fillId="7" borderId="12" xfId="0" applyFont="1" applyFill="1" applyBorder="1" applyAlignment="1">
      <alignment horizontal="center" vertical="center"/>
    </xf>
    <xf numFmtId="0" fontId="8" fillId="7" borderId="10" xfId="0" applyFont="1" applyFill="1" applyBorder="1" applyAlignment="1">
      <alignment horizontal="center" vertical="center"/>
    </xf>
    <xf numFmtId="0" fontId="8" fillId="7" borderId="11" xfId="0" applyFont="1" applyFill="1" applyBorder="1" applyAlignment="1">
      <alignment horizontal="center" vertical="center"/>
    </xf>
    <xf numFmtId="0" fontId="8" fillId="7" borderId="12" xfId="0" applyFont="1" applyFill="1" applyBorder="1" applyAlignment="1">
      <alignment horizontal="center" vertical="center"/>
    </xf>
    <xf numFmtId="0" fontId="1" fillId="6" borderId="10" xfId="0" applyFont="1" applyFill="1" applyBorder="1" applyAlignment="1">
      <alignment horizontal="center" vertical="center"/>
    </xf>
    <xf numFmtId="0" fontId="1" fillId="6" borderId="11" xfId="0" applyFont="1" applyFill="1" applyBorder="1" applyAlignment="1">
      <alignment horizontal="center" vertical="center"/>
    </xf>
    <xf numFmtId="0" fontId="1" fillId="6" borderId="12" xfId="0" applyFont="1" applyFill="1" applyBorder="1" applyAlignment="1">
      <alignment horizontal="center" vertical="center"/>
    </xf>
    <xf numFmtId="0" fontId="1" fillId="2" borderId="0" xfId="0" applyFont="1" applyFill="1" applyAlignment="1">
      <alignment vertical="center" wrapText="1"/>
    </xf>
    <xf numFmtId="0" fontId="5" fillId="5" borderId="0" xfId="0" applyFont="1" applyFill="1" applyAlignment="1">
      <alignment horizontal="center" vertical="center" wrapText="1"/>
    </xf>
    <xf numFmtId="0" fontId="1" fillId="0" borderId="0" xfId="0" applyFont="1" applyAlignment="1">
      <alignment vertical="center" wrapText="1"/>
    </xf>
    <xf numFmtId="0" fontId="1" fillId="3" borderId="0" xfId="0" applyFont="1" applyFill="1" applyAlignment="1">
      <alignment vertical="center" wrapText="1"/>
    </xf>
    <xf numFmtId="0" fontId="6" fillId="3" borderId="10"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3" fillId="0" borderId="0" xfId="0" applyFont="1" applyAlignment="1">
      <alignment vertical="center" wrapText="1"/>
    </xf>
  </cellXfs>
  <cellStyles count="1">
    <cellStyle name="Normal" xfId="0" builtinId="0"/>
  </cellStyles>
  <dxfs count="29">
    <dxf>
      <font>
        <color rgb="FF7B5415"/>
      </font>
      <fill>
        <patternFill patternType="solid">
          <bgColor rgb="FFFFF2CC"/>
        </patternFill>
      </fill>
    </dxf>
    <dxf>
      <font>
        <color rgb="FF19354C"/>
      </font>
      <fill>
        <patternFill patternType="solid">
          <bgColor rgb="FFEAF2F8"/>
        </patternFill>
      </fill>
    </dxf>
    <dxf>
      <font>
        <b/>
        <color rgb="FF28582B"/>
      </font>
      <fill>
        <patternFill patternType="solid">
          <bgColor rgb="FFE2EFDA"/>
        </patternFill>
      </fill>
    </dxf>
    <dxf>
      <font>
        <b/>
        <color rgb="FF7B5415"/>
      </font>
      <fill>
        <patternFill patternType="solid">
          <bgColor rgb="FFFFF2CC"/>
        </patternFill>
      </fill>
    </dxf>
    <dxf>
      <font>
        <b/>
        <color rgb="FF9F2722"/>
      </font>
      <fill>
        <patternFill patternType="solid">
          <bgColor rgb="FFFBE4E3"/>
        </patternFill>
      </fill>
    </dxf>
    <dxf>
      <font>
        <b/>
        <color rgb="FF9F2722"/>
      </font>
      <fill>
        <patternFill patternType="solid">
          <bgColor rgb="FFFBE4E3"/>
        </patternFill>
      </fill>
    </dxf>
    <dxf>
      <font>
        <b/>
        <color rgb="FF9F2722"/>
      </font>
      <fill>
        <patternFill patternType="solid">
          <bgColor rgb="FFFBE4E3"/>
        </patternFill>
      </fill>
    </dxf>
    <dxf>
      <font>
        <color rgb="FF7B5415"/>
      </font>
      <fill>
        <patternFill patternType="solid">
          <bgColor rgb="FFFFF2CC"/>
        </patternFill>
      </fill>
    </dxf>
    <dxf>
      <font>
        <color rgb="FF19354C"/>
      </font>
      <fill>
        <patternFill patternType="solid">
          <bgColor rgb="FFEAF2F8"/>
        </patternFill>
      </fill>
    </dxf>
    <dxf>
      <font>
        <b/>
        <color rgb="FF28582B"/>
      </font>
      <fill>
        <patternFill patternType="solid">
          <bgColor rgb="FFE2EFDA"/>
        </patternFill>
      </fill>
    </dxf>
    <dxf>
      <font>
        <b/>
        <color rgb="FF7B5415"/>
      </font>
      <fill>
        <patternFill patternType="solid">
          <bgColor rgb="FFFFF2CC"/>
        </patternFill>
      </fill>
    </dxf>
    <dxf>
      <font>
        <b/>
        <color rgb="FF9F2722"/>
      </font>
      <fill>
        <patternFill patternType="solid">
          <bgColor rgb="FFFBE4E3"/>
        </patternFill>
      </fill>
    </dxf>
    <dxf>
      <font>
        <b/>
        <color rgb="FF9F2722"/>
      </font>
      <fill>
        <patternFill patternType="solid">
          <bgColor rgb="FFFBE4E3"/>
        </patternFill>
      </fill>
    </dxf>
    <dxf>
      <font>
        <b/>
        <color rgb="FF9F2722"/>
      </font>
      <fill>
        <patternFill patternType="solid">
          <bgColor rgb="FFFBE4E3"/>
        </patternFill>
      </fill>
    </dxf>
    <dxf>
      <font>
        <color rgb="FF7B5415"/>
      </font>
      <fill>
        <patternFill patternType="solid">
          <bgColor rgb="FFFFF2CC"/>
        </patternFill>
      </fill>
    </dxf>
    <dxf>
      <font>
        <color rgb="FF19354C"/>
      </font>
      <fill>
        <patternFill patternType="solid">
          <bgColor rgb="FFEAF2F8"/>
        </patternFill>
      </fill>
    </dxf>
    <dxf>
      <font>
        <b/>
        <color rgb="FF28582B"/>
      </font>
      <fill>
        <patternFill patternType="solid">
          <bgColor rgb="FFE2EFDA"/>
        </patternFill>
      </fill>
    </dxf>
    <dxf>
      <font>
        <b/>
        <color rgb="FF7B5415"/>
      </font>
      <fill>
        <patternFill patternType="solid">
          <bgColor rgb="FFFFF2CC"/>
        </patternFill>
      </fill>
    </dxf>
    <dxf>
      <font>
        <b/>
        <color rgb="FF9F2722"/>
      </font>
      <fill>
        <patternFill patternType="solid">
          <bgColor rgb="FFFBE4E3"/>
        </patternFill>
      </fill>
    </dxf>
    <dxf>
      <font>
        <b/>
        <color rgb="FF9F2722"/>
      </font>
      <fill>
        <patternFill patternType="solid">
          <bgColor rgb="FFFBE4E3"/>
        </patternFill>
      </fill>
    </dxf>
    <dxf>
      <font>
        <b/>
        <color rgb="FF9F2722"/>
      </font>
      <fill>
        <patternFill patternType="solid">
          <bgColor rgb="FFFBE4E3"/>
        </patternFill>
      </fill>
    </dxf>
    <dxf>
      <font>
        <color rgb="FF7B5415"/>
      </font>
      <fill>
        <patternFill patternType="solid">
          <bgColor rgb="FFFFF2CC"/>
        </patternFill>
      </fill>
    </dxf>
    <dxf>
      <font>
        <color rgb="FF19354C"/>
      </font>
      <fill>
        <patternFill patternType="solid">
          <bgColor rgb="FFEAF2F8"/>
        </patternFill>
      </fill>
    </dxf>
    <dxf>
      <font>
        <b/>
        <color rgb="FF28582B"/>
      </font>
      <fill>
        <patternFill patternType="solid">
          <bgColor rgb="FFE2EFDA"/>
        </patternFill>
      </fill>
    </dxf>
    <dxf>
      <font>
        <b/>
        <color rgb="FF7B5415"/>
      </font>
      <fill>
        <patternFill patternType="solid">
          <bgColor rgb="FFFFF2CC"/>
        </patternFill>
      </fill>
    </dxf>
    <dxf>
      <font>
        <b/>
        <color rgb="FF9F2722"/>
      </font>
      <fill>
        <patternFill patternType="solid">
          <bgColor rgb="FFFBE4E3"/>
        </patternFill>
      </fill>
    </dxf>
    <dxf>
      <font>
        <b/>
        <color rgb="FF9F2722"/>
      </font>
      <fill>
        <patternFill patternType="solid">
          <bgColor rgb="FFFBE4E3"/>
        </patternFill>
      </fill>
    </dxf>
    <dxf>
      <font>
        <b/>
        <color rgb="FF9F2722"/>
      </font>
      <fill>
        <patternFill patternType="solid">
          <bgColor rgb="FFFBE4E3"/>
        </patternFill>
      </fill>
    </dxf>
    <dxf>
      <alignment horizont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0000000}" name="CatalogoComun" displayName="CatalogoComun" ref="A7:W291" totalsRowShown="0">
  <tableColumns count="23">
    <tableColumn id="1" xr3:uid="{00000000-0010-0000-0000-000001000000}" name="ID común propuesto"/>
    <tableColumn id="2" xr3:uid="{00000000-0010-0000-0000-000002000000}" name="Tipo de ítem"/>
    <tableColumn id="3" xr3:uid="{00000000-0010-0000-0000-000003000000}" name="Nombre común propuesto (master)"/>
    <tableColumn id="4" xr3:uid="{00000000-0010-0000-0000-000004000000}" name="Códigos Base Neuquén"/>
    <tableColumn id="5" xr3:uid="{00000000-0010-0000-0000-000005000000}" name="Nomenclatura Base Neuquén"/>
    <tableColumn id="6" xr3:uid="{00000000-0010-0000-0000-000006000000}" name="Confianza Neuquén"/>
    <tableColumn id="7" xr3:uid="{00000000-0010-0000-0000-000007000000}" name="Clasificación Neuquén"/>
    <tableColumn id="8" xr3:uid="{00000000-0010-0000-0000-000008000000}" name="Códigos Base San Juan"/>
    <tableColumn id="9" xr3:uid="{00000000-0010-0000-0000-000009000000}" name="Nomenclatura Base San Juan"/>
    <tableColumn id="10" xr3:uid="{00000000-0010-0000-0000-00000A000000}" name="Confianza San Juan"/>
    <tableColumn id="11" xr3:uid="{00000000-0010-0000-0000-00000B000000}" name="Clasificación San Juan"/>
    <tableColumn id="12" xr3:uid="{00000000-0010-0000-0000-00000C000000}" name="Códigos Base Salta"/>
    <tableColumn id="13" xr3:uid="{00000000-0010-0000-0000-00000D000000}" name="Nomenclatura Base Salta"/>
    <tableColumn id="14" xr3:uid="{00000000-0010-0000-0000-00000E000000}" name="Confianza Salta"/>
    <tableColumn id="15" xr3:uid="{00000000-0010-0000-0000-00000F000000}" name="Clasificación Salta"/>
    <tableColumn id="16" xr3:uid="{00000000-0010-0000-0000-000010000000}" name="Código Neuquén confirmado"/>
    <tableColumn id="17" xr3:uid="{00000000-0010-0000-0000-000011000000}" name="Código San Juan confirmado"/>
    <tableColumn id="18" xr3:uid="{00000000-0010-0000-0000-000012000000}" name="Código Salta confirmado"/>
    <tableColumn id="19" xr3:uid="{00000000-0010-0000-0000-000013000000}" name="Códigos SAP"/>
    <tableColumn id="20" xr3:uid="{00000000-0010-0000-0000-000014000000}" name="Nomenclatura SAP"/>
    <tableColumn id="21" xr3:uid="{00000000-0010-0000-0000-000015000000}" name="Nivel de confianza SAP"/>
    <tableColumn id="22" xr3:uid="{00000000-0010-0000-0000-000016000000}" name="Clasificación SAP"/>
    <tableColumn id="23" xr3:uid="{00000000-0010-0000-0000-000017000000}" name="Código SAP confirmado"/>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RevisionNQN" displayName="RevisionNQN" ref="A7:O291" totalsRowShown="0">
  <tableColumns count="15">
    <tableColumn id="1" xr3:uid="{00000000-0010-0000-0100-000001000000}" name="ID común"/>
    <tableColumn id="2" xr3:uid="{00000000-0010-0000-0100-000002000000}" name="Tipo de ítem"/>
    <tableColumn id="3" xr3:uid="{00000000-0010-0000-0100-000003000000}" name="Ítem que pide el master"/>
    <tableColumn id="4" xr3:uid="{00000000-0010-0000-0100-000004000000}" name="Códigos Base Neuquén"/>
    <tableColumn id="5" xr3:uid="{00000000-0010-0000-0100-000005000000}" name="Nomenclatura Base Neuquén"/>
    <tableColumn id="6" xr3:uid="{00000000-0010-0000-0100-000006000000}" name="Clasificación del cruce"/>
    <tableColumn id="7" xr3:uid="{00000000-0010-0000-0100-000007000000}" name="Nivel de confianza" dataDxfId="28"/>
    <tableColumn id="8" xr3:uid="{00000000-0010-0000-0100-000008000000}" name="Observaciones y qué revisar"/>
    <tableColumn id="9" xr3:uid="{00000000-0010-0000-0100-000009000000}" name="Decisión de la base"/>
    <tableColumn id="10" xr3:uid="{00000000-0010-0000-0100-00000A000000}" name="Código AVAIN confirmado"/>
    <tableColumn id="11" xr3:uid="{00000000-0010-0000-0100-00000B000000}" name="Nombre AVAIN confirmado"/>
    <tableColumn id="12" xr3:uid="{00000000-0010-0000-0100-00000C000000}" name="Validó el producto (nombre)"/>
    <tableColumn id="13" xr3:uid="{00000000-0010-0000-0100-00000D000000}" name="Validó el código AVAIN (nombre)"/>
    <tableColumn id="14" xr3:uid="{00000000-0010-0000-0100-00000E000000}" name="Fecha de validación"/>
    <tableColumn id="15" xr3:uid="{00000000-0010-0000-0100-00000F000000}" name="Estado de esta base"/>
  </tableColumns>
  <tableStyleInfo name="TableStyleMedium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RevisionSJN" displayName="RevisionSJN" ref="A7:O291" totalsRowShown="0">
  <autoFilter ref="A7:O291" xr:uid="{00000000-000C-0000-FFFF-FFFF02000000}"/>
  <tableColumns count="15">
    <tableColumn id="1" xr3:uid="{00000000-0010-0000-0200-000001000000}" name="ID común"/>
    <tableColumn id="2" xr3:uid="{00000000-0010-0000-0200-000002000000}" name="Tipo de ítem"/>
    <tableColumn id="3" xr3:uid="{00000000-0010-0000-0200-000003000000}" name="Ítem que pide el master"/>
    <tableColumn id="4" xr3:uid="{00000000-0010-0000-0200-000004000000}" name="Códigos Base San Juan"/>
    <tableColumn id="5" xr3:uid="{00000000-0010-0000-0200-000005000000}" name="Nomenclatura Base San Juan"/>
    <tableColumn id="6" xr3:uid="{00000000-0010-0000-0200-000006000000}" name="Clasificación del cruce"/>
    <tableColumn id="7" xr3:uid="{00000000-0010-0000-0200-000007000000}" name="Nivel de confianza"/>
    <tableColumn id="8" xr3:uid="{00000000-0010-0000-0200-000008000000}" name="Observaciones y qué revisar"/>
    <tableColumn id="9" xr3:uid="{00000000-0010-0000-0200-000009000000}" name="Decisión de la base"/>
    <tableColumn id="10" xr3:uid="{00000000-0010-0000-0200-00000A000000}" name="Código AVAIN confirmado"/>
    <tableColumn id="11" xr3:uid="{00000000-0010-0000-0200-00000B000000}" name="Nombre AVAIN confirmado"/>
    <tableColumn id="12" xr3:uid="{00000000-0010-0000-0200-00000C000000}" name="Validó el producto (nombre)"/>
    <tableColumn id="13" xr3:uid="{00000000-0010-0000-0200-00000D000000}" name="Validó el código AVAIN (nombre)"/>
    <tableColumn id="14" xr3:uid="{00000000-0010-0000-0200-00000E000000}" name="Fecha de validación"/>
    <tableColumn id="15" xr3:uid="{00000000-0010-0000-0200-00000F000000}" name="Estado de esta base"/>
  </tableColumns>
  <tableStyleInfo name="TableStyleMedium1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RevisionSAL" displayName="RevisionSAL" ref="A7:O291" totalsRowShown="0">
  <tableColumns count="15">
    <tableColumn id="1" xr3:uid="{00000000-0010-0000-0300-000001000000}" name="ID común"/>
    <tableColumn id="2" xr3:uid="{00000000-0010-0000-0300-000002000000}" name="Tipo de ítem"/>
    <tableColumn id="3" xr3:uid="{00000000-0010-0000-0300-000003000000}" name="Ítem que pide el master"/>
    <tableColumn id="4" xr3:uid="{00000000-0010-0000-0300-000004000000}" name="Códigos Base Salta"/>
    <tableColumn id="5" xr3:uid="{00000000-0010-0000-0300-000005000000}" name="Nomenclatura Base Salta"/>
    <tableColumn id="6" xr3:uid="{00000000-0010-0000-0300-000006000000}" name="Clasificación del cruce"/>
    <tableColumn id="7" xr3:uid="{00000000-0010-0000-0300-000007000000}" name="Nivel de confianza"/>
    <tableColumn id="8" xr3:uid="{00000000-0010-0000-0300-000008000000}" name="Observaciones y qué revisar"/>
    <tableColumn id="9" xr3:uid="{00000000-0010-0000-0300-000009000000}" name="Decisión de la base"/>
    <tableColumn id="10" xr3:uid="{00000000-0010-0000-0300-00000A000000}" name="Código AVAIN confirmado"/>
    <tableColumn id="11" xr3:uid="{00000000-0010-0000-0300-00000B000000}" name="Nombre AVAIN confirmado"/>
    <tableColumn id="12" xr3:uid="{00000000-0010-0000-0300-00000C000000}" name="Validó el producto (nombre)"/>
    <tableColumn id="13" xr3:uid="{00000000-0010-0000-0300-00000D000000}" name="Validó el código AVAIN (nombre)"/>
    <tableColumn id="14" xr3:uid="{00000000-0010-0000-0300-00000E000000}" name="Fecha de validación"/>
    <tableColumn id="15" xr3:uid="{00000000-0010-0000-0300-00000F000000}" name="Estado de esta base"/>
  </tableColumns>
  <tableStyleInfo name="TableStyleMedium1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RevisionSAP" displayName="RevisionSAP" ref="A7:O291" totalsRowShown="0">
  <autoFilter ref="A7:O291" xr:uid="{00000000-000C-0000-FFFF-FFFF04000000}"/>
  <tableColumns count="15">
    <tableColumn id="1" xr3:uid="{00000000-0010-0000-0400-000001000000}" name="ID común"/>
    <tableColumn id="2" xr3:uid="{00000000-0010-0000-0400-000002000000}" name="Tipo de ítem"/>
    <tableColumn id="3" xr3:uid="{00000000-0010-0000-0400-000003000000}" name="Ítem que pide el master"/>
    <tableColumn id="4" xr3:uid="{00000000-0010-0000-0400-000004000000}" name="Códigos SAP"/>
    <tableColumn id="5" xr3:uid="{00000000-0010-0000-0400-000005000000}" name="Nomenclatura SAP"/>
    <tableColumn id="6" xr3:uid="{00000000-0010-0000-0400-000006000000}" name="Clasificación del cruce"/>
    <tableColumn id="7" xr3:uid="{00000000-0010-0000-0400-000007000000}" name="Nivel de confianza"/>
    <tableColumn id="8" xr3:uid="{00000000-0010-0000-0400-000008000000}" name="Observaciones y qué revisar"/>
    <tableColumn id="9" xr3:uid="{00000000-0010-0000-0400-000009000000}" name="Decisión sobre SAP"/>
    <tableColumn id="10" xr3:uid="{00000000-0010-0000-0400-00000A000000}" name="Código SAP confirmado"/>
    <tableColumn id="11" xr3:uid="{00000000-0010-0000-0400-00000B000000}" name="Nombre SAP confirmado"/>
    <tableColumn id="12" xr3:uid="{00000000-0010-0000-0400-00000C000000}" name="Validó el producto (nombre)"/>
    <tableColumn id="13" xr3:uid="{00000000-0010-0000-0400-00000D000000}" name="Validó el código SAP (nombre)"/>
    <tableColumn id="14" xr3:uid="{00000000-0010-0000-0400-00000E000000}" name="Fecha de validación"/>
    <tableColumn id="15" xr3:uid="{00000000-0010-0000-0400-00000F000000}" name="Estado del cruce SAP"/>
  </tableColumns>
  <tableStyleInfo name="TableStyleMedium15"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9354C"/>
  </sheetPr>
  <dimension ref="A2:E50"/>
  <sheetViews>
    <sheetView showGridLines="0" zoomScale="80" zoomScaleNormal="80" workbookViewId="0">
      <selection activeCell="B50" sqref="B50:E50"/>
    </sheetView>
  </sheetViews>
  <sheetFormatPr baseColWidth="10" defaultColWidth="8.796875" defaultRowHeight="13.8"/>
  <cols>
    <col min="1" max="1" width="29" customWidth="1"/>
    <col min="2" max="2" width="21" customWidth="1"/>
    <col min="3" max="3" width="23" customWidth="1"/>
    <col min="4" max="4" width="32" customWidth="1"/>
    <col min="5" max="5" width="35" customWidth="1"/>
  </cols>
  <sheetData>
    <row r="2" spans="1:5" ht="31.05" customHeight="1">
      <c r="A2" s="2" t="s">
        <v>0</v>
      </c>
      <c r="B2" s="1"/>
      <c r="C2" s="1"/>
      <c r="D2" s="1"/>
      <c r="E2" s="1"/>
    </row>
    <row r="3" spans="1:5" ht="22.05" customHeight="1">
      <c r="A3" s="3" t="s">
        <v>1</v>
      </c>
      <c r="B3" s="1"/>
      <c r="C3" s="1"/>
      <c r="D3" s="1"/>
      <c r="E3" s="1"/>
    </row>
    <row r="4" spans="1:5" ht="22.05" customHeight="1">
      <c r="A4" s="3" t="str">
        <f>"SAP: "&amp;B43&amp;" coincidencias de confianza alta · "&amp;SUM(B44:B46)&amp;" ítems para revisar · "&amp;B47&amp;" sin candidato. Empezá por la hoja Master vs SAP."</f>
        <v>SAP: 170 coincidencias de confianza alta · 97 ítems para revisar · 17 sin candidato. Empezá por la hoja Master vs SAP.</v>
      </c>
      <c r="B4" s="1"/>
      <c r="C4" s="1"/>
      <c r="D4" s="1"/>
      <c r="E4" s="1"/>
    </row>
    <row r="5" spans="1:5" ht="43.05" customHeight="1">
      <c r="A5" s="7" t="s">
        <v>2</v>
      </c>
      <c r="B5" s="7" t="s">
        <v>3</v>
      </c>
      <c r="C5" s="7" t="s">
        <v>4</v>
      </c>
      <c r="D5" s="7" t="s">
        <v>5</v>
      </c>
      <c r="E5" s="7" t="s">
        <v>6</v>
      </c>
    </row>
    <row r="6" spans="1:5" ht="30" customHeight="1">
      <c r="A6" s="1" t="s">
        <v>7</v>
      </c>
      <c r="B6" s="27">
        <f>COUNTA(Neuquén!A8:A291)</f>
        <v>284</v>
      </c>
      <c r="C6" s="27">
        <f>COUNTIFS(Neuquén!O8:O291,"Homologado")</f>
        <v>0</v>
      </c>
      <c r="D6" s="27">
        <f>COUNTIFS(Neuquén!O8:O291,"Sin equivalente confirmado")</f>
        <v>0</v>
      </c>
      <c r="E6" s="27">
        <f>B6-C6-D6</f>
        <v>284</v>
      </c>
    </row>
    <row r="7" spans="1:5" ht="30" customHeight="1">
      <c r="A7" s="1" t="s">
        <v>8</v>
      </c>
      <c r="B7" s="27">
        <f>COUNTA('San Juan'!A8:A291)</f>
        <v>284</v>
      </c>
      <c r="C7" s="27">
        <f>COUNTIFS('San Juan'!O8:O291,"Homologado")</f>
        <v>0</v>
      </c>
      <c r="D7" s="27">
        <f>COUNTIFS('San Juan'!O8:O291,"Sin equivalente confirmado")</f>
        <v>0</v>
      </c>
      <c r="E7" s="27">
        <f>B7-C7-D7</f>
        <v>284</v>
      </c>
    </row>
    <row r="8" spans="1:5" ht="30" customHeight="1">
      <c r="A8" s="1" t="s">
        <v>9</v>
      </c>
      <c r="B8" s="27">
        <f>COUNTA(Salta!A8:A291)</f>
        <v>284</v>
      </c>
      <c r="C8" s="27">
        <f>COUNTIFS(Salta!O8:O291,"Homologado")</f>
        <v>0</v>
      </c>
      <c r="D8" s="27">
        <f>COUNTIFS(Salta!O8:O291,"Sin equivalente confirmado")</f>
        <v>0</v>
      </c>
      <c r="E8" s="27">
        <f>B8-C8-D8</f>
        <v>284</v>
      </c>
    </row>
    <row r="9" spans="1:5" ht="30" customHeight="1">
      <c r="A9" s="1" t="s">
        <v>10</v>
      </c>
      <c r="B9" s="27">
        <f>COUNTA('Master vs SAP'!A8:A291)</f>
        <v>284</v>
      </c>
      <c r="C9" s="27">
        <f>COUNTIFS('Master vs SAP'!O8:O291,"Homologado")</f>
        <v>0</v>
      </c>
      <c r="D9" s="27">
        <f>COUNTIFS('Master vs SAP'!O8:O291,"Sin equivalente confirmado")</f>
        <v>0</v>
      </c>
      <c r="E9" s="27">
        <f>B9-C9-D9</f>
        <v>284</v>
      </c>
    </row>
    <row r="10" spans="1:5" ht="43.95" customHeight="1">
      <c r="A10" s="29" t="s">
        <v>11</v>
      </c>
      <c r="B10" s="46" t="s">
        <v>12</v>
      </c>
      <c r="C10" s="46"/>
      <c r="D10" s="46"/>
      <c r="E10" s="46"/>
    </row>
    <row r="11" spans="1:5" ht="43.05" customHeight="1">
      <c r="A11" s="7" t="s">
        <v>13</v>
      </c>
      <c r="B11" s="7" t="s">
        <v>14</v>
      </c>
      <c r="C11" s="47" t="s">
        <v>15</v>
      </c>
      <c r="D11" s="47"/>
      <c r="E11" s="47"/>
    </row>
    <row r="12" spans="1:5" ht="40.049999999999997" customHeight="1">
      <c r="A12" s="8" t="s">
        <v>16</v>
      </c>
      <c r="B12" s="26">
        <f>COUNTIFS(Salta!$F$8:$F$291,A12)</f>
        <v>120</v>
      </c>
      <c r="C12" s="48" t="s">
        <v>17</v>
      </c>
      <c r="D12" s="48"/>
      <c r="E12" s="48"/>
    </row>
    <row r="13" spans="1:5" ht="40.049999999999997" customHeight="1">
      <c r="A13" s="8" t="s">
        <v>18</v>
      </c>
      <c r="B13" s="26">
        <f>COUNTIFS(Salta!$F$8:$F$291,A13)</f>
        <v>8</v>
      </c>
      <c r="C13" s="48" t="s">
        <v>19</v>
      </c>
      <c r="D13" s="48"/>
      <c r="E13" s="48"/>
    </row>
    <row r="14" spans="1:5" ht="40.049999999999997" customHeight="1">
      <c r="A14" s="8" t="s">
        <v>20</v>
      </c>
      <c r="B14" s="26">
        <f>COUNTIFS(Salta!$F$8:$F$291,A14)</f>
        <v>61</v>
      </c>
      <c r="C14" s="48" t="s">
        <v>21</v>
      </c>
      <c r="D14" s="48"/>
      <c r="E14" s="48"/>
    </row>
    <row r="15" spans="1:5" ht="40.049999999999997" customHeight="1">
      <c r="A15" s="8" t="s">
        <v>22</v>
      </c>
      <c r="B15" s="26">
        <f>COUNTIFS(Salta!$F$8:$F$291,A15)</f>
        <v>22</v>
      </c>
      <c r="C15" s="48" t="s">
        <v>23</v>
      </c>
      <c r="D15" s="48"/>
      <c r="E15" s="48"/>
    </row>
    <row r="16" spans="1:5" ht="40.049999999999997" customHeight="1">
      <c r="A16" s="8" t="s">
        <v>24</v>
      </c>
      <c r="B16" s="26">
        <f>COUNTIFS(Salta!$F$8:$F$291,A16)</f>
        <v>73</v>
      </c>
      <c r="C16" s="48" t="s">
        <v>25</v>
      </c>
      <c r="D16" s="48"/>
      <c r="E16" s="48"/>
    </row>
    <row r="17" spans="1:5">
      <c r="A17" s="1"/>
      <c r="B17" s="1"/>
      <c r="C17" s="1"/>
      <c r="D17" s="1"/>
      <c r="E17" s="1"/>
    </row>
    <row r="18" spans="1:5" ht="43.95" customHeight="1">
      <c r="A18" s="29" t="s">
        <v>26</v>
      </c>
      <c r="B18" s="46" t="s">
        <v>27</v>
      </c>
      <c r="C18" s="46"/>
      <c r="D18" s="46"/>
      <c r="E18" s="46"/>
    </row>
    <row r="19" spans="1:5" ht="43.95" customHeight="1">
      <c r="A19" s="28" t="s">
        <v>28</v>
      </c>
      <c r="B19" s="48" t="s">
        <v>29</v>
      </c>
      <c r="C19" s="48"/>
      <c r="D19" s="48"/>
      <c r="E19" s="48"/>
    </row>
    <row r="20" spans="1:5" ht="43.95" customHeight="1">
      <c r="A20" s="28" t="s">
        <v>30</v>
      </c>
      <c r="B20" s="48" t="s">
        <v>31</v>
      </c>
      <c r="C20" s="48"/>
      <c r="D20" s="48"/>
      <c r="E20" s="48"/>
    </row>
    <row r="21" spans="1:5" ht="43.95" customHeight="1">
      <c r="A21" s="30" t="s">
        <v>32</v>
      </c>
      <c r="B21" s="49" t="s">
        <v>33</v>
      </c>
      <c r="C21" s="49"/>
      <c r="D21" s="49"/>
      <c r="E21" s="49"/>
    </row>
    <row r="22" spans="1:5" ht="43.95" customHeight="1">
      <c r="A22" s="28" t="s">
        <v>34</v>
      </c>
      <c r="B22" s="48" t="s">
        <v>35</v>
      </c>
      <c r="C22" s="48"/>
      <c r="D22" s="48"/>
      <c r="E22" s="48"/>
    </row>
    <row r="23" spans="1:5" ht="43.95" customHeight="1">
      <c r="A23" s="28" t="s">
        <v>36</v>
      </c>
      <c r="B23" s="48" t="s">
        <v>37</v>
      </c>
      <c r="C23" s="48"/>
      <c r="D23" s="48"/>
      <c r="E23" s="48"/>
    </row>
    <row r="24" spans="1:5">
      <c r="A24" s="1"/>
      <c r="B24" s="1"/>
      <c r="C24" s="1"/>
      <c r="D24" s="1"/>
      <c r="E24" s="1"/>
    </row>
    <row r="25" spans="1:5" ht="43.95" customHeight="1">
      <c r="A25" s="29" t="s">
        <v>38</v>
      </c>
      <c r="B25" s="46" t="s">
        <v>39</v>
      </c>
      <c r="C25" s="46"/>
      <c r="D25" s="46"/>
      <c r="E25" s="46"/>
    </row>
    <row r="26" spans="1:5" ht="43.95" customHeight="1">
      <c r="A26" s="28" t="s">
        <v>40</v>
      </c>
      <c r="B26" s="48" t="s">
        <v>41</v>
      </c>
      <c r="C26" s="48"/>
      <c r="D26" s="48"/>
      <c r="E26" s="48"/>
    </row>
    <row r="27" spans="1:5" ht="43.95" customHeight="1">
      <c r="A27" s="28" t="s">
        <v>42</v>
      </c>
      <c r="B27" s="48" t="s">
        <v>43</v>
      </c>
      <c r="C27" s="48"/>
      <c r="D27" s="48"/>
      <c r="E27" s="48"/>
    </row>
    <row r="28" spans="1:5" ht="43.95" customHeight="1">
      <c r="A28" s="28" t="s">
        <v>44</v>
      </c>
      <c r="B28" s="48" t="s">
        <v>45</v>
      </c>
      <c r="C28" s="48"/>
      <c r="D28" s="48"/>
      <c r="E28" s="48"/>
    </row>
    <row r="29" spans="1:5" ht="43.95" customHeight="1">
      <c r="A29" s="28" t="s">
        <v>46</v>
      </c>
      <c r="B29" s="48" t="s">
        <v>47</v>
      </c>
      <c r="C29" s="48"/>
      <c r="D29" s="48"/>
      <c r="E29" s="48"/>
    </row>
    <row r="30" spans="1:5" ht="43.95" customHeight="1">
      <c r="A30" s="28" t="s">
        <v>48</v>
      </c>
      <c r="B30" s="48" t="s">
        <v>49</v>
      </c>
      <c r="C30" s="48"/>
      <c r="D30" s="48"/>
      <c r="E30" s="48"/>
    </row>
    <row r="31" spans="1:5">
      <c r="A31" s="1"/>
      <c r="B31" s="1"/>
      <c r="C31" s="1"/>
      <c r="D31" s="1"/>
      <c r="E31" s="1"/>
    </row>
    <row r="32" spans="1:5" ht="43.95" customHeight="1">
      <c r="A32" s="29" t="s">
        <v>50</v>
      </c>
      <c r="B32" s="46" t="s">
        <v>51</v>
      </c>
      <c r="C32" s="46"/>
      <c r="D32" s="46"/>
      <c r="E32" s="46"/>
    </row>
    <row r="33" spans="1:5" ht="43.95" customHeight="1">
      <c r="A33" s="28" t="s">
        <v>52</v>
      </c>
      <c r="B33" s="48" t="s">
        <v>53</v>
      </c>
      <c r="C33" s="48"/>
      <c r="D33" s="48"/>
      <c r="E33" s="48"/>
    </row>
    <row r="34" spans="1:5" ht="43.95" customHeight="1">
      <c r="A34" s="28" t="s">
        <v>54</v>
      </c>
      <c r="B34" s="48" t="s">
        <v>55</v>
      </c>
      <c r="C34" s="48"/>
      <c r="D34" s="48"/>
      <c r="E34" s="48"/>
    </row>
    <row r="35" spans="1:5" ht="43.95" customHeight="1">
      <c r="A35" s="28" t="s">
        <v>56</v>
      </c>
      <c r="B35" s="48" t="s">
        <v>57</v>
      </c>
      <c r="C35" s="48"/>
      <c r="D35" s="48"/>
      <c r="E35" s="48"/>
    </row>
    <row r="36" spans="1:5" ht="43.95" customHeight="1">
      <c r="A36" s="28" t="s">
        <v>58</v>
      </c>
      <c r="B36" s="48" t="s">
        <v>59</v>
      </c>
      <c r="C36" s="48"/>
      <c r="D36" s="48"/>
      <c r="E36" s="48"/>
    </row>
    <row r="37" spans="1:5">
      <c r="A37" s="1"/>
      <c r="B37" s="1"/>
      <c r="C37" s="1"/>
      <c r="D37" s="1"/>
      <c r="E37" s="1"/>
    </row>
    <row r="38" spans="1:5" ht="43.95" customHeight="1">
      <c r="A38" s="28" t="s">
        <v>60</v>
      </c>
      <c r="B38" s="48" t="s">
        <v>61</v>
      </c>
      <c r="C38" s="48"/>
      <c r="D38" s="48"/>
      <c r="E38" s="48"/>
    </row>
    <row r="39" spans="1:5" ht="43.95" customHeight="1">
      <c r="A39" s="28" t="s">
        <v>62</v>
      </c>
      <c r="B39" s="48" t="s">
        <v>63</v>
      </c>
      <c r="C39" s="48"/>
      <c r="D39" s="48"/>
      <c r="E39" s="48"/>
    </row>
    <row r="40" spans="1:5" ht="43.95" customHeight="1">
      <c r="A40" s="28" t="s">
        <v>64</v>
      </c>
      <c r="B40" s="48" t="s">
        <v>65</v>
      </c>
      <c r="C40" s="48"/>
      <c r="D40" s="48"/>
      <c r="E40" s="48"/>
    </row>
    <row r="41" spans="1:5">
      <c r="A41" s="1"/>
      <c r="B41" s="1"/>
      <c r="C41" s="1"/>
      <c r="D41" s="1"/>
      <c r="E41" s="1"/>
    </row>
    <row r="42" spans="1:5" ht="43.95" customHeight="1">
      <c r="A42" s="29" t="s">
        <v>66</v>
      </c>
      <c r="B42" s="46" t="s">
        <v>67</v>
      </c>
      <c r="C42" s="46"/>
      <c r="D42" s="46"/>
      <c r="E42" s="46"/>
    </row>
    <row r="43" spans="1:5" ht="40.049999999999997" customHeight="1">
      <c r="A43" s="8" t="s">
        <v>16</v>
      </c>
      <c r="B43" s="26">
        <f>COUNTIFS('Master vs SAP'!$F$8:$F$291,A43)</f>
        <v>170</v>
      </c>
      <c r="C43" s="48" t="s">
        <v>68</v>
      </c>
      <c r="D43" s="48"/>
      <c r="E43" s="48"/>
    </row>
    <row r="44" spans="1:5" ht="40.049999999999997" customHeight="1">
      <c r="A44" s="8" t="s">
        <v>18</v>
      </c>
      <c r="B44" s="26">
        <f>COUNTIFS('Master vs SAP'!$F$8:$F$291,A44)</f>
        <v>9</v>
      </c>
      <c r="C44" s="48" t="s">
        <v>19</v>
      </c>
      <c r="D44" s="48"/>
      <c r="E44" s="48"/>
    </row>
    <row r="45" spans="1:5" ht="40.049999999999997" customHeight="1">
      <c r="A45" s="8" t="s">
        <v>20</v>
      </c>
      <c r="B45" s="26">
        <f>COUNTIFS('Master vs SAP'!$F$8:$F$291,A45)</f>
        <v>44</v>
      </c>
      <c r="C45" s="48" t="s">
        <v>21</v>
      </c>
      <c r="D45" s="48"/>
      <c r="E45" s="48"/>
    </row>
    <row r="46" spans="1:5" ht="40.049999999999997" customHeight="1">
      <c r="A46" s="8" t="s">
        <v>22</v>
      </c>
      <c r="B46" s="26">
        <f>COUNTIFS('Master vs SAP'!$F$8:$F$291,A46)</f>
        <v>44</v>
      </c>
      <c r="C46" s="48" t="s">
        <v>23</v>
      </c>
      <c r="D46" s="48"/>
      <c r="E46" s="48"/>
    </row>
    <row r="47" spans="1:5" ht="40.049999999999997" customHeight="1">
      <c r="A47" s="8" t="s">
        <v>24</v>
      </c>
      <c r="B47" s="26">
        <f>COUNTIFS('Master vs SAP'!$F$8:$F$291,A47)</f>
        <v>17</v>
      </c>
      <c r="C47" s="48" t="s">
        <v>69</v>
      </c>
      <c r="D47" s="48"/>
      <c r="E47" s="48"/>
    </row>
    <row r="48" spans="1:5">
      <c r="A48" s="1"/>
      <c r="B48" s="1"/>
      <c r="C48" s="1"/>
      <c r="D48" s="1"/>
      <c r="E48" s="1"/>
    </row>
    <row r="49" spans="1:5" ht="43.95" customHeight="1">
      <c r="A49" s="28" t="s">
        <v>70</v>
      </c>
      <c r="B49" s="48" t="s">
        <v>71</v>
      </c>
      <c r="C49" s="48"/>
      <c r="D49" s="48"/>
      <c r="E49" s="48"/>
    </row>
    <row r="50" spans="1:5" ht="43.95" customHeight="1">
      <c r="A50" s="28" t="s">
        <v>72</v>
      </c>
      <c r="B50" s="48" t="s">
        <v>73</v>
      </c>
      <c r="C50" s="48"/>
      <c r="D50" s="48"/>
      <c r="E50" s="48"/>
    </row>
  </sheetData>
  <mergeCells count="35">
    <mergeCell ref="C45:E45"/>
    <mergeCell ref="C46:E46"/>
    <mergeCell ref="C47:E47"/>
    <mergeCell ref="B49:E49"/>
    <mergeCell ref="B50:E50"/>
    <mergeCell ref="B39:E39"/>
    <mergeCell ref="B40:E40"/>
    <mergeCell ref="B42:E42"/>
    <mergeCell ref="C43:E43"/>
    <mergeCell ref="C44:E44"/>
    <mergeCell ref="B33:E33"/>
    <mergeCell ref="B34:E34"/>
    <mergeCell ref="B35:E35"/>
    <mergeCell ref="B36:E36"/>
    <mergeCell ref="B38:E38"/>
    <mergeCell ref="B27:E27"/>
    <mergeCell ref="B28:E28"/>
    <mergeCell ref="B29:E29"/>
    <mergeCell ref="B30:E30"/>
    <mergeCell ref="B32:E32"/>
    <mergeCell ref="B21:E21"/>
    <mergeCell ref="B22:E22"/>
    <mergeCell ref="B23:E23"/>
    <mergeCell ref="B25:E25"/>
    <mergeCell ref="B26:E26"/>
    <mergeCell ref="C15:E15"/>
    <mergeCell ref="C16:E16"/>
    <mergeCell ref="B18:E18"/>
    <mergeCell ref="B19:E19"/>
    <mergeCell ref="B20:E20"/>
    <mergeCell ref="B10:E10"/>
    <mergeCell ref="C11:E11"/>
    <mergeCell ref="C12:E12"/>
    <mergeCell ref="C13:E13"/>
    <mergeCell ref="C14:E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9354C"/>
  </sheetPr>
  <dimension ref="A2:W291"/>
  <sheetViews>
    <sheetView showGridLines="0" tabSelected="1" zoomScale="80" zoomScaleNormal="80" workbookViewId="0">
      <pane xSplit="3" ySplit="7" topLeftCell="D287" activePane="bottomRight" state="frozen"/>
      <selection pane="topRight"/>
      <selection pane="bottomLeft"/>
      <selection pane="bottomRight" activeCell="H4" sqref="H4"/>
    </sheetView>
  </sheetViews>
  <sheetFormatPr baseColWidth="10" defaultColWidth="8.796875" defaultRowHeight="13.8"/>
  <cols>
    <col min="1" max="1" width="13.19921875" customWidth="1"/>
    <col min="2" max="2" width="14" customWidth="1"/>
    <col min="3" max="3" width="29.3984375" customWidth="1"/>
    <col min="4" max="4" width="14.69921875" customWidth="1"/>
    <col min="5" max="5" width="39" customWidth="1"/>
    <col min="6" max="6" width="10.8984375" customWidth="1"/>
    <col min="7" max="7" width="27" customWidth="1"/>
    <col min="8" max="8" width="18" customWidth="1"/>
    <col min="9" max="9" width="33.8984375" customWidth="1"/>
    <col min="10" max="10" width="12" customWidth="1"/>
    <col min="11" max="11" width="27" customWidth="1"/>
    <col min="12" max="12" width="18" customWidth="1"/>
    <col min="13" max="13" width="43" customWidth="1"/>
    <col min="14" max="14" width="18" customWidth="1"/>
    <col min="15" max="15" width="27" customWidth="1"/>
    <col min="16" max="18" width="24" customWidth="1"/>
    <col min="19" max="19" width="20" customWidth="1"/>
    <col min="20" max="20" width="48" customWidth="1"/>
    <col min="21" max="21" width="21" customWidth="1"/>
    <col min="22" max="22" width="27" customWidth="1"/>
    <col min="23" max="23" width="24" customWidth="1"/>
  </cols>
  <sheetData>
    <row r="2" spans="1:23" ht="31.05" customHeight="1">
      <c r="A2" s="2" t="s">
        <v>74</v>
      </c>
      <c r="B2" s="1"/>
      <c r="C2" s="1"/>
      <c r="D2" s="1"/>
      <c r="E2" s="1"/>
      <c r="F2" s="1"/>
      <c r="G2" s="1"/>
      <c r="H2" s="1"/>
      <c r="I2" s="1"/>
      <c r="J2" s="1"/>
      <c r="K2" s="1"/>
      <c r="L2" s="1"/>
      <c r="M2" s="1"/>
      <c r="N2" s="1"/>
      <c r="O2" s="1"/>
      <c r="P2" s="1"/>
      <c r="Q2" s="1"/>
      <c r="R2" s="1"/>
      <c r="S2" s="1"/>
      <c r="T2" s="1"/>
      <c r="U2" s="1"/>
      <c r="V2" s="1"/>
      <c r="W2" s="1"/>
    </row>
    <row r="3" spans="1:23" ht="22.05" customHeight="1">
      <c r="A3" s="3" t="s">
        <v>75</v>
      </c>
      <c r="B3" s="1"/>
      <c r="C3" s="1"/>
      <c r="D3" s="1"/>
      <c r="E3" s="1"/>
      <c r="F3" s="1"/>
      <c r="G3" s="1"/>
      <c r="H3" s="1"/>
      <c r="I3" s="1"/>
      <c r="J3" s="1"/>
      <c r="K3" s="1"/>
      <c r="L3" s="1"/>
      <c r="M3" s="1"/>
      <c r="N3" s="1"/>
      <c r="O3" s="1"/>
      <c r="P3" s="1"/>
      <c r="Q3" s="1"/>
      <c r="R3" s="1"/>
      <c r="S3" s="1"/>
      <c r="T3" s="1"/>
      <c r="U3" s="1"/>
      <c r="V3" s="1"/>
      <c r="W3" s="1"/>
    </row>
    <row r="4" spans="1:23" ht="22.05" customHeight="1">
      <c r="A4" s="3" t="s">
        <v>76</v>
      </c>
      <c r="B4" s="1"/>
      <c r="C4" s="1"/>
      <c r="D4" s="1"/>
      <c r="E4" s="1"/>
      <c r="F4" s="1"/>
      <c r="G4" s="1"/>
      <c r="H4" s="1"/>
      <c r="I4" s="1"/>
      <c r="J4" s="1"/>
      <c r="K4" s="1"/>
      <c r="L4" s="1"/>
      <c r="M4" s="1"/>
      <c r="N4" s="1"/>
      <c r="O4" s="1"/>
      <c r="P4" s="1"/>
      <c r="Q4" s="1"/>
      <c r="R4" s="1"/>
      <c r="S4" s="1"/>
      <c r="T4" s="1"/>
      <c r="U4" s="1"/>
      <c r="V4" s="1"/>
      <c r="W4" s="1"/>
    </row>
    <row r="5" spans="1:23" ht="22.05" customHeight="1" thickBot="1">
      <c r="A5" s="3" t="s">
        <v>77</v>
      </c>
      <c r="B5" s="1"/>
      <c r="C5" s="1"/>
      <c r="D5" s="1"/>
      <c r="E5" s="1"/>
      <c r="F5" s="1"/>
      <c r="G5" s="1"/>
      <c r="H5" s="1"/>
      <c r="I5" s="1"/>
      <c r="J5" s="1"/>
      <c r="K5" s="1"/>
      <c r="L5" s="1"/>
      <c r="M5" s="1"/>
      <c r="N5" s="1"/>
      <c r="O5" s="1"/>
      <c r="P5" s="1"/>
      <c r="Q5" s="1"/>
      <c r="R5" s="1"/>
      <c r="S5" s="1"/>
      <c r="T5" s="1"/>
      <c r="U5" s="1"/>
      <c r="V5" s="1"/>
      <c r="W5" s="1"/>
    </row>
    <row r="6" spans="1:23" ht="20.399999999999999" customHeight="1" thickBot="1">
      <c r="A6" s="1"/>
      <c r="B6" s="1"/>
      <c r="C6" s="1"/>
      <c r="D6" s="36" t="s">
        <v>78</v>
      </c>
      <c r="E6" s="37"/>
      <c r="F6" s="37"/>
      <c r="G6" s="38"/>
      <c r="H6" s="36" t="s">
        <v>79</v>
      </c>
      <c r="I6" s="37"/>
      <c r="J6" s="37"/>
      <c r="K6" s="38"/>
      <c r="L6" s="36" t="s">
        <v>80</v>
      </c>
      <c r="M6" s="37"/>
      <c r="N6" s="37"/>
      <c r="O6" s="38"/>
      <c r="P6" s="40" t="s">
        <v>81</v>
      </c>
      <c r="Q6" s="41"/>
      <c r="R6" s="42"/>
      <c r="S6" s="43" t="s">
        <v>82</v>
      </c>
      <c r="T6" s="44"/>
      <c r="U6" s="44"/>
      <c r="V6" s="45"/>
      <c r="W6" s="39" t="s">
        <v>83</v>
      </c>
    </row>
    <row r="7" spans="1:23" ht="43.05" customHeight="1">
      <c r="A7" s="7" t="s">
        <v>84</v>
      </c>
      <c r="B7" s="7" t="s">
        <v>85</v>
      </c>
      <c r="C7" s="7" t="s">
        <v>86</v>
      </c>
      <c r="D7" s="7" t="s">
        <v>87</v>
      </c>
      <c r="E7" s="35" t="s">
        <v>88</v>
      </c>
      <c r="F7" s="7" t="s">
        <v>89</v>
      </c>
      <c r="G7" s="7" t="s">
        <v>90</v>
      </c>
      <c r="H7" s="7" t="s">
        <v>91</v>
      </c>
      <c r="I7" s="7" t="s">
        <v>92</v>
      </c>
      <c r="J7" s="7" t="s">
        <v>93</v>
      </c>
      <c r="K7" s="7" t="s">
        <v>94</v>
      </c>
      <c r="L7" s="7" t="s">
        <v>95</v>
      </c>
      <c r="M7" s="7" t="s">
        <v>96</v>
      </c>
      <c r="N7" s="7" t="s">
        <v>97</v>
      </c>
      <c r="O7" s="7" t="s">
        <v>98</v>
      </c>
      <c r="P7" s="7" t="s">
        <v>99</v>
      </c>
      <c r="Q7" s="7" t="s">
        <v>100</v>
      </c>
      <c r="R7" s="7" t="s">
        <v>101</v>
      </c>
      <c r="S7" s="7" t="s">
        <v>102</v>
      </c>
      <c r="T7" s="7" t="s">
        <v>103</v>
      </c>
      <c r="U7" s="7" t="s">
        <v>104</v>
      </c>
      <c r="V7" s="7" t="s">
        <v>105</v>
      </c>
      <c r="W7" s="7" t="s">
        <v>106</v>
      </c>
    </row>
    <row r="8" spans="1:23" ht="61.95" customHeight="1">
      <c r="A8" s="9" t="s">
        <v>107</v>
      </c>
      <c r="B8" s="9" t="s">
        <v>108</v>
      </c>
      <c r="C8" s="9" t="s">
        <v>109</v>
      </c>
      <c r="D8" s="24" t="str">
        <f>IF(VLOOKUP($A8,Neuquén!$A$8:$O$291,4,FALSE)="","",VLOOKUP($A8,Neuquén!$A$8:$O$291,4,FALSE))</f>
        <v>23</v>
      </c>
      <c r="E8" s="9" t="str">
        <f>IF(VLOOKUP($A8,Neuquén!$A$8:$O$291,5,FALSE)="","",VLOOKUP($A8,Neuquén!$A$8:$O$291,5,FALSE))</f>
        <v>ASPIRINA</v>
      </c>
      <c r="F8" s="9" t="str">
        <f>IF(VLOOKUP($A8,Neuquén!$A$8:$O$291,7,FALSE)="","",VLOOKUP($A8,Neuquén!$A$8:$O$291,7,FALSE))</f>
        <v>Alta</v>
      </c>
      <c r="G8" s="9" t="str">
        <f>IF(VLOOKUP($A8,Neuquén!$A$8:$O$291,6,FALSE)="","",VLOOKUP($A8,Neuquén!$A$8:$O$291,6,FALSE))</f>
        <v>Coincidencia por validar</v>
      </c>
      <c r="H8" s="24" t="str">
        <f>IF(VLOOKUP($A8,'San Juan'!$A$8:$O$291,4,FALSE)="","",VLOOKUP($A8,'San Juan'!$A$8:$O$291,4,FALSE))</f>
        <v>MED4</v>
      </c>
      <c r="I8" s="9" t="str">
        <f>IF(VLOOKUP($A8,'San Juan'!$A$8:$O$291,5,FALSE)="","",VLOOKUP($A8,'San Juan'!$A$8:$O$291,5,FALSE))</f>
        <v>Acido Acetil Salicílico Comp x 100 mg</v>
      </c>
      <c r="J8" s="9" t="str">
        <f>IF(VLOOKUP($A8,'San Juan'!$A$8:$O$291,7,FALSE)="","",VLOOKUP($A8,'San Juan'!$A$8:$O$291,7,FALSE))</f>
        <v>Alta</v>
      </c>
      <c r="K8" s="9" t="str">
        <f>IF(VLOOKUP($A8,'San Juan'!$A$8:$O$291,6,FALSE)="","",VLOOKUP($A8,'San Juan'!$A$8:$O$291,6,FALSE))</f>
        <v>Coincidencia por validar</v>
      </c>
      <c r="L8" s="24" t="str">
        <f>IF(VLOOKUP($A8,Salta!$A$8:$O$291,4,FALSE)="","",VLOOKUP($A8,Salta!$A$8:$O$291,4,FALSE))</f>
        <v>410</v>
      </c>
      <c r="M8" s="9" t="str">
        <f>IF(VLOOKUP($A8,Salta!$A$8:$O$291,5,FALSE)="","",VLOOKUP($A8,Salta!$A$8:$O$291,5,FALSE))</f>
        <v>Aspirina comprimidos 100mg</v>
      </c>
      <c r="N8" s="9" t="str">
        <f>IF(VLOOKUP($A8,Salta!$A$8:$O$291,7,FALSE)="","",VLOOKUP($A8,Salta!$A$8:$O$291,7,FALSE))</f>
        <v>Alta</v>
      </c>
      <c r="O8" s="9" t="str">
        <f>IF(VLOOKUP($A8,Salta!$A$8:$O$291,6,FALSE)="","",VLOOKUP($A8,Salta!$A$8:$O$291,6,FALSE))</f>
        <v>Coincidencia</v>
      </c>
      <c r="P8" s="24" t="str">
        <f>IF(VLOOKUP($A8,Neuquén!$A$8:$O$291,15,FALSE)="Homologado",VLOOKUP($A8,Neuquén!$A$8:$O$291,10,FALSE),"")</f>
        <v/>
      </c>
      <c r="Q8" s="24" t="str">
        <f>IF(VLOOKUP($A8,'San Juan'!$A$8:$O$291,15,FALSE)="Homologado",VLOOKUP($A8,'San Juan'!$A$8:$O$291,10,FALSE),"")</f>
        <v/>
      </c>
      <c r="R8" s="24" t="str">
        <f>IF(VLOOKUP($A8,Salta!$A$8:$O$291,15,FALSE)="Homologado",VLOOKUP($A8,Salta!$A$8:$O$291,10,FALSE),"")</f>
        <v/>
      </c>
      <c r="S8" s="24" t="str">
        <f>IF(VLOOKUP($A8,'Master vs SAP'!$A$8:$O$291,4,FALSE)="","",VLOOKUP($A8,'Master vs SAP'!$A$8:$O$291,4,FALSE))</f>
        <v>1001237
1000802
1000136</v>
      </c>
      <c r="T8" s="9" t="str">
        <f>IF(VLOOKUP($A8,'Master vs SAP'!$A$8:$O$291,5,FALSE)="","",VLOOKUP($A8,'Master vs SAP'!$A$8:$O$291,5,FALSE))</f>
        <v>ACIDO ACETILSALICILICO 100MG
ACIDO ACETILSALICILICO 100MG x 20 COMP
ASPIRINA DE 100 MG</v>
      </c>
      <c r="U8" s="9" t="str">
        <f>IF(VLOOKUP($A8,'Master vs SAP'!$A$8:$O$291,7,FALSE)="","",VLOOKUP($A8,'Master vs SAP'!$A$8:$O$291,7,FALSE))</f>
        <v>Alta</v>
      </c>
      <c r="V8" s="9" t="str">
        <f>IF(VLOOKUP($A8,'Master vs SAP'!$A$8:$O$291,6,FALSE)="","",VLOOKUP($A8,'Master vs SAP'!$A$8:$O$291,6,FALSE))</f>
        <v>Coincidencia</v>
      </c>
      <c r="W8" s="24" t="str">
        <f>IF(VLOOKUP($A8,'Master vs SAP'!$A$8:$O$291,15,FALSE)="Homologado",VLOOKUP($A8,'Master vs SAP'!$A$8:$O$291,10,FALSE),"")</f>
        <v/>
      </c>
    </row>
    <row r="9" spans="1:23" ht="61.95" customHeight="1">
      <c r="A9" s="9" t="s">
        <v>110</v>
      </c>
      <c r="B9" s="9" t="s">
        <v>108</v>
      </c>
      <c r="C9" s="9" t="s">
        <v>111</v>
      </c>
      <c r="D9" s="24" t="str">
        <f>IF(VLOOKUP($A9,Neuquén!$A$8:$O$291,4,FALSE)="","",VLOOKUP($A9,Neuquén!$A$8:$O$291,4,FALSE))</f>
        <v>83</v>
      </c>
      <c r="E9" s="9" t="str">
        <f>IF(VLOOKUP($A9,Neuquén!$A$8:$O$291,5,FALSE)="","",VLOOKUP($A9,Neuquén!$A$8:$O$291,5,FALSE))</f>
        <v>DICLOFENAC75COMP</v>
      </c>
      <c r="F9" s="9" t="str">
        <f>IF(VLOOKUP($A9,Neuquén!$A$8:$O$291,7,FALSE)="","",VLOOKUP($A9,Neuquén!$A$8:$O$291,7,FALSE))</f>
        <v>Alta</v>
      </c>
      <c r="G9" s="9" t="str">
        <f>IF(VLOOKUP($A9,Neuquén!$A$8:$O$291,6,FALSE)="","",VLOOKUP($A9,Neuquén!$A$8:$O$291,6,FALSE))</f>
        <v>Coincidencia por validar</v>
      </c>
      <c r="H9" s="24" t="str">
        <f>IF(VLOOKUP($A9,'San Juan'!$A$8:$O$291,4,FALSE)="","",VLOOKUP($A9,'San Juan'!$A$8:$O$291,4,FALSE))</f>
        <v>DES001</v>
      </c>
      <c r="I9" s="9" t="str">
        <f>IF(VLOOKUP($A9,'San Juan'!$A$8:$O$291,5,FALSE)="","",VLOOKUP($A9,'San Juan'!$A$8:$O$291,5,FALSE))</f>
        <v>Diclofenac Comp x 75mg</v>
      </c>
      <c r="J9" s="9" t="str">
        <f>IF(VLOOKUP($A9,'San Juan'!$A$8:$O$291,7,FALSE)="","",VLOOKUP($A9,'San Juan'!$A$8:$O$291,7,FALSE))</f>
        <v>Alta</v>
      </c>
      <c r="K9" s="9" t="str">
        <f>IF(VLOOKUP($A9,'San Juan'!$A$8:$O$291,6,FALSE)="","",VLOOKUP($A9,'San Juan'!$A$8:$O$291,6,FALSE))</f>
        <v>Coincidencia por validar</v>
      </c>
      <c r="L9" s="24" t="str">
        <f>IF(VLOOKUP($A9,Salta!$A$8:$O$291,4,FALSE)="","",VLOOKUP($A9,Salta!$A$8:$O$291,4,FALSE))</f>
        <v>99</v>
      </c>
      <c r="M9" s="9" t="str">
        <f>IF(VLOOKUP($A9,Salta!$A$8:$O$291,5,FALSE)="","",VLOOKUP($A9,Salta!$A$8:$O$291,5,FALSE))</f>
        <v>Diclofenac Sódico Comprimidos x75mg</v>
      </c>
      <c r="N9" s="9" t="str">
        <f>IF(VLOOKUP($A9,Salta!$A$8:$O$291,7,FALSE)="","",VLOOKUP($A9,Salta!$A$8:$O$291,7,FALSE))</f>
        <v>Alta</v>
      </c>
      <c r="O9" s="9" t="str">
        <f>IF(VLOOKUP($A9,Salta!$A$8:$O$291,6,FALSE)="","",VLOOKUP($A9,Salta!$A$8:$O$291,6,FALSE))</f>
        <v>Coincidencia</v>
      </c>
      <c r="P9" s="24" t="str">
        <f>IF(VLOOKUP($A9,Neuquén!$A$8:$O$291,15,FALSE)="Homologado",VLOOKUP($A9,Neuquén!$A$8:$O$291,10,FALSE),"")</f>
        <v/>
      </c>
      <c r="Q9" s="24" t="str">
        <f>IF(VLOOKUP($A9,'San Juan'!$A$8:$O$291,15,FALSE)="Homologado",VLOOKUP($A9,'San Juan'!$A$8:$O$291,10,FALSE),"")</f>
        <v/>
      </c>
      <c r="R9" s="24" t="str">
        <f>IF(VLOOKUP($A9,Salta!$A$8:$O$291,15,FALSE)="Homologado",VLOOKUP($A9,Salta!$A$8:$O$291,10,FALSE),"")</f>
        <v/>
      </c>
      <c r="S9" s="24" t="str">
        <f>IF(VLOOKUP($A9,'Master vs SAP'!$A$8:$O$291,4,FALSE)="","",VLOOKUP($A9,'Master vs SAP'!$A$8:$O$291,4,FALSE))</f>
        <v>1000125</v>
      </c>
      <c r="T9" s="9" t="str">
        <f>IF(VLOOKUP($A9,'Master vs SAP'!$A$8:$O$291,5,FALSE)="","",VLOOKUP($A9,'Master vs SAP'!$A$8:$O$291,5,FALSE))</f>
        <v>DICLOFENAC 75 MG COMPRIMIDOS</v>
      </c>
      <c r="U9" s="9" t="str">
        <f>IF(VLOOKUP($A9,'Master vs SAP'!$A$8:$O$291,7,FALSE)="","",VLOOKUP($A9,'Master vs SAP'!$A$8:$O$291,7,FALSE))</f>
        <v>Alta</v>
      </c>
      <c r="V9" s="9" t="str">
        <f>IF(VLOOKUP($A9,'Master vs SAP'!$A$8:$O$291,6,FALSE)="","",VLOOKUP($A9,'Master vs SAP'!$A$8:$O$291,6,FALSE))</f>
        <v>Coincidencia</v>
      </c>
      <c r="W9" s="24" t="str">
        <f>IF(VLOOKUP($A9,'Master vs SAP'!$A$8:$O$291,15,FALSE)="Homologado",VLOOKUP($A9,'Master vs SAP'!$A$8:$O$291,10,FALSE),"")</f>
        <v/>
      </c>
    </row>
    <row r="10" spans="1:23" ht="61.95" customHeight="1">
      <c r="A10" s="9" t="s">
        <v>112</v>
      </c>
      <c r="B10" s="9" t="s">
        <v>108</v>
      </c>
      <c r="C10" s="9" t="s">
        <v>113</v>
      </c>
      <c r="D10" s="24" t="str">
        <f>IF(VLOOKUP($A10,Neuquén!$A$8:$O$291,4,FALSE)="","",VLOOKUP($A10,Neuquén!$A$8:$O$291,4,FALSE))</f>
        <v>89</v>
      </c>
      <c r="E10" s="9" t="str">
        <f>IF(VLOOKUP($A10,Neuquén!$A$8:$O$291,5,FALSE)="","",VLOOKUP($A10,Neuquén!$A$8:$O$291,5,FALSE))</f>
        <v>DICLOFENACSODICO75MGAMPOLLA</v>
      </c>
      <c r="F10" s="9" t="str">
        <f>IF(VLOOKUP($A10,Neuquén!$A$8:$O$291,7,FALSE)="","",VLOOKUP($A10,Neuquén!$A$8:$O$291,7,FALSE))</f>
        <v>Media</v>
      </c>
      <c r="G10" s="9" t="str">
        <f>IF(VLOOKUP($A10,Neuquén!$A$8:$O$291,6,FALSE)="","",VLOOKUP($A10,Neuquén!$A$8:$O$291,6,FALSE))</f>
        <v>Equivalencia a revisar</v>
      </c>
      <c r="H10" s="24" t="str">
        <f>IF(VLOOKUP($A10,'San Juan'!$A$8:$O$291,4,FALSE)="","",VLOOKUP($A10,'San Juan'!$A$8:$O$291,4,FALSE))</f>
        <v>MED62</v>
      </c>
      <c r="I10" s="9" t="str">
        <f>IF(VLOOKUP($A10,'San Juan'!$A$8:$O$291,5,FALSE)="","",VLOOKUP($A10,'San Juan'!$A$8:$O$291,5,FALSE))</f>
        <v>Diclofenac 75mg Amp x 3ml</v>
      </c>
      <c r="J10" s="9" t="str">
        <f>IF(VLOOKUP($A10,'San Juan'!$A$8:$O$291,7,FALSE)="","",VLOOKUP($A10,'San Juan'!$A$8:$O$291,7,FALSE))</f>
        <v>Alta</v>
      </c>
      <c r="K10" s="9" t="str">
        <f>IF(VLOOKUP($A10,'San Juan'!$A$8:$O$291,6,FALSE)="","",VLOOKUP($A10,'San Juan'!$A$8:$O$291,6,FALSE))</f>
        <v>Coincidencia por validar</v>
      </c>
      <c r="L10" s="24" t="str">
        <f>IF(VLOOKUP($A10,Salta!$A$8:$O$291,4,FALSE)="","",VLOOKUP($A10,Salta!$A$8:$O$291,4,FALSE))</f>
        <v>97</v>
      </c>
      <c r="M10" s="9" t="str">
        <f>IF(VLOOKUP($A10,Salta!$A$8:$O$291,5,FALSE)="","",VLOOKUP($A10,Salta!$A$8:$O$291,5,FALSE))</f>
        <v>Diclofenac inyectable 1 amp=3ml x 75mg</v>
      </c>
      <c r="N10" s="9" t="str">
        <f>IF(VLOOKUP($A10,Salta!$A$8:$O$291,7,FALSE)="","",VLOOKUP($A10,Salta!$A$8:$O$291,7,FALSE))</f>
        <v>Alta</v>
      </c>
      <c r="O10" s="9" t="str">
        <f>IF(VLOOKUP($A10,Salta!$A$8:$O$291,6,FALSE)="","",VLOOKUP($A10,Salta!$A$8:$O$291,6,FALSE))</f>
        <v>Coincidencia</v>
      </c>
      <c r="P10" s="24" t="str">
        <f>IF(VLOOKUP($A10,Neuquén!$A$8:$O$291,15,FALSE)="Homologado",VLOOKUP($A10,Neuquén!$A$8:$O$291,10,FALSE),"")</f>
        <v/>
      </c>
      <c r="Q10" s="24" t="str">
        <f>IF(VLOOKUP($A10,'San Juan'!$A$8:$O$291,15,FALSE)="Homologado",VLOOKUP($A10,'San Juan'!$A$8:$O$291,10,FALSE),"")</f>
        <v/>
      </c>
      <c r="R10" s="24" t="str">
        <f>IF(VLOOKUP($A10,Salta!$A$8:$O$291,15,FALSE)="Homologado",VLOOKUP($A10,Salta!$A$8:$O$291,10,FALSE),"")</f>
        <v/>
      </c>
      <c r="S10" s="24" t="str">
        <f>IF(VLOOKUP($A10,'Master vs SAP'!$A$8:$O$291,4,FALSE)="","",VLOOKUP($A10,'Master vs SAP'!$A$8:$O$291,4,FALSE))</f>
        <v>1000045</v>
      </c>
      <c r="T10" s="9" t="str">
        <f>IF(VLOOKUP($A10,'Master vs SAP'!$A$8:$O$291,5,FALSE)="","",VLOOKUP($A10,'Master vs SAP'!$A$8:$O$291,5,FALSE))</f>
        <v>DICLOFENAC 75MG AMPOLLA 3ML</v>
      </c>
      <c r="U10" s="9" t="str">
        <f>IF(VLOOKUP($A10,'Master vs SAP'!$A$8:$O$291,7,FALSE)="","",VLOOKUP($A10,'Master vs SAP'!$A$8:$O$291,7,FALSE))</f>
        <v>Alta</v>
      </c>
      <c r="V10" s="9" t="str">
        <f>IF(VLOOKUP($A10,'Master vs SAP'!$A$8:$O$291,6,FALSE)="","",VLOOKUP($A10,'Master vs SAP'!$A$8:$O$291,6,FALSE))</f>
        <v>Coincidencia</v>
      </c>
      <c r="W10" s="24" t="str">
        <f>IF(VLOOKUP($A10,'Master vs SAP'!$A$8:$O$291,15,FALSE)="Homologado",VLOOKUP($A10,'Master vs SAP'!$A$8:$O$291,10,FALSE),"")</f>
        <v/>
      </c>
    </row>
    <row r="11" spans="1:23" ht="61.95" customHeight="1">
      <c r="A11" s="9" t="s">
        <v>114</v>
      </c>
      <c r="B11" s="9" t="s">
        <v>108</v>
      </c>
      <c r="C11" s="9" t="s">
        <v>115</v>
      </c>
      <c r="D11" s="24" t="str">
        <f>IF(VLOOKUP($A11,Neuquén!$A$8:$O$291,4,FALSE)="","",VLOOKUP($A11,Neuquén!$A$8:$O$291,4,FALSE))</f>
        <v>82</v>
      </c>
      <c r="E11" s="9" t="str">
        <f>IF(VLOOKUP($A11,Neuquén!$A$8:$O$291,5,FALSE)="","",VLOOKUP($A11,Neuquén!$A$8:$O$291,5,FALSE))</f>
        <v>DICLOFENAC+PRIDINOL</v>
      </c>
      <c r="F11" s="9" t="str">
        <f>IF(VLOOKUP($A11,Neuquén!$A$8:$O$291,7,FALSE)="","",VLOOKUP($A11,Neuquén!$A$8:$O$291,7,FALSE))</f>
        <v>Alta</v>
      </c>
      <c r="G11" s="9" t="str">
        <f>IF(VLOOKUP($A11,Neuquén!$A$8:$O$291,6,FALSE)="","",VLOOKUP($A11,Neuquén!$A$8:$O$291,6,FALSE))</f>
        <v>Coincidencia por validar</v>
      </c>
      <c r="H11" s="24" t="str">
        <f>IF(VLOOKUP($A11,'San Juan'!$A$8:$O$291,4,FALSE)="","",VLOOKUP($A11,'San Juan'!$A$8:$O$291,4,FALSE))</f>
        <v>MED61</v>
      </c>
      <c r="I11" s="9" t="str">
        <f>IF(VLOOKUP($A11,'San Juan'!$A$8:$O$291,5,FALSE)="","",VLOOKUP($A11,'San Juan'!$A$8:$O$291,5,FALSE))</f>
        <v>Diclofenac + Pridinol Comp x 50/4 mg</v>
      </c>
      <c r="J11" s="9" t="str">
        <f>IF(VLOOKUP($A11,'San Juan'!$A$8:$O$291,7,FALSE)="","",VLOOKUP($A11,'San Juan'!$A$8:$O$291,7,FALSE))</f>
        <v>Alta</v>
      </c>
      <c r="K11" s="9" t="str">
        <f>IF(VLOOKUP($A11,'San Juan'!$A$8:$O$291,6,FALSE)="","",VLOOKUP($A11,'San Juan'!$A$8:$O$291,6,FALSE))</f>
        <v>Coincidencia por validar</v>
      </c>
      <c r="L11" s="24" t="str">
        <f>IF(VLOOKUP($A11,Salta!$A$8:$O$291,4,FALSE)="","",VLOOKUP($A11,Salta!$A$8:$O$291,4,FALSE))</f>
        <v>96</v>
      </c>
      <c r="M11" s="9" t="str">
        <f>IF(VLOOKUP($A11,Salta!$A$8:$O$291,5,FALSE)="","",VLOOKUP($A11,Salta!$A$8:$O$291,5,FALSE))</f>
        <v>Diclofenac + Pridinol Compromidos x50/4mg</v>
      </c>
      <c r="N11" s="9" t="str">
        <f>IF(VLOOKUP($A11,Salta!$A$8:$O$291,7,FALSE)="","",VLOOKUP($A11,Salta!$A$8:$O$291,7,FALSE))</f>
        <v>Alta</v>
      </c>
      <c r="O11" s="9" t="str">
        <f>IF(VLOOKUP($A11,Salta!$A$8:$O$291,6,FALSE)="","",VLOOKUP($A11,Salta!$A$8:$O$291,6,FALSE))</f>
        <v>Coincidencia</v>
      </c>
      <c r="P11" s="24" t="str">
        <f>IF(VLOOKUP($A11,Neuquén!$A$8:$O$291,15,FALSE)="Homologado",VLOOKUP($A11,Neuquén!$A$8:$O$291,10,FALSE),"")</f>
        <v/>
      </c>
      <c r="Q11" s="24" t="str">
        <f>IF(VLOOKUP($A11,'San Juan'!$A$8:$O$291,15,FALSE)="Homologado",VLOOKUP($A11,'San Juan'!$A$8:$O$291,10,FALSE),"")</f>
        <v/>
      </c>
      <c r="R11" s="24" t="str">
        <f>IF(VLOOKUP($A11,Salta!$A$8:$O$291,15,FALSE)="Homologado",VLOOKUP($A11,Salta!$A$8:$O$291,10,FALSE),"")</f>
        <v/>
      </c>
      <c r="S11" s="24" t="str">
        <f>IF(VLOOKUP($A11,'Master vs SAP'!$A$8:$O$291,4,FALSE)="","",VLOOKUP($A11,'Master vs SAP'!$A$8:$O$291,4,FALSE))</f>
        <v>1000889</v>
      </c>
      <c r="T11" s="9" t="str">
        <f>IF(VLOOKUP($A11,'Master vs SAP'!$A$8:$O$291,5,FALSE)="","",VLOOKUP($A11,'Master vs SAP'!$A$8:$O$291,5,FALSE))</f>
        <v>DICLOFENAC+PRIDINOL COMPRIMIDOS</v>
      </c>
      <c r="U11" s="9" t="str">
        <f>IF(VLOOKUP($A11,'Master vs SAP'!$A$8:$O$291,7,FALSE)="","",VLOOKUP($A11,'Master vs SAP'!$A$8:$O$291,7,FALSE))</f>
        <v>Alta</v>
      </c>
      <c r="V11" s="9" t="str">
        <f>IF(VLOOKUP($A11,'Master vs SAP'!$A$8:$O$291,6,FALSE)="","",VLOOKUP($A11,'Master vs SAP'!$A$8:$O$291,6,FALSE))</f>
        <v>Coincidencia</v>
      </c>
      <c r="W11" s="24" t="str">
        <f>IF(VLOOKUP($A11,'Master vs SAP'!$A$8:$O$291,15,FALSE)="Homologado",VLOOKUP($A11,'Master vs SAP'!$A$8:$O$291,10,FALSE),"")</f>
        <v/>
      </c>
    </row>
    <row r="12" spans="1:23" ht="61.95" customHeight="1">
      <c r="A12" s="9" t="s">
        <v>116</v>
      </c>
      <c r="B12" s="9" t="s">
        <v>108</v>
      </c>
      <c r="C12" s="9" t="s">
        <v>117</v>
      </c>
      <c r="D12" s="24" t="str">
        <f>IF(VLOOKUP($A12,Neuquén!$A$8:$O$291,4,FALSE)="","",VLOOKUP($A12,Neuquén!$A$8:$O$291,4,FALSE))</f>
        <v>396</v>
      </c>
      <c r="E12" s="9" t="str">
        <f>IF(VLOOKUP($A12,Neuquén!$A$8:$O$291,5,FALSE)="","",VLOOKUP($A12,Neuquén!$A$8:$O$291,5,FALSE))</f>
        <v>IBUPROFENO600MGCOMPRECUBIERTOS</v>
      </c>
      <c r="F12" s="9" t="str">
        <f>IF(VLOOKUP($A12,Neuquén!$A$8:$O$291,7,FALSE)="","",VLOOKUP($A12,Neuquén!$A$8:$O$291,7,FALSE))</f>
        <v>Media</v>
      </c>
      <c r="G12" s="9" t="str">
        <f>IF(VLOOKUP($A12,Neuquén!$A$8:$O$291,6,FALSE)="","",VLOOKUP($A12,Neuquén!$A$8:$O$291,6,FALSE))</f>
        <v>Equivalencia a revisar</v>
      </c>
      <c r="H12" s="24" t="str">
        <f>IF(VLOOKUP($A12,'San Juan'!$A$8:$O$291,4,FALSE)="","",VLOOKUP($A12,'San Juan'!$A$8:$O$291,4,FALSE))</f>
        <v>MED102</v>
      </c>
      <c r="I12" s="9" t="str">
        <f>IF(VLOOKUP($A12,'San Juan'!$A$8:$O$291,5,FALSE)="","",VLOOKUP($A12,'San Juan'!$A$8:$O$291,5,FALSE))</f>
        <v>Ibuprofeno Comp x 600 mg</v>
      </c>
      <c r="J12" s="9" t="str">
        <f>IF(VLOOKUP($A12,'San Juan'!$A$8:$O$291,7,FALSE)="","",VLOOKUP($A12,'San Juan'!$A$8:$O$291,7,FALSE))</f>
        <v>Alta</v>
      </c>
      <c r="K12" s="9" t="str">
        <f>IF(VLOOKUP($A12,'San Juan'!$A$8:$O$291,6,FALSE)="","",VLOOKUP($A12,'San Juan'!$A$8:$O$291,6,FALSE))</f>
        <v>Coincidencia por validar</v>
      </c>
      <c r="L12" s="24" t="str">
        <f>IF(VLOOKUP($A12,Salta!$A$8:$O$291,4,FALSE)="","",VLOOKUP($A12,Salta!$A$8:$O$291,4,FALSE))</f>
        <v>150</v>
      </c>
      <c r="M12" s="9" t="str">
        <f>IF(VLOOKUP($A12,Salta!$A$8:$O$291,5,FALSE)="","",VLOOKUP($A12,Salta!$A$8:$O$291,5,FALSE))</f>
        <v>Ibuprofeno Comprimidos x 600mg</v>
      </c>
      <c r="N12" s="9" t="str">
        <f>IF(VLOOKUP($A12,Salta!$A$8:$O$291,7,FALSE)="","",VLOOKUP($A12,Salta!$A$8:$O$291,7,FALSE))</f>
        <v>Alta</v>
      </c>
      <c r="O12" s="9" t="str">
        <f>IF(VLOOKUP($A12,Salta!$A$8:$O$291,6,FALSE)="","",VLOOKUP($A12,Salta!$A$8:$O$291,6,FALSE))</f>
        <v>Coincidencia</v>
      </c>
      <c r="P12" s="24" t="str">
        <f>IF(VLOOKUP($A12,Neuquén!$A$8:$O$291,15,FALSE)="Homologado",VLOOKUP($A12,Neuquén!$A$8:$O$291,10,FALSE),"")</f>
        <v/>
      </c>
      <c r="Q12" s="24" t="str">
        <f>IF(VLOOKUP($A12,'San Juan'!$A$8:$O$291,15,FALSE)="Homologado",VLOOKUP($A12,'San Juan'!$A$8:$O$291,10,FALSE),"")</f>
        <v/>
      </c>
      <c r="R12" s="24" t="str">
        <f>IF(VLOOKUP($A12,Salta!$A$8:$O$291,15,FALSE)="Homologado",VLOOKUP($A12,Salta!$A$8:$O$291,10,FALSE),"")</f>
        <v/>
      </c>
      <c r="S12" s="24" t="str">
        <f>IF(VLOOKUP($A12,'Master vs SAP'!$A$8:$O$291,4,FALSE)="","",VLOOKUP($A12,'Master vs SAP'!$A$8:$O$291,4,FALSE))</f>
        <v>1000124</v>
      </c>
      <c r="T12" s="9" t="str">
        <f>IF(VLOOKUP($A12,'Master vs SAP'!$A$8:$O$291,5,FALSE)="","",VLOOKUP($A12,'Master vs SAP'!$A$8:$O$291,5,FALSE))</f>
        <v>IBUPROFENO COMP 600MG</v>
      </c>
      <c r="U12" s="9" t="str">
        <f>IF(VLOOKUP($A12,'Master vs SAP'!$A$8:$O$291,7,FALSE)="","",VLOOKUP($A12,'Master vs SAP'!$A$8:$O$291,7,FALSE))</f>
        <v>Alta</v>
      </c>
      <c r="V12" s="9" t="str">
        <f>IF(VLOOKUP($A12,'Master vs SAP'!$A$8:$O$291,6,FALSE)="","",VLOOKUP($A12,'Master vs SAP'!$A$8:$O$291,6,FALSE))</f>
        <v>Coincidencia</v>
      </c>
      <c r="W12" s="24" t="str">
        <f>IF(VLOOKUP($A12,'Master vs SAP'!$A$8:$O$291,15,FALSE)="Homologado",VLOOKUP($A12,'Master vs SAP'!$A$8:$O$291,10,FALSE),"")</f>
        <v/>
      </c>
    </row>
    <row r="13" spans="1:23" ht="61.95" customHeight="1">
      <c r="A13" s="9" t="s">
        <v>118</v>
      </c>
      <c r="B13" s="9" t="s">
        <v>108</v>
      </c>
      <c r="C13" s="9" t="s">
        <v>119</v>
      </c>
      <c r="D13" s="24" t="str">
        <f>IF(VLOOKUP($A13,Neuquén!$A$8:$O$291,4,FALSE)="","",VLOOKUP($A13,Neuquén!$A$8:$O$291,4,FALSE))</f>
        <v>147</v>
      </c>
      <c r="E13" s="9" t="str">
        <f>IF(VLOOKUP($A13,Neuquén!$A$8:$O$291,5,FALSE)="","",VLOOKUP($A13,Neuquén!$A$8:$O$291,5,FALSE))</f>
        <v>KETOROLAC</v>
      </c>
      <c r="F13" s="9" t="str">
        <f>IF(VLOOKUP($A13,Neuquén!$A$8:$O$291,7,FALSE)="","",VLOOKUP($A13,Neuquén!$A$8:$O$291,7,FALSE))</f>
        <v>Media</v>
      </c>
      <c r="G13" s="9" t="str">
        <f>IF(VLOOKUP($A13,Neuquén!$A$8:$O$291,6,FALSE)="","",VLOOKUP($A13,Neuquén!$A$8:$O$291,6,FALSE))</f>
        <v>Código compartido: revisar</v>
      </c>
      <c r="H13" s="24" t="str">
        <f>IF(VLOOKUP($A13,'San Juan'!$A$8:$O$291,4,FALSE)="","",VLOOKUP($A13,'San Juan'!$A$8:$O$291,4,FALSE))</f>
        <v>MED110</v>
      </c>
      <c r="I13" s="9" t="str">
        <f>IF(VLOOKUP($A13,'San Juan'!$A$8:$O$291,5,FALSE)="","",VLOOKUP($A13,'San Juan'!$A$8:$O$291,5,FALSE))</f>
        <v>Ketorolac Comp SL X 10 mg</v>
      </c>
      <c r="J13" s="9" t="str">
        <f>IF(VLOOKUP($A13,'San Juan'!$A$8:$O$291,7,FALSE)="","",VLOOKUP($A13,'San Juan'!$A$8:$O$291,7,FALSE))</f>
        <v>Alta</v>
      </c>
      <c r="K13" s="9" t="str">
        <f>IF(VLOOKUP($A13,'San Juan'!$A$8:$O$291,6,FALSE)="","",VLOOKUP($A13,'San Juan'!$A$8:$O$291,6,FALSE))</f>
        <v>Coincidencia por validar</v>
      </c>
      <c r="L13" s="24" t="str">
        <f>IF(VLOOKUP($A13,Salta!$A$8:$O$291,4,FALSE)="","",VLOOKUP($A13,Salta!$A$8:$O$291,4,FALSE))</f>
        <v>162</v>
      </c>
      <c r="M13" s="9" t="str">
        <f>IF(VLOOKUP($A13,Salta!$A$8:$O$291,5,FALSE)="","",VLOOKUP($A13,Salta!$A$8:$O$291,5,FALSE))</f>
        <v>Ketorolac S/L Comprimidos x 10mg sl</v>
      </c>
      <c r="N13" s="9" t="str">
        <f>IF(VLOOKUP($A13,Salta!$A$8:$O$291,7,FALSE)="","",VLOOKUP($A13,Salta!$A$8:$O$291,7,FALSE))</f>
        <v>Alta</v>
      </c>
      <c r="O13" s="9" t="str">
        <f>IF(VLOOKUP($A13,Salta!$A$8:$O$291,6,FALSE)="","",VLOOKUP($A13,Salta!$A$8:$O$291,6,FALSE))</f>
        <v>Coincidencia</v>
      </c>
      <c r="P13" s="24" t="str">
        <f>IF(VLOOKUP($A13,Neuquén!$A$8:$O$291,15,FALSE)="Homologado",VLOOKUP($A13,Neuquén!$A$8:$O$291,10,FALSE),"")</f>
        <v/>
      </c>
      <c r="Q13" s="24" t="str">
        <f>IF(VLOOKUP($A13,'San Juan'!$A$8:$O$291,15,FALSE)="Homologado",VLOOKUP($A13,'San Juan'!$A$8:$O$291,10,FALSE),"")</f>
        <v/>
      </c>
      <c r="R13" s="24" t="str">
        <f>IF(VLOOKUP($A13,Salta!$A$8:$O$291,15,FALSE)="Homologado",VLOOKUP($A13,Salta!$A$8:$O$291,10,FALSE),"")</f>
        <v/>
      </c>
      <c r="S13" s="24" t="str">
        <f>IF(VLOOKUP($A13,'Master vs SAP'!$A$8:$O$291,4,FALSE)="","",VLOOKUP($A13,'Master vs SAP'!$A$8:$O$291,4,FALSE))</f>
        <v>1000129</v>
      </c>
      <c r="T13" s="9" t="str">
        <f>IF(VLOOKUP($A13,'Master vs SAP'!$A$8:$O$291,5,FALSE)="","",VLOOKUP($A13,'Master vs SAP'!$A$8:$O$291,5,FALSE))</f>
        <v>KETOROLAC 10MG SUBLINGUAL</v>
      </c>
      <c r="U13" s="9" t="str">
        <f>IF(VLOOKUP($A13,'Master vs SAP'!$A$8:$O$291,7,FALSE)="","",VLOOKUP($A13,'Master vs SAP'!$A$8:$O$291,7,FALSE))</f>
        <v>Alta</v>
      </c>
      <c r="V13" s="9" t="str">
        <f>IF(VLOOKUP($A13,'Master vs SAP'!$A$8:$O$291,6,FALSE)="","",VLOOKUP($A13,'Master vs SAP'!$A$8:$O$291,6,FALSE))</f>
        <v>Coincidencia</v>
      </c>
      <c r="W13" s="24" t="str">
        <f>IF(VLOOKUP($A13,'Master vs SAP'!$A$8:$O$291,15,FALSE)="Homologado",VLOOKUP($A13,'Master vs SAP'!$A$8:$O$291,10,FALSE),"")</f>
        <v/>
      </c>
    </row>
    <row r="14" spans="1:23" ht="61.95" customHeight="1">
      <c r="A14" s="9" t="s">
        <v>120</v>
      </c>
      <c r="B14" s="9" t="s">
        <v>108</v>
      </c>
      <c r="C14" s="9" t="s">
        <v>121</v>
      </c>
      <c r="D14" s="24" t="str">
        <f>IF(VLOOKUP($A14,Neuquén!$A$8:$O$291,4,FALSE)="","",VLOOKUP($A14,Neuquén!$A$8:$O$291,4,FALSE))</f>
        <v>147</v>
      </c>
      <c r="E14" s="9" t="str">
        <f>IF(VLOOKUP($A14,Neuquén!$A$8:$O$291,5,FALSE)="","",VLOOKUP($A14,Neuquén!$A$8:$O$291,5,FALSE))</f>
        <v>KETOROLAC</v>
      </c>
      <c r="F14" s="9" t="str">
        <f>IF(VLOOKUP($A14,Neuquén!$A$8:$O$291,7,FALSE)="","",VLOOKUP($A14,Neuquén!$A$8:$O$291,7,FALSE))</f>
        <v>Media</v>
      </c>
      <c r="G14" s="9" t="str">
        <f>IF(VLOOKUP($A14,Neuquén!$A$8:$O$291,6,FALSE)="","",VLOOKUP($A14,Neuquén!$A$8:$O$291,6,FALSE))</f>
        <v>Código compartido: revisar</v>
      </c>
      <c r="H14" s="24" t="str">
        <f>IF(VLOOKUP($A14,'San Juan'!$A$8:$O$291,4,FALSE)="","",VLOOKUP($A14,'San Juan'!$A$8:$O$291,4,FALSE))</f>
        <v>MED109</v>
      </c>
      <c r="I14" s="9" t="str">
        <f>IF(VLOOKUP($A14,'San Juan'!$A$8:$O$291,5,FALSE)="","",VLOOKUP($A14,'San Juan'!$A$8:$O$291,5,FALSE))</f>
        <v>Ketorolac 30mg Amp x 1 ml</v>
      </c>
      <c r="J14" s="9" t="str">
        <f>IF(VLOOKUP($A14,'San Juan'!$A$8:$O$291,7,FALSE)="","",VLOOKUP($A14,'San Juan'!$A$8:$O$291,7,FALSE))</f>
        <v>Alta</v>
      </c>
      <c r="K14" s="9" t="str">
        <f>IF(VLOOKUP($A14,'San Juan'!$A$8:$O$291,6,FALSE)="","",VLOOKUP($A14,'San Juan'!$A$8:$O$291,6,FALSE))</f>
        <v>Coincidencia por validar</v>
      </c>
      <c r="L14" s="24" t="str">
        <f>IF(VLOOKUP($A14,Salta!$A$8:$O$291,4,FALSE)="","",VLOOKUP($A14,Salta!$A$8:$O$291,4,FALSE))</f>
        <v>160</v>
      </c>
      <c r="M14" s="9" t="str">
        <f>IF(VLOOKUP($A14,Salta!$A$8:$O$291,5,FALSE)="","",VLOOKUP($A14,Salta!$A$8:$O$291,5,FALSE))</f>
        <v>Ketorolac 1 amp=30 mgr x 1ml</v>
      </c>
      <c r="N14" s="9" t="str">
        <f>IF(VLOOKUP($A14,Salta!$A$8:$O$291,7,FALSE)="","",VLOOKUP($A14,Salta!$A$8:$O$291,7,FALSE))</f>
        <v>Alta</v>
      </c>
      <c r="O14" s="9" t="str">
        <f>IF(VLOOKUP($A14,Salta!$A$8:$O$291,6,FALSE)="","",VLOOKUP($A14,Salta!$A$8:$O$291,6,FALSE))</f>
        <v>Coincidencia</v>
      </c>
      <c r="P14" s="24" t="str">
        <f>IF(VLOOKUP($A14,Neuquén!$A$8:$O$291,15,FALSE)="Homologado",VLOOKUP($A14,Neuquén!$A$8:$O$291,10,FALSE),"")</f>
        <v/>
      </c>
      <c r="Q14" s="24" t="str">
        <f>IF(VLOOKUP($A14,'San Juan'!$A$8:$O$291,15,FALSE)="Homologado",VLOOKUP($A14,'San Juan'!$A$8:$O$291,10,FALSE),"")</f>
        <v/>
      </c>
      <c r="R14" s="24" t="str">
        <f>IF(VLOOKUP($A14,Salta!$A$8:$O$291,15,FALSE)="Homologado",VLOOKUP($A14,Salta!$A$8:$O$291,10,FALSE),"")</f>
        <v/>
      </c>
      <c r="S14" s="24" t="str">
        <f>IF(VLOOKUP($A14,'Master vs SAP'!$A$8:$O$291,4,FALSE)="","",VLOOKUP($A14,'Master vs SAP'!$A$8:$O$291,4,FALSE))</f>
        <v>1000196</v>
      </c>
      <c r="T14" s="9" t="str">
        <f>IF(VLOOKUP($A14,'Master vs SAP'!$A$8:$O$291,5,FALSE)="","",VLOOKUP($A14,'Master vs SAP'!$A$8:$O$291,5,FALSE))</f>
        <v>KETOROLAC 30 MG/1ML AMP</v>
      </c>
      <c r="U14" s="9" t="str">
        <f>IF(VLOOKUP($A14,'Master vs SAP'!$A$8:$O$291,7,FALSE)="","",VLOOKUP($A14,'Master vs SAP'!$A$8:$O$291,7,FALSE))</f>
        <v>Alta</v>
      </c>
      <c r="V14" s="9" t="str">
        <f>IF(VLOOKUP($A14,'Master vs SAP'!$A$8:$O$291,6,FALSE)="","",VLOOKUP($A14,'Master vs SAP'!$A$8:$O$291,6,FALSE))</f>
        <v>Coincidencia</v>
      </c>
      <c r="W14" s="24" t="str">
        <f>IF(VLOOKUP($A14,'Master vs SAP'!$A$8:$O$291,15,FALSE)="Homologado",VLOOKUP($A14,'Master vs SAP'!$A$8:$O$291,10,FALSE),"")</f>
        <v/>
      </c>
    </row>
    <row r="15" spans="1:23" ht="61.95" customHeight="1">
      <c r="A15" s="9" t="s">
        <v>122</v>
      </c>
      <c r="B15" s="9" t="s">
        <v>108</v>
      </c>
      <c r="C15" s="9" t="s">
        <v>123</v>
      </c>
      <c r="D15" s="24" t="str">
        <f>IF(VLOOKUP($A15,Neuquén!$A$8:$O$291,4,FALSE)="","",VLOOKUP($A15,Neuquén!$A$8:$O$291,4,FALSE))</f>
        <v>179</v>
      </c>
      <c r="E15" s="9" t="str">
        <f>IF(VLOOKUP($A15,Neuquén!$A$8:$O$291,5,FALSE)="","",VLOOKUP($A15,Neuquén!$A$8:$O$291,5,FALSE))</f>
        <v>PARACETAMOL500MG</v>
      </c>
      <c r="F15" s="9" t="str">
        <f>IF(VLOOKUP($A15,Neuquén!$A$8:$O$291,7,FALSE)="","",VLOOKUP($A15,Neuquén!$A$8:$O$291,7,FALSE))</f>
        <v>Alta</v>
      </c>
      <c r="G15" s="9" t="str">
        <f>IF(VLOOKUP($A15,Neuquén!$A$8:$O$291,6,FALSE)="","",VLOOKUP($A15,Neuquén!$A$8:$O$291,6,FALSE))</f>
        <v>Coincidencia por validar</v>
      </c>
      <c r="H15" s="24" t="str">
        <f>IF(VLOOKUP($A15,'San Juan'!$A$8:$O$291,4,FALSE)="","",VLOOKUP($A15,'San Juan'!$A$8:$O$291,4,FALSE))</f>
        <v>MED150</v>
      </c>
      <c r="I15" s="9" t="str">
        <f>IF(VLOOKUP($A15,'San Juan'!$A$8:$O$291,5,FALSE)="","",VLOOKUP($A15,'San Juan'!$A$8:$O$291,5,FALSE))</f>
        <v>Paracetamol Comp x 1 gr</v>
      </c>
      <c r="J15" s="9" t="str">
        <f>IF(VLOOKUP($A15,'San Juan'!$A$8:$O$291,7,FALSE)="","",VLOOKUP($A15,'San Juan'!$A$8:$O$291,7,FALSE))</f>
        <v>Baja</v>
      </c>
      <c r="K15" s="9" t="str">
        <f>IF(VLOOKUP($A15,'San Juan'!$A$8:$O$291,6,FALSE)="","",VLOOKUP($A15,'San Juan'!$A$8:$O$291,6,FALSE))</f>
        <v>Revisar presentación</v>
      </c>
      <c r="L15" s="24" t="str">
        <f>IF(VLOOKUP($A15,Salta!$A$8:$O$291,4,FALSE)="","",VLOOKUP($A15,Salta!$A$8:$O$291,4,FALSE))</f>
        <v>198</v>
      </c>
      <c r="M15" s="9" t="str">
        <f>IF(VLOOKUP($A15,Salta!$A$8:$O$291,5,FALSE)="","",VLOOKUP($A15,Salta!$A$8:$O$291,5,FALSE))</f>
        <v>Paracetamol comprimidos 500mg</v>
      </c>
      <c r="N15" s="9" t="str">
        <f>IF(VLOOKUP($A15,Salta!$A$8:$O$291,7,FALSE)="","",VLOOKUP($A15,Salta!$A$8:$O$291,7,FALSE))</f>
        <v>Alta</v>
      </c>
      <c r="O15" s="9" t="str">
        <f>IF(VLOOKUP($A15,Salta!$A$8:$O$291,6,FALSE)="","",VLOOKUP($A15,Salta!$A$8:$O$291,6,FALSE))</f>
        <v>Coincidencia</v>
      </c>
      <c r="P15" s="24" t="str">
        <f>IF(VLOOKUP($A15,Neuquén!$A$8:$O$291,15,FALSE)="Homologado",VLOOKUP($A15,Neuquén!$A$8:$O$291,10,FALSE),"")</f>
        <v/>
      </c>
      <c r="Q15" s="24" t="str">
        <f>IF(VLOOKUP($A15,'San Juan'!$A$8:$O$291,15,FALSE)="Homologado",VLOOKUP($A15,'San Juan'!$A$8:$O$291,10,FALSE),"")</f>
        <v/>
      </c>
      <c r="R15" s="24" t="str">
        <f>IF(VLOOKUP($A15,Salta!$A$8:$O$291,15,FALSE)="Homologado",VLOOKUP($A15,Salta!$A$8:$O$291,10,FALSE),"")</f>
        <v/>
      </c>
      <c r="S15" s="24" t="str">
        <f>IF(VLOOKUP($A15,'Master vs SAP'!$A$8:$O$291,4,FALSE)="","",VLOOKUP($A15,'Master vs SAP'!$A$8:$O$291,4,FALSE))</f>
        <v>1000470</v>
      </c>
      <c r="T15" s="9" t="str">
        <f>IF(VLOOKUP($A15,'Master vs SAP'!$A$8:$O$291,5,FALSE)="","",VLOOKUP($A15,'Master vs SAP'!$A$8:$O$291,5,FALSE))</f>
        <v>PARACETAMOL COMP 1 GRAMO</v>
      </c>
      <c r="U15" s="9" t="str">
        <f>IF(VLOOKUP($A15,'Master vs SAP'!$A$8:$O$291,7,FALSE)="","",VLOOKUP($A15,'Master vs SAP'!$A$8:$O$291,7,FALSE))</f>
        <v>Baja</v>
      </c>
      <c r="V15" s="9" t="str">
        <f>IF(VLOOKUP($A15,'Master vs SAP'!$A$8:$O$291,6,FALSE)="","",VLOOKUP($A15,'Master vs SAP'!$A$8:$O$291,6,FALSE))</f>
        <v>Revisar presentación</v>
      </c>
      <c r="W15" s="24" t="str">
        <f>IF(VLOOKUP($A15,'Master vs SAP'!$A$8:$O$291,15,FALSE)="Homologado",VLOOKUP($A15,'Master vs SAP'!$A$8:$O$291,10,FALSE),"")</f>
        <v/>
      </c>
    </row>
    <row r="16" spans="1:23" ht="61.95" customHeight="1">
      <c r="A16" s="9" t="s">
        <v>124</v>
      </c>
      <c r="B16" s="9" t="s">
        <v>108</v>
      </c>
      <c r="C16" s="9" t="s">
        <v>125</v>
      </c>
      <c r="D16" s="24" t="str">
        <f>IF(VLOOKUP($A16,Neuquén!$A$8:$O$291,4,FALSE)="","",VLOOKUP($A16,Neuquén!$A$8:$O$291,4,FALSE))</f>
        <v>94</v>
      </c>
      <c r="E16" s="9" t="str">
        <f>IF(VLOOKUP($A16,Neuquén!$A$8:$O$291,5,FALSE)="","",VLOOKUP($A16,Neuquén!$A$8:$O$291,5,FALSE))</f>
        <v>DIPIRONACOMP</v>
      </c>
      <c r="F16" s="9" t="str">
        <f>IF(VLOOKUP($A16,Neuquén!$A$8:$O$291,7,FALSE)="","",VLOOKUP($A16,Neuquén!$A$8:$O$291,7,FALSE))</f>
        <v>Media</v>
      </c>
      <c r="G16" s="9" t="str">
        <f>IF(VLOOKUP($A16,Neuquén!$A$8:$O$291,6,FALSE)="","",VLOOKUP($A16,Neuquén!$A$8:$O$291,6,FALSE))</f>
        <v>Equivalencia a revisar</v>
      </c>
      <c r="H16" s="24" t="str">
        <f>IF(VLOOKUP($A16,'San Juan'!$A$8:$O$291,4,FALSE)="","",VLOOKUP($A16,'San Juan'!$A$8:$O$291,4,FALSE))</f>
        <v/>
      </c>
      <c r="I16" s="9" t="str">
        <f>IF(VLOOKUP($A16,'San Juan'!$A$8:$O$291,5,FALSE)="","",VLOOKUP($A16,'San Juan'!$A$8:$O$291,5,FALSE))</f>
        <v/>
      </c>
      <c r="J16" s="9" t="str">
        <f>IF(VLOOKUP($A16,'San Juan'!$A$8:$O$291,7,FALSE)="","",VLOOKUP($A16,'San Juan'!$A$8:$O$291,7,FALSE))</f>
        <v>Sin coincidencia</v>
      </c>
      <c r="K16" s="9" t="str">
        <f>IF(VLOOKUP($A16,'San Juan'!$A$8:$O$291,6,FALSE)="","",VLOOKUP($A16,'San Juan'!$A$8:$O$291,6,FALSE))</f>
        <v>Sin código encontrado</v>
      </c>
      <c r="L16" s="24" t="str">
        <f>IF(VLOOKUP($A16,Salta!$A$8:$O$291,4,FALSE)="","",VLOOKUP($A16,Salta!$A$8:$O$291,4,FALSE))</f>
        <v>105</v>
      </c>
      <c r="M16" s="9" t="str">
        <f>IF(VLOOKUP($A16,Salta!$A$8:$O$291,5,FALSE)="","",VLOOKUP($A16,Salta!$A$8:$O$291,5,FALSE))</f>
        <v>Dipirona comprimidos x500mg</v>
      </c>
      <c r="N16" s="9" t="str">
        <f>IF(VLOOKUP($A16,Salta!$A$8:$O$291,7,FALSE)="","",VLOOKUP($A16,Salta!$A$8:$O$291,7,FALSE))</f>
        <v>Alta</v>
      </c>
      <c r="O16" s="9" t="str">
        <f>IF(VLOOKUP($A16,Salta!$A$8:$O$291,6,FALSE)="","",VLOOKUP($A16,Salta!$A$8:$O$291,6,FALSE))</f>
        <v>Coincidencia</v>
      </c>
      <c r="P16" s="24" t="str">
        <f>IF(VLOOKUP($A16,Neuquén!$A$8:$O$291,15,FALSE)="Homologado",VLOOKUP($A16,Neuquén!$A$8:$O$291,10,FALSE),"")</f>
        <v/>
      </c>
      <c r="Q16" s="24" t="str">
        <f>IF(VLOOKUP($A16,'San Juan'!$A$8:$O$291,15,FALSE)="Homologado",VLOOKUP($A16,'San Juan'!$A$8:$O$291,10,FALSE),"")</f>
        <v/>
      </c>
      <c r="R16" s="24" t="str">
        <f>IF(VLOOKUP($A16,Salta!$A$8:$O$291,15,FALSE)="Homologado",VLOOKUP($A16,Salta!$A$8:$O$291,10,FALSE),"")</f>
        <v/>
      </c>
      <c r="S16" s="24" t="str">
        <f>IF(VLOOKUP($A16,'Master vs SAP'!$A$8:$O$291,4,FALSE)="","",VLOOKUP($A16,'Master vs SAP'!$A$8:$O$291,4,FALSE))</f>
        <v>1005149</v>
      </c>
      <c r="T16" s="9" t="str">
        <f>IF(VLOOKUP($A16,'Master vs SAP'!$A$8:$O$291,5,FALSE)="","",VLOOKUP($A16,'Master vs SAP'!$A$8:$O$291,5,FALSE))</f>
        <v>DIPIRONA 500MG COMPRIMIDOS</v>
      </c>
      <c r="U16" s="9" t="str">
        <f>IF(VLOOKUP($A16,'Master vs SAP'!$A$8:$O$291,7,FALSE)="","",VLOOKUP($A16,'Master vs SAP'!$A$8:$O$291,7,FALSE))</f>
        <v>Alta</v>
      </c>
      <c r="V16" s="9" t="str">
        <f>IF(VLOOKUP($A16,'Master vs SAP'!$A$8:$O$291,6,FALSE)="","",VLOOKUP($A16,'Master vs SAP'!$A$8:$O$291,6,FALSE))</f>
        <v>Coincidencia</v>
      </c>
      <c r="W16" s="24" t="str">
        <f>IF(VLOOKUP($A16,'Master vs SAP'!$A$8:$O$291,15,FALSE)="Homologado",VLOOKUP($A16,'Master vs SAP'!$A$8:$O$291,10,FALSE),"")</f>
        <v/>
      </c>
    </row>
    <row r="17" spans="1:23" ht="61.95" customHeight="1">
      <c r="A17" s="9" t="s">
        <v>126</v>
      </c>
      <c r="B17" s="9" t="s">
        <v>108</v>
      </c>
      <c r="C17" s="9" t="s">
        <v>127</v>
      </c>
      <c r="D17" s="24" t="str">
        <f>IF(VLOOKUP($A17,Neuquén!$A$8:$O$291,4,FALSE)="","",VLOOKUP($A17,Neuquén!$A$8:$O$291,4,FALSE))</f>
        <v>93</v>
      </c>
      <c r="E17" s="9" t="str">
        <f>IF(VLOOKUP($A17,Neuquén!$A$8:$O$291,5,FALSE)="","",VLOOKUP($A17,Neuquén!$A$8:$O$291,5,FALSE))</f>
        <v>DIPIRONAAMP</v>
      </c>
      <c r="F17" s="9" t="str">
        <f>IF(VLOOKUP($A17,Neuquén!$A$8:$O$291,7,FALSE)="","",VLOOKUP($A17,Neuquén!$A$8:$O$291,7,FALSE))</f>
        <v>Media</v>
      </c>
      <c r="G17" s="9" t="str">
        <f>IF(VLOOKUP($A17,Neuquén!$A$8:$O$291,6,FALSE)="","",VLOOKUP($A17,Neuquén!$A$8:$O$291,6,FALSE))</f>
        <v>Equivalencia a revisar</v>
      </c>
      <c r="H17" s="24" t="str">
        <f>IF(VLOOKUP($A17,'San Juan'!$A$8:$O$291,4,FALSE)="","",VLOOKUP($A17,'San Juan'!$A$8:$O$291,4,FALSE))</f>
        <v/>
      </c>
      <c r="I17" s="9" t="str">
        <f>IF(VLOOKUP($A17,'San Juan'!$A$8:$O$291,5,FALSE)="","",VLOOKUP($A17,'San Juan'!$A$8:$O$291,5,FALSE))</f>
        <v/>
      </c>
      <c r="J17" s="9" t="str">
        <f>IF(VLOOKUP($A17,'San Juan'!$A$8:$O$291,7,FALSE)="","",VLOOKUP($A17,'San Juan'!$A$8:$O$291,7,FALSE))</f>
        <v>Sin coincidencia</v>
      </c>
      <c r="K17" s="9" t="str">
        <f>IF(VLOOKUP($A17,'San Juan'!$A$8:$O$291,6,FALSE)="","",VLOOKUP($A17,'San Juan'!$A$8:$O$291,6,FALSE))</f>
        <v>Sin código encontrado</v>
      </c>
      <c r="L17" s="24" t="str">
        <f>IF(VLOOKUP($A17,Salta!$A$8:$O$291,4,FALSE)="","",VLOOKUP($A17,Salta!$A$8:$O$291,4,FALSE))</f>
        <v>106</v>
      </c>
      <c r="M17" s="9" t="str">
        <f>IF(VLOOKUP($A17,Salta!$A$8:$O$291,5,FALSE)="","",VLOOKUP($A17,Salta!$A$8:$O$291,5,FALSE))</f>
        <v>Dipirona inyectable 1amp=2ml 1gr</v>
      </c>
      <c r="N17" s="9" t="str">
        <f>IF(VLOOKUP($A17,Salta!$A$8:$O$291,7,FALSE)="","",VLOOKUP($A17,Salta!$A$8:$O$291,7,FALSE))</f>
        <v>Alta</v>
      </c>
      <c r="O17" s="9" t="str">
        <f>IF(VLOOKUP($A17,Salta!$A$8:$O$291,6,FALSE)="","",VLOOKUP($A17,Salta!$A$8:$O$291,6,FALSE))</f>
        <v>Coincidencia</v>
      </c>
      <c r="P17" s="24" t="str">
        <f>IF(VLOOKUP($A17,Neuquén!$A$8:$O$291,15,FALSE)="Homologado",VLOOKUP($A17,Neuquén!$A$8:$O$291,10,FALSE),"")</f>
        <v/>
      </c>
      <c r="Q17" s="24" t="str">
        <f>IF(VLOOKUP($A17,'San Juan'!$A$8:$O$291,15,FALSE)="Homologado",VLOOKUP($A17,'San Juan'!$A$8:$O$291,10,FALSE),"")</f>
        <v/>
      </c>
      <c r="R17" s="24" t="str">
        <f>IF(VLOOKUP($A17,Salta!$A$8:$O$291,15,FALSE)="Homologado",VLOOKUP($A17,Salta!$A$8:$O$291,10,FALSE),"")</f>
        <v/>
      </c>
      <c r="S17" s="24" t="str">
        <f>IF(VLOOKUP($A17,'Master vs SAP'!$A$8:$O$291,4,FALSE)="","",VLOOKUP($A17,'Master vs SAP'!$A$8:$O$291,4,FALSE))</f>
        <v>1000022</v>
      </c>
      <c r="T17" s="9" t="str">
        <f>IF(VLOOKUP($A17,'Master vs SAP'!$A$8:$O$291,5,FALSE)="","",VLOOKUP($A17,'Master vs SAP'!$A$8:$O$291,5,FALSE))</f>
        <v>DIPIRONA 1G AMPOLLA DE 2ML INYECTABLE</v>
      </c>
      <c r="U17" s="9" t="str">
        <f>IF(VLOOKUP($A17,'Master vs SAP'!$A$8:$O$291,7,FALSE)="","",VLOOKUP($A17,'Master vs SAP'!$A$8:$O$291,7,FALSE))</f>
        <v>Alta</v>
      </c>
      <c r="V17" s="9" t="str">
        <f>IF(VLOOKUP($A17,'Master vs SAP'!$A$8:$O$291,6,FALSE)="","",VLOOKUP($A17,'Master vs SAP'!$A$8:$O$291,6,FALSE))</f>
        <v>Coincidencia</v>
      </c>
      <c r="W17" s="24" t="str">
        <f>IF(VLOOKUP($A17,'Master vs SAP'!$A$8:$O$291,15,FALSE)="Homologado",VLOOKUP($A17,'Master vs SAP'!$A$8:$O$291,10,FALSE),"")</f>
        <v/>
      </c>
    </row>
    <row r="18" spans="1:23" ht="61.95" customHeight="1">
      <c r="A18" s="9" t="s">
        <v>128</v>
      </c>
      <c r="B18" s="9" t="s">
        <v>108</v>
      </c>
      <c r="C18" s="9" t="s">
        <v>129</v>
      </c>
      <c r="D18" s="24" t="str">
        <f>IF(VLOOKUP($A18,Neuquén!$A$8:$O$291,4,FALSE)="","",VLOOKUP($A18,Neuquén!$A$8:$O$291,4,FALSE))</f>
        <v>327</v>
      </c>
      <c r="E18" s="9" t="str">
        <f>IF(VLOOKUP($A18,Neuquén!$A$8:$O$291,5,FALSE)="","",VLOOKUP($A18,Neuquén!$A$8:$O$291,5,FALSE))</f>
        <v>TRAMADOL100MGAMP</v>
      </c>
      <c r="F18" s="9" t="str">
        <f>IF(VLOOKUP($A18,Neuquén!$A$8:$O$291,7,FALSE)="","",VLOOKUP($A18,Neuquén!$A$8:$O$291,7,FALSE))</f>
        <v>Alta</v>
      </c>
      <c r="G18" s="9" t="str">
        <f>IF(VLOOKUP($A18,Neuquén!$A$8:$O$291,6,FALSE)="","",VLOOKUP($A18,Neuquén!$A$8:$O$291,6,FALSE))</f>
        <v>Coincidencia por validar</v>
      </c>
      <c r="H18" s="24" t="str">
        <f>IF(VLOOKUP($A18,'San Juan'!$A$8:$O$291,4,FALSE)="","",VLOOKUP($A18,'San Juan'!$A$8:$O$291,4,FALSE))</f>
        <v>MED181</v>
      </c>
      <c r="I18" s="9" t="str">
        <f>IF(VLOOKUP($A18,'San Juan'!$A$8:$O$291,5,FALSE)="","",VLOOKUP($A18,'San Juan'!$A$8:$O$291,5,FALSE))</f>
        <v>Tramadol 50mg/2ml amp</v>
      </c>
      <c r="J18" s="9" t="str">
        <f>IF(VLOOKUP($A18,'San Juan'!$A$8:$O$291,7,FALSE)="","",VLOOKUP($A18,'San Juan'!$A$8:$O$291,7,FALSE))</f>
        <v>Baja</v>
      </c>
      <c r="K18" s="9" t="str">
        <f>IF(VLOOKUP($A18,'San Juan'!$A$8:$O$291,6,FALSE)="","",VLOOKUP($A18,'San Juan'!$A$8:$O$291,6,FALSE))</f>
        <v>Revisar presentación</v>
      </c>
      <c r="L18" s="24" t="str">
        <f>IF(VLOOKUP($A18,Salta!$A$8:$O$291,4,FALSE)="","",VLOOKUP($A18,Salta!$A$8:$O$291,4,FALSE))</f>
        <v>240</v>
      </c>
      <c r="M18" s="9" t="str">
        <f>IF(VLOOKUP($A18,Salta!$A$8:$O$291,5,FALSE)="","",VLOOKUP($A18,Salta!$A$8:$O$291,5,FALSE))</f>
        <v>Tramadol clorhidrato 1 amp=2ml/100mg</v>
      </c>
      <c r="N18" s="9" t="str">
        <f>IF(VLOOKUP($A18,Salta!$A$8:$O$291,7,FALSE)="","",VLOOKUP($A18,Salta!$A$8:$O$291,7,FALSE))</f>
        <v>Alta</v>
      </c>
      <c r="O18" s="9" t="str">
        <f>IF(VLOOKUP($A18,Salta!$A$8:$O$291,6,FALSE)="","",VLOOKUP($A18,Salta!$A$8:$O$291,6,FALSE))</f>
        <v>Coincidencia</v>
      </c>
      <c r="P18" s="24" t="str">
        <f>IF(VLOOKUP($A18,Neuquén!$A$8:$O$291,15,FALSE)="Homologado",VLOOKUP($A18,Neuquén!$A$8:$O$291,10,FALSE),"")</f>
        <v/>
      </c>
      <c r="Q18" s="24" t="str">
        <f>IF(VLOOKUP($A18,'San Juan'!$A$8:$O$291,15,FALSE)="Homologado",VLOOKUP($A18,'San Juan'!$A$8:$O$291,10,FALSE),"")</f>
        <v/>
      </c>
      <c r="R18" s="24" t="str">
        <f>IF(VLOOKUP($A18,Salta!$A$8:$O$291,15,FALSE)="Homologado",VLOOKUP($A18,Salta!$A$8:$O$291,10,FALSE),"")</f>
        <v/>
      </c>
      <c r="S18" s="24" t="str">
        <f>IF(VLOOKUP($A18,'Master vs SAP'!$A$8:$O$291,4,FALSE)="","",VLOOKUP($A18,'Master vs SAP'!$A$8:$O$291,4,FALSE))</f>
        <v>1000635</v>
      </c>
      <c r="T18" s="9" t="str">
        <f>IF(VLOOKUP($A18,'Master vs SAP'!$A$8:$O$291,5,FALSE)="","",VLOOKUP($A18,'Master vs SAP'!$A$8:$O$291,5,FALSE))</f>
        <v>TRAMADOL 50MG AMPOLLA</v>
      </c>
      <c r="U18" s="9" t="str">
        <f>IF(VLOOKUP($A18,'Master vs SAP'!$A$8:$O$291,7,FALSE)="","",VLOOKUP($A18,'Master vs SAP'!$A$8:$O$291,7,FALSE))</f>
        <v>Baja</v>
      </c>
      <c r="V18" s="9" t="str">
        <f>IF(VLOOKUP($A18,'Master vs SAP'!$A$8:$O$291,6,FALSE)="","",VLOOKUP($A18,'Master vs SAP'!$A$8:$O$291,6,FALSE))</f>
        <v>Revisar presentación</v>
      </c>
      <c r="W18" s="24" t="str">
        <f>IF(VLOOKUP($A18,'Master vs SAP'!$A$8:$O$291,15,FALSE)="Homologado",VLOOKUP($A18,'Master vs SAP'!$A$8:$O$291,10,FALSE),"")</f>
        <v/>
      </c>
    </row>
    <row r="19" spans="1:23" ht="61.95" customHeight="1">
      <c r="A19" s="9" t="s">
        <v>130</v>
      </c>
      <c r="B19" s="9" t="s">
        <v>108</v>
      </c>
      <c r="C19" s="9" t="s">
        <v>131</v>
      </c>
      <c r="D19" s="24" t="str">
        <f>IF(VLOOKUP($A19,Neuquén!$A$8:$O$291,4,FALSE)="","",VLOOKUP($A19,Neuquén!$A$8:$O$291,4,FALSE))</f>
        <v>484</v>
      </c>
      <c r="E19" s="9" t="str">
        <f>IF(VLOOKUP($A19,Neuquén!$A$8:$O$291,5,FALSE)="","",VLOOKUP($A19,Neuquén!$A$8:$O$291,5,FALSE))</f>
        <v>Tramadol+Paracetamol</v>
      </c>
      <c r="F19" s="9" t="str">
        <f>IF(VLOOKUP($A19,Neuquén!$A$8:$O$291,7,FALSE)="","",VLOOKUP($A19,Neuquén!$A$8:$O$291,7,FALSE))</f>
        <v>Alta</v>
      </c>
      <c r="G19" s="9" t="str">
        <f>IF(VLOOKUP($A19,Neuquén!$A$8:$O$291,6,FALSE)="","",VLOOKUP($A19,Neuquén!$A$8:$O$291,6,FALSE))</f>
        <v>Coincidencia por validar</v>
      </c>
      <c r="H19" s="24" t="str">
        <f>IF(VLOOKUP($A19,'San Juan'!$A$8:$O$291,4,FALSE)="","",VLOOKUP($A19,'San Juan'!$A$8:$O$291,4,FALSE))</f>
        <v/>
      </c>
      <c r="I19" s="9" t="str">
        <f>IF(VLOOKUP($A19,'San Juan'!$A$8:$O$291,5,FALSE)="","",VLOOKUP($A19,'San Juan'!$A$8:$O$291,5,FALSE))</f>
        <v/>
      </c>
      <c r="J19" s="9" t="str">
        <f>IF(VLOOKUP($A19,'San Juan'!$A$8:$O$291,7,FALSE)="","",VLOOKUP($A19,'San Juan'!$A$8:$O$291,7,FALSE))</f>
        <v>Sin coincidencia</v>
      </c>
      <c r="K19" s="9" t="str">
        <f>IF(VLOOKUP($A19,'San Juan'!$A$8:$O$291,6,FALSE)="","",VLOOKUP($A19,'San Juan'!$A$8:$O$291,6,FALSE))</f>
        <v>Sin código encontrado</v>
      </c>
      <c r="L19" s="24" t="str">
        <f>IF(VLOOKUP($A19,Salta!$A$8:$O$291,4,FALSE)="","",VLOOKUP($A19,Salta!$A$8:$O$291,4,FALSE))</f>
        <v>343</v>
      </c>
      <c r="M19" s="9" t="str">
        <f>IF(VLOOKUP($A19,Salta!$A$8:$O$291,5,FALSE)="","",VLOOKUP($A19,Salta!$A$8:$O$291,5,FALSE))</f>
        <v>Tramadol clorhidrato + Paracetamol Comprimidos</v>
      </c>
      <c r="N19" s="9" t="str">
        <f>IF(VLOOKUP($A19,Salta!$A$8:$O$291,7,FALSE)="","",VLOOKUP($A19,Salta!$A$8:$O$291,7,FALSE))</f>
        <v>Alta</v>
      </c>
      <c r="O19" s="9" t="str">
        <f>IF(VLOOKUP($A19,Salta!$A$8:$O$291,6,FALSE)="","",VLOOKUP($A19,Salta!$A$8:$O$291,6,FALSE))</f>
        <v>Coincidencia</v>
      </c>
      <c r="P19" s="24" t="str">
        <f>IF(VLOOKUP($A19,Neuquén!$A$8:$O$291,15,FALSE)="Homologado",VLOOKUP($A19,Neuquén!$A$8:$O$291,10,FALSE),"")</f>
        <v/>
      </c>
      <c r="Q19" s="24" t="str">
        <f>IF(VLOOKUP($A19,'San Juan'!$A$8:$O$291,15,FALSE)="Homologado",VLOOKUP($A19,'San Juan'!$A$8:$O$291,10,FALSE),"")</f>
        <v/>
      </c>
      <c r="R19" s="24" t="str">
        <f>IF(VLOOKUP($A19,Salta!$A$8:$O$291,15,FALSE)="Homologado",VLOOKUP($A19,Salta!$A$8:$O$291,10,FALSE),"")</f>
        <v/>
      </c>
      <c r="S19" s="24" t="str">
        <f>IF(VLOOKUP($A19,'Master vs SAP'!$A$8:$O$291,4,FALSE)="","",VLOOKUP($A19,'Master vs SAP'!$A$8:$O$291,4,FALSE))</f>
        <v>1000673</v>
      </c>
      <c r="T19" s="9" t="str">
        <f>IF(VLOOKUP($A19,'Master vs SAP'!$A$8:$O$291,5,FALSE)="","",VLOOKUP($A19,'Master vs SAP'!$A$8:$O$291,5,FALSE))</f>
        <v>TRAMADOL + PARACETAMOL COMP.</v>
      </c>
      <c r="U19" s="9" t="str">
        <f>IF(VLOOKUP($A19,'Master vs SAP'!$A$8:$O$291,7,FALSE)="","",VLOOKUP($A19,'Master vs SAP'!$A$8:$O$291,7,FALSE))</f>
        <v>Alta</v>
      </c>
      <c r="V19" s="9" t="str">
        <f>IF(VLOOKUP($A19,'Master vs SAP'!$A$8:$O$291,6,FALSE)="","",VLOOKUP($A19,'Master vs SAP'!$A$8:$O$291,6,FALSE))</f>
        <v>Coincidencia</v>
      </c>
      <c r="W19" s="24" t="str">
        <f>IF(VLOOKUP($A19,'Master vs SAP'!$A$8:$O$291,15,FALSE)="Homologado",VLOOKUP($A19,'Master vs SAP'!$A$8:$O$291,10,FALSE),"")</f>
        <v/>
      </c>
    </row>
    <row r="20" spans="1:23" ht="61.95" customHeight="1">
      <c r="A20" s="9" t="s">
        <v>132</v>
      </c>
      <c r="B20" s="9" t="s">
        <v>108</v>
      </c>
      <c r="C20" s="9" t="s">
        <v>133</v>
      </c>
      <c r="D20" s="24" t="str">
        <f>IF(VLOOKUP($A20,Neuquén!$A$8:$O$291,4,FALSE)="","",VLOOKUP($A20,Neuquén!$A$8:$O$291,4,FALSE))</f>
        <v>157</v>
      </c>
      <c r="E20" s="9" t="str">
        <f>IF(VLOOKUP($A20,Neuquén!$A$8:$O$291,5,FALSE)="","",VLOOKUP($A20,Neuquén!$A$8:$O$291,5,FALSE))</f>
        <v>MELOXICAM15G</v>
      </c>
      <c r="F20" s="9" t="str">
        <f>IF(VLOOKUP($A20,Neuquén!$A$8:$O$291,7,FALSE)="","",VLOOKUP($A20,Neuquén!$A$8:$O$291,7,FALSE))</f>
        <v>Alta</v>
      </c>
      <c r="G20" s="9" t="str">
        <f>IF(VLOOKUP($A20,Neuquén!$A$8:$O$291,6,FALSE)="","",VLOOKUP($A20,Neuquén!$A$8:$O$291,6,FALSE))</f>
        <v>Coincidencia por validar</v>
      </c>
      <c r="H20" s="24" t="str">
        <f>IF(VLOOKUP($A20,'San Juan'!$A$8:$O$291,4,FALSE)="","",VLOOKUP($A20,'San Juan'!$A$8:$O$291,4,FALSE))</f>
        <v/>
      </c>
      <c r="I20" s="9" t="str">
        <f>IF(VLOOKUP($A20,'San Juan'!$A$8:$O$291,5,FALSE)="","",VLOOKUP($A20,'San Juan'!$A$8:$O$291,5,FALSE))</f>
        <v/>
      </c>
      <c r="J20" s="9" t="str">
        <f>IF(VLOOKUP($A20,'San Juan'!$A$8:$O$291,7,FALSE)="","",VLOOKUP($A20,'San Juan'!$A$8:$O$291,7,FALSE))</f>
        <v>Sin coincidencia</v>
      </c>
      <c r="K20" s="9" t="str">
        <f>IF(VLOOKUP($A20,'San Juan'!$A$8:$O$291,6,FALSE)="","",VLOOKUP($A20,'San Juan'!$A$8:$O$291,6,FALSE))</f>
        <v>Sin código encontrado</v>
      </c>
      <c r="L20" s="24" t="str">
        <f>IF(VLOOKUP($A20,Salta!$A$8:$O$291,4,FALSE)="","",VLOOKUP($A20,Salta!$A$8:$O$291,4,FALSE))</f>
        <v/>
      </c>
      <c r="M20" s="9" t="str">
        <f>IF(VLOOKUP($A20,Salta!$A$8:$O$291,5,FALSE)="","",VLOOKUP($A20,Salta!$A$8:$O$291,5,FALSE))</f>
        <v/>
      </c>
      <c r="N20" s="9" t="str">
        <f>IF(VLOOKUP($A20,Salta!$A$8:$O$291,7,FALSE)="","",VLOOKUP($A20,Salta!$A$8:$O$291,7,FALSE))</f>
        <v>Sin coincidencia</v>
      </c>
      <c r="O20" s="9" t="str">
        <f>IF(VLOOKUP($A20,Salta!$A$8:$O$291,6,FALSE)="","",VLOOKUP($A20,Salta!$A$8:$O$291,6,FALSE))</f>
        <v>Sin coincidencia</v>
      </c>
      <c r="P20" s="24" t="str">
        <f>IF(VLOOKUP($A20,Neuquén!$A$8:$O$291,15,FALSE)="Homologado",VLOOKUP($A20,Neuquén!$A$8:$O$291,10,FALSE),"")</f>
        <v/>
      </c>
      <c r="Q20" s="24" t="str">
        <f>IF(VLOOKUP($A20,'San Juan'!$A$8:$O$291,15,FALSE)="Homologado",VLOOKUP($A20,'San Juan'!$A$8:$O$291,10,FALSE),"")</f>
        <v/>
      </c>
      <c r="R20" s="24" t="str">
        <f>IF(VLOOKUP($A20,Salta!$A$8:$O$291,15,FALSE)="Homologado",VLOOKUP($A20,Salta!$A$8:$O$291,10,FALSE),"")</f>
        <v/>
      </c>
      <c r="S20" s="24" t="str">
        <f>IF(VLOOKUP($A20,'Master vs SAP'!$A$8:$O$291,4,FALSE)="","",VLOOKUP($A20,'Master vs SAP'!$A$8:$O$291,4,FALSE))</f>
        <v>1001288</v>
      </c>
      <c r="T20" s="9" t="str">
        <f>IF(VLOOKUP($A20,'Master vs SAP'!$A$8:$O$291,5,FALSE)="","",VLOOKUP($A20,'Master vs SAP'!$A$8:$O$291,5,FALSE))</f>
        <v>FLEXIDOL 15mg COMP X 30comp</v>
      </c>
      <c r="U20" s="9" t="str">
        <f>IF(VLOOKUP($A20,'Master vs SAP'!$A$8:$O$291,7,FALSE)="","",VLOOKUP($A20,'Master vs SAP'!$A$8:$O$291,7,FALSE))</f>
        <v>Alta</v>
      </c>
      <c r="V20" s="9" t="str">
        <f>IF(VLOOKUP($A20,'Master vs SAP'!$A$8:$O$291,6,FALSE)="","",VLOOKUP($A20,'Master vs SAP'!$A$8:$O$291,6,FALSE))</f>
        <v>Coincidencia</v>
      </c>
      <c r="W20" s="24" t="str">
        <f>IF(VLOOKUP($A20,'Master vs SAP'!$A$8:$O$291,15,FALSE)="Homologado",VLOOKUP($A20,'Master vs SAP'!$A$8:$O$291,10,FALSE),"")</f>
        <v/>
      </c>
    </row>
    <row r="21" spans="1:23" ht="61.95" customHeight="1">
      <c r="A21" s="9" t="s">
        <v>134</v>
      </c>
      <c r="B21" s="9" t="s">
        <v>108</v>
      </c>
      <c r="C21" s="9" t="s">
        <v>135</v>
      </c>
      <c r="D21" s="24" t="str">
        <f>IF(VLOOKUP($A21,Neuquén!$A$8:$O$291,4,FALSE)="","",VLOOKUP($A21,Neuquén!$A$8:$O$291,4,FALSE))</f>
        <v>485</v>
      </c>
      <c r="E21" s="9" t="str">
        <f>IF(VLOOKUP($A21,Neuquén!$A$8:$O$291,5,FALSE)="","",VLOOKUP($A21,Neuquén!$A$8:$O$291,5,FALSE))</f>
        <v>Colchicina</v>
      </c>
      <c r="F21" s="9" t="str">
        <f>IF(VLOOKUP($A21,Neuquén!$A$8:$O$291,7,FALSE)="","",VLOOKUP($A21,Neuquén!$A$8:$O$291,7,FALSE))</f>
        <v>Alta</v>
      </c>
      <c r="G21" s="9" t="str">
        <f>IF(VLOOKUP($A21,Neuquén!$A$8:$O$291,6,FALSE)="","",VLOOKUP($A21,Neuquén!$A$8:$O$291,6,FALSE))</f>
        <v>Coincidencia por validar</v>
      </c>
      <c r="H21" s="24" t="str">
        <f>IF(VLOOKUP($A21,'San Juan'!$A$8:$O$291,4,FALSE)="","",VLOOKUP($A21,'San Juan'!$A$8:$O$291,4,FALSE))</f>
        <v/>
      </c>
      <c r="I21" s="9" t="str">
        <f>IF(VLOOKUP($A21,'San Juan'!$A$8:$O$291,5,FALSE)="","",VLOOKUP($A21,'San Juan'!$A$8:$O$291,5,FALSE))</f>
        <v/>
      </c>
      <c r="J21" s="9" t="str">
        <f>IF(VLOOKUP($A21,'San Juan'!$A$8:$O$291,7,FALSE)="","",VLOOKUP($A21,'San Juan'!$A$8:$O$291,7,FALSE))</f>
        <v>Sin coincidencia</v>
      </c>
      <c r="K21" s="9" t="str">
        <f>IF(VLOOKUP($A21,'San Juan'!$A$8:$O$291,6,FALSE)="","",VLOOKUP($A21,'San Juan'!$A$8:$O$291,6,FALSE))</f>
        <v>Sin código encontrado</v>
      </c>
      <c r="L21" s="24" t="str">
        <f>IF(VLOOKUP($A21,Salta!$A$8:$O$291,4,FALSE)="","",VLOOKUP($A21,Salta!$A$8:$O$291,4,FALSE))</f>
        <v/>
      </c>
      <c r="M21" s="9" t="str">
        <f>IF(VLOOKUP($A21,Salta!$A$8:$O$291,5,FALSE)="","",VLOOKUP($A21,Salta!$A$8:$O$291,5,FALSE))</f>
        <v/>
      </c>
      <c r="N21" s="9" t="str">
        <f>IF(VLOOKUP($A21,Salta!$A$8:$O$291,7,FALSE)="","",VLOOKUP($A21,Salta!$A$8:$O$291,7,FALSE))</f>
        <v>Sin coincidencia</v>
      </c>
      <c r="O21" s="9" t="str">
        <f>IF(VLOOKUP($A21,Salta!$A$8:$O$291,6,FALSE)="","",VLOOKUP($A21,Salta!$A$8:$O$291,6,FALSE))</f>
        <v>Sin coincidencia</v>
      </c>
      <c r="P21" s="24" t="str">
        <f>IF(VLOOKUP($A21,Neuquén!$A$8:$O$291,15,FALSE)="Homologado",VLOOKUP($A21,Neuquén!$A$8:$O$291,10,FALSE),"")</f>
        <v/>
      </c>
      <c r="Q21" s="24" t="str">
        <f>IF(VLOOKUP($A21,'San Juan'!$A$8:$O$291,15,FALSE)="Homologado",VLOOKUP($A21,'San Juan'!$A$8:$O$291,10,FALSE),"")</f>
        <v/>
      </c>
      <c r="R21" s="24" t="str">
        <f>IF(VLOOKUP($A21,Salta!$A$8:$O$291,15,FALSE)="Homologado",VLOOKUP($A21,Salta!$A$8:$O$291,10,FALSE),"")</f>
        <v/>
      </c>
      <c r="S21" s="24" t="str">
        <f>IF(VLOOKUP($A21,'Master vs SAP'!$A$8:$O$291,4,FALSE)="","",VLOOKUP($A21,'Master vs SAP'!$A$8:$O$291,4,FALSE))</f>
        <v>1001305</v>
      </c>
      <c r="T21" s="9" t="str">
        <f>IF(VLOOKUP($A21,'Master vs SAP'!$A$8:$O$291,5,FALSE)="","",VLOOKUP($A21,'Master vs SAP'!$A$8:$O$291,5,FALSE))</f>
        <v>COLCHICINA 1MG COMP</v>
      </c>
      <c r="U21" s="9" t="str">
        <f>IF(VLOOKUP($A21,'Master vs SAP'!$A$8:$O$291,7,FALSE)="","",VLOOKUP($A21,'Master vs SAP'!$A$8:$O$291,7,FALSE))</f>
        <v>Alta</v>
      </c>
      <c r="V21" s="9" t="str">
        <f>IF(VLOOKUP($A21,'Master vs SAP'!$A$8:$O$291,6,FALSE)="","",VLOOKUP($A21,'Master vs SAP'!$A$8:$O$291,6,FALSE))</f>
        <v>Coincidencia</v>
      </c>
      <c r="W21" s="24" t="str">
        <f>IF(VLOOKUP($A21,'Master vs SAP'!$A$8:$O$291,15,FALSE)="Homologado",VLOOKUP($A21,'Master vs SAP'!$A$8:$O$291,10,FALSE),"")</f>
        <v/>
      </c>
    </row>
    <row r="22" spans="1:23" ht="61.95" customHeight="1">
      <c r="A22" s="9" t="s">
        <v>136</v>
      </c>
      <c r="B22" s="9" t="s">
        <v>108</v>
      </c>
      <c r="C22" s="9" t="s">
        <v>137</v>
      </c>
      <c r="D22" s="24" t="str">
        <f>IF(VLOOKUP($A22,Neuquén!$A$8:$O$291,4,FALSE)="","",VLOOKUP($A22,Neuquén!$A$8:$O$291,4,FALSE))</f>
        <v>486</v>
      </c>
      <c r="E22" s="9" t="str">
        <f>IF(VLOOKUP($A22,Neuquén!$A$8:$O$291,5,FALSE)="","",VLOOKUP($A22,Neuquén!$A$8:$O$291,5,FALSE))</f>
        <v>Ergotamina</v>
      </c>
      <c r="F22" s="9" t="str">
        <f>IF(VLOOKUP($A22,Neuquén!$A$8:$O$291,7,FALSE)="","",VLOOKUP($A22,Neuquén!$A$8:$O$291,7,FALSE))</f>
        <v>Media</v>
      </c>
      <c r="G22" s="9" t="str">
        <f>IF(VLOOKUP($A22,Neuquén!$A$8:$O$291,6,FALSE)="","",VLOOKUP($A22,Neuquén!$A$8:$O$291,6,FALSE))</f>
        <v>Equivalencia a revisar</v>
      </c>
      <c r="H22" s="24" t="str">
        <f>IF(VLOOKUP($A22,'San Juan'!$A$8:$O$291,4,FALSE)="","",VLOOKUP($A22,'San Juan'!$A$8:$O$291,4,FALSE))</f>
        <v/>
      </c>
      <c r="I22" s="9" t="str">
        <f>IF(VLOOKUP($A22,'San Juan'!$A$8:$O$291,5,FALSE)="","",VLOOKUP($A22,'San Juan'!$A$8:$O$291,5,FALSE))</f>
        <v/>
      </c>
      <c r="J22" s="9" t="str">
        <f>IF(VLOOKUP($A22,'San Juan'!$A$8:$O$291,7,FALSE)="","",VLOOKUP($A22,'San Juan'!$A$8:$O$291,7,FALSE))</f>
        <v>Sin coincidencia</v>
      </c>
      <c r="K22" s="9" t="str">
        <f>IF(VLOOKUP($A22,'San Juan'!$A$8:$O$291,6,FALSE)="","",VLOOKUP($A22,'San Juan'!$A$8:$O$291,6,FALSE))</f>
        <v>Sin código encontrado</v>
      </c>
      <c r="L22" s="24" t="str">
        <f>IF(VLOOKUP($A22,Salta!$A$8:$O$291,4,FALSE)="","",VLOOKUP($A22,Salta!$A$8:$O$291,4,FALSE))</f>
        <v>186</v>
      </c>
      <c r="M22" s="9" t="str">
        <f>IF(VLOOKUP($A22,Salta!$A$8:$O$291,5,FALSE)="","",VLOOKUP($A22,Salta!$A$8:$O$291,5,FALSE))</f>
        <v>Migral (ergotamina antimigrañoso) Comprimidos</v>
      </c>
      <c r="N22" s="9" t="str">
        <f>IF(VLOOKUP($A22,Salta!$A$8:$O$291,7,FALSE)="","",VLOOKUP($A22,Salta!$A$8:$O$291,7,FALSE))</f>
        <v>Media</v>
      </c>
      <c r="O22" s="9" t="str">
        <f>IF(VLOOKUP($A22,Salta!$A$8:$O$291,6,FALSE)="","",VLOOKUP($A22,Salta!$A$8:$O$291,6,FALSE))</f>
        <v>Revisar datos</v>
      </c>
      <c r="P22" s="24" t="str">
        <f>IF(VLOOKUP($A22,Neuquén!$A$8:$O$291,15,FALSE)="Homologado",VLOOKUP($A22,Neuquén!$A$8:$O$291,10,FALSE),"")</f>
        <v/>
      </c>
      <c r="Q22" s="24" t="str">
        <f>IF(VLOOKUP($A22,'San Juan'!$A$8:$O$291,15,FALSE)="Homologado",VLOOKUP($A22,'San Juan'!$A$8:$O$291,10,FALSE),"")</f>
        <v/>
      </c>
      <c r="R22" s="24" t="str">
        <f>IF(VLOOKUP($A22,Salta!$A$8:$O$291,15,FALSE)="Homologado",VLOOKUP($A22,Salta!$A$8:$O$291,10,FALSE),"")</f>
        <v/>
      </c>
      <c r="S22" s="24" t="str">
        <f>IF(VLOOKUP($A22,'Master vs SAP'!$A$8:$O$291,4,FALSE)="","",VLOOKUP($A22,'Master vs SAP'!$A$8:$O$291,4,FALSE))</f>
        <v>1000193</v>
      </c>
      <c r="T22" s="9" t="str">
        <f>IF(VLOOKUP($A22,'Master vs SAP'!$A$8:$O$291,5,FALSE)="","",VLOOKUP($A22,'Master vs SAP'!$A$8:$O$291,5,FALSE))</f>
        <v>MIGRAL COMPRIMIDO</v>
      </c>
      <c r="U22" s="9" t="str">
        <f>IF(VLOOKUP($A22,'Master vs SAP'!$A$8:$O$291,7,FALSE)="","",VLOOKUP($A22,'Master vs SAP'!$A$8:$O$291,7,FALSE))</f>
        <v>Media</v>
      </c>
      <c r="V22" s="9" t="str">
        <f>IF(VLOOKUP($A22,'Master vs SAP'!$A$8:$O$291,6,FALSE)="","",VLOOKUP($A22,'Master vs SAP'!$A$8:$O$291,6,FALSE))</f>
        <v>Revisar datos</v>
      </c>
      <c r="W22" s="24" t="str">
        <f>IF(VLOOKUP($A22,'Master vs SAP'!$A$8:$O$291,15,FALSE)="Homologado",VLOOKUP($A22,'Master vs SAP'!$A$8:$O$291,10,FALSE),"")</f>
        <v/>
      </c>
    </row>
    <row r="23" spans="1:23" ht="61.95" customHeight="1">
      <c r="A23" s="9" t="s">
        <v>138</v>
      </c>
      <c r="B23" s="9" t="s">
        <v>108</v>
      </c>
      <c r="C23" s="9" t="s">
        <v>139</v>
      </c>
      <c r="D23" s="24" t="str">
        <f>IF(VLOOKUP($A23,Neuquén!$A$8:$O$291,4,FALSE)="","",VLOOKUP($A23,Neuquén!$A$8:$O$291,4,FALSE))</f>
        <v>487</v>
      </c>
      <c r="E23" s="9" t="str">
        <f>IF(VLOOKUP($A23,Neuquén!$A$8:$O$291,5,FALSE)="","",VLOOKUP($A23,Neuquén!$A$8:$O$291,5,FALSE))</f>
        <v>Bencidamina</v>
      </c>
      <c r="F23" s="9" t="str">
        <f>IF(VLOOKUP($A23,Neuquén!$A$8:$O$291,7,FALSE)="","",VLOOKUP($A23,Neuquén!$A$8:$O$291,7,FALSE))</f>
        <v>Media</v>
      </c>
      <c r="G23" s="9" t="str">
        <f>IF(VLOOKUP($A23,Neuquén!$A$8:$O$291,6,FALSE)="","",VLOOKUP($A23,Neuquén!$A$8:$O$291,6,FALSE))</f>
        <v>Equivalencia a revisar</v>
      </c>
      <c r="H23" s="24" t="str">
        <f>IF(VLOOKUP($A23,'San Juan'!$A$8:$O$291,4,FALSE)="","",VLOOKUP($A23,'San Juan'!$A$8:$O$291,4,FALSE))</f>
        <v/>
      </c>
      <c r="I23" s="9" t="str">
        <f>IF(VLOOKUP($A23,'San Juan'!$A$8:$O$291,5,FALSE)="","",VLOOKUP($A23,'San Juan'!$A$8:$O$291,5,FALSE))</f>
        <v/>
      </c>
      <c r="J23" s="9" t="str">
        <f>IF(VLOOKUP($A23,'San Juan'!$A$8:$O$291,7,FALSE)="","",VLOOKUP($A23,'San Juan'!$A$8:$O$291,7,FALSE))</f>
        <v>Sin coincidencia</v>
      </c>
      <c r="K23" s="9" t="str">
        <f>IF(VLOOKUP($A23,'San Juan'!$A$8:$O$291,6,FALSE)="","",VLOOKUP($A23,'San Juan'!$A$8:$O$291,6,FALSE))</f>
        <v>Sin código encontrado</v>
      </c>
      <c r="L23" s="24" t="str">
        <f>IF(VLOOKUP($A23,Salta!$A$8:$O$291,4,FALSE)="","",VLOOKUP($A23,Salta!$A$8:$O$291,4,FALSE))</f>
        <v/>
      </c>
      <c r="M23" s="9" t="str">
        <f>IF(VLOOKUP($A23,Salta!$A$8:$O$291,5,FALSE)="","",VLOOKUP($A23,Salta!$A$8:$O$291,5,FALSE))</f>
        <v/>
      </c>
      <c r="N23" s="9" t="str">
        <f>IF(VLOOKUP($A23,Salta!$A$8:$O$291,7,FALSE)="","",VLOOKUP($A23,Salta!$A$8:$O$291,7,FALSE))</f>
        <v>Sin coincidencia</v>
      </c>
      <c r="O23" s="9" t="str">
        <f>IF(VLOOKUP($A23,Salta!$A$8:$O$291,6,FALSE)="","",VLOOKUP($A23,Salta!$A$8:$O$291,6,FALSE))</f>
        <v>Sin coincidencia</v>
      </c>
      <c r="P23" s="24" t="str">
        <f>IF(VLOOKUP($A23,Neuquén!$A$8:$O$291,15,FALSE)="Homologado",VLOOKUP($A23,Neuquén!$A$8:$O$291,10,FALSE),"")</f>
        <v/>
      </c>
      <c r="Q23" s="24" t="str">
        <f>IF(VLOOKUP($A23,'San Juan'!$A$8:$O$291,15,FALSE)="Homologado",VLOOKUP($A23,'San Juan'!$A$8:$O$291,10,FALSE),"")</f>
        <v/>
      </c>
      <c r="R23" s="24" t="str">
        <f>IF(VLOOKUP($A23,Salta!$A$8:$O$291,15,FALSE)="Homologado",VLOOKUP($A23,Salta!$A$8:$O$291,10,FALSE),"")</f>
        <v/>
      </c>
      <c r="S23" s="24" t="str">
        <f>IF(VLOOKUP($A23,'Master vs SAP'!$A$8:$O$291,4,FALSE)="","",VLOOKUP($A23,'Master vs SAP'!$A$8:$O$291,4,FALSE))</f>
        <v>1000748</v>
      </c>
      <c r="T23" s="9" t="str">
        <f>IF(VLOOKUP($A23,'Master vs SAP'!$A$8:$O$291,5,FALSE)="","",VLOOKUP($A23,'Master vs SAP'!$A$8:$O$291,5,FALSE))</f>
        <v>BENCIDAMINA COMP</v>
      </c>
      <c r="U23" s="9" t="str">
        <f>IF(VLOOKUP($A23,'Master vs SAP'!$A$8:$O$291,7,FALSE)="","",VLOOKUP($A23,'Master vs SAP'!$A$8:$O$291,7,FALSE))</f>
        <v>Media</v>
      </c>
      <c r="V23" s="9" t="str">
        <f>IF(VLOOKUP($A23,'Master vs SAP'!$A$8:$O$291,6,FALSE)="","",VLOOKUP($A23,'Master vs SAP'!$A$8:$O$291,6,FALSE))</f>
        <v>Revisar datos</v>
      </c>
      <c r="W23" s="24" t="str">
        <f>IF(VLOOKUP($A23,'Master vs SAP'!$A$8:$O$291,15,FALSE)="Homologado",VLOOKUP($A23,'Master vs SAP'!$A$8:$O$291,10,FALSE),"")</f>
        <v/>
      </c>
    </row>
    <row r="24" spans="1:23" ht="61.95" customHeight="1">
      <c r="A24" s="9" t="s">
        <v>140</v>
      </c>
      <c r="B24" s="9" t="s">
        <v>108</v>
      </c>
      <c r="C24" s="9" t="s">
        <v>141</v>
      </c>
      <c r="D24" s="24" t="str">
        <f>IF(VLOOKUP($A24,Neuquén!$A$8:$O$291,4,FALSE)="","",VLOOKUP($A24,Neuquén!$A$8:$O$291,4,FALSE))</f>
        <v>438</v>
      </c>
      <c r="E24" s="9" t="str">
        <f>IF(VLOOKUP($A24,Neuquén!$A$8:$O$291,5,FALSE)="","",VLOOKUP($A24,Neuquén!$A$8:$O$291,5,FALSE))</f>
        <v>CARAMELOS CON ANTIBIOTICO</v>
      </c>
      <c r="F24" s="9" t="str">
        <f>IF(VLOOKUP($A24,Neuquén!$A$8:$O$291,7,FALSE)="","",VLOOKUP($A24,Neuquén!$A$8:$O$291,7,FALSE))</f>
        <v>Sin coincidencia</v>
      </c>
      <c r="G24" s="9" t="str">
        <f>IF(VLOOKUP($A24,Neuquén!$A$8:$O$291,6,FALSE)="","",VLOOKUP($A24,Neuquén!$A$8:$O$291,6,FALSE))</f>
        <v>Código sin equivalencia validada</v>
      </c>
      <c r="H24" s="24" t="str">
        <f>IF(VLOOKUP($A24,'San Juan'!$A$8:$O$291,4,FALSE)="","",VLOOKUP($A24,'San Juan'!$A$8:$O$291,4,FALSE))</f>
        <v>MED30</v>
      </c>
      <c r="I24" s="9" t="str">
        <f>IF(VLOOKUP($A24,'San Juan'!$A$8:$O$291,5,FALSE)="","",VLOOKUP($A24,'San Juan'!$A$8:$O$291,5,FALSE))</f>
        <v>Caramelos antigripales con benzocaina 20.7mg</v>
      </c>
      <c r="J24" s="9" t="str">
        <f>IF(VLOOKUP($A24,'San Juan'!$A$8:$O$291,7,FALSE)="","",VLOOKUP($A24,'San Juan'!$A$8:$O$291,7,FALSE))</f>
        <v>Baja</v>
      </c>
      <c r="K24" s="9" t="str">
        <f>IF(VLOOKUP($A24,'San Juan'!$A$8:$O$291,6,FALSE)="","",VLOOKUP($A24,'San Juan'!$A$8:$O$291,6,FALSE))</f>
        <v>Producto distinto</v>
      </c>
      <c r="L24" s="24" t="str">
        <f>IF(VLOOKUP($A24,Salta!$A$8:$O$291,4,FALSE)="","",VLOOKUP($A24,Salta!$A$8:$O$291,4,FALSE))</f>
        <v>58</v>
      </c>
      <c r="M24" s="9" t="str">
        <f>IF(VLOOKUP($A24,Salta!$A$8:$O$291,5,FALSE)="","",VLOOKUP($A24,Salta!$A$8:$O$291,5,FALSE))</f>
        <v>Caramelos con Antibioticos Caramelos</v>
      </c>
      <c r="N24" s="9" t="str">
        <f>IF(VLOOKUP($A24,Salta!$A$8:$O$291,7,FALSE)="","",VLOOKUP($A24,Salta!$A$8:$O$291,7,FALSE))</f>
        <v>Alta</v>
      </c>
      <c r="O24" s="9" t="str">
        <f>IF(VLOOKUP($A24,Salta!$A$8:$O$291,6,FALSE)="","",VLOOKUP($A24,Salta!$A$8:$O$291,6,FALSE))</f>
        <v>Coincidencia</v>
      </c>
      <c r="P24" s="24" t="str">
        <f>IF(VLOOKUP($A24,Neuquén!$A$8:$O$291,15,FALSE)="Homologado",VLOOKUP($A24,Neuquén!$A$8:$O$291,10,FALSE),"")</f>
        <v/>
      </c>
      <c r="Q24" s="24" t="str">
        <f>IF(VLOOKUP($A24,'San Juan'!$A$8:$O$291,15,FALSE)="Homologado",VLOOKUP($A24,'San Juan'!$A$8:$O$291,10,FALSE),"")</f>
        <v/>
      </c>
      <c r="R24" s="24" t="str">
        <f>IF(VLOOKUP($A24,Salta!$A$8:$O$291,15,FALSE)="Homologado",VLOOKUP($A24,Salta!$A$8:$O$291,10,FALSE),"")</f>
        <v/>
      </c>
      <c r="S24" s="24" t="str">
        <f>IF(VLOOKUP($A24,'Master vs SAP'!$A$8:$O$291,4,FALSE)="","",VLOOKUP($A24,'Master vs SAP'!$A$8:$O$291,4,FALSE))</f>
        <v>1001129</v>
      </c>
      <c r="T24" s="9" t="str">
        <f>IF(VLOOKUP($A24,'Master vs SAP'!$A$8:$O$291,5,FALSE)="","",VLOOKUP($A24,'Master vs SAP'!$A$8:$O$291,5,FALSE))</f>
        <v>BUCOANGIN CARAM ANTIB X9</v>
      </c>
      <c r="U24" s="9" t="str">
        <f>IF(VLOOKUP($A24,'Master vs SAP'!$A$8:$O$291,7,FALSE)="","",VLOOKUP($A24,'Master vs SAP'!$A$8:$O$291,7,FALSE))</f>
        <v>Alta</v>
      </c>
      <c r="V24" s="9" t="str">
        <f>IF(VLOOKUP($A24,'Master vs SAP'!$A$8:$O$291,6,FALSE)="","",VLOOKUP($A24,'Master vs SAP'!$A$8:$O$291,6,FALSE))</f>
        <v>Coincidencia</v>
      </c>
      <c r="W24" s="24" t="str">
        <f>IF(VLOOKUP($A24,'Master vs SAP'!$A$8:$O$291,15,FALSE)="Homologado",VLOOKUP($A24,'Master vs SAP'!$A$8:$O$291,10,FALSE),"")</f>
        <v/>
      </c>
    </row>
    <row r="25" spans="1:23" ht="61.95" customHeight="1">
      <c r="A25" s="9" t="s">
        <v>142</v>
      </c>
      <c r="B25" s="9" t="s">
        <v>108</v>
      </c>
      <c r="C25" s="9" t="s">
        <v>143</v>
      </c>
      <c r="D25" s="24" t="str">
        <f>IF(VLOOKUP($A25,Neuquén!$A$8:$O$291,4,FALSE)="","",VLOOKUP($A25,Neuquén!$A$8:$O$291,4,FALSE))</f>
        <v>146</v>
      </c>
      <c r="E25" s="9" t="str">
        <f>IF(VLOOKUP($A25,Neuquén!$A$8:$O$291,5,FALSE)="","",VLOOKUP($A25,Neuquén!$A$8:$O$291,5,FALSE))</f>
        <v>KETOROLAC</v>
      </c>
      <c r="F25" s="9" t="str">
        <f>IF(VLOOKUP($A25,Neuquén!$A$8:$O$291,7,FALSE)="","",VLOOKUP($A25,Neuquén!$A$8:$O$291,7,FALSE))</f>
        <v>Media</v>
      </c>
      <c r="G25" s="9" t="str">
        <f>IF(VLOOKUP($A25,Neuquén!$A$8:$O$291,6,FALSE)="","",VLOOKUP($A25,Neuquén!$A$8:$O$291,6,FALSE))</f>
        <v>Equivalencia a revisar</v>
      </c>
      <c r="H25" s="24" t="str">
        <f>IF(VLOOKUP($A25,'San Juan'!$A$8:$O$291,4,FALSE)="","",VLOOKUP($A25,'San Juan'!$A$8:$O$291,4,FALSE))</f>
        <v>MED111</v>
      </c>
      <c r="I25" s="9" t="str">
        <f>IF(VLOOKUP($A25,'San Juan'!$A$8:$O$291,5,FALSE)="","",VLOOKUP($A25,'San Juan'!$A$8:$O$291,5,FALSE))</f>
        <v>Ketorolac Comp x 20 mg</v>
      </c>
      <c r="J25" s="9" t="str">
        <f>IF(VLOOKUP($A25,'San Juan'!$A$8:$O$291,7,FALSE)="","",VLOOKUP($A25,'San Juan'!$A$8:$O$291,7,FALSE))</f>
        <v>Alta</v>
      </c>
      <c r="K25" s="9" t="str">
        <f>IF(VLOOKUP($A25,'San Juan'!$A$8:$O$291,6,FALSE)="","",VLOOKUP($A25,'San Juan'!$A$8:$O$291,6,FALSE))</f>
        <v>Coincidencia por validar</v>
      </c>
      <c r="L25" s="24" t="str">
        <f>IF(VLOOKUP($A25,Salta!$A$8:$O$291,4,FALSE)="","",VLOOKUP($A25,Salta!$A$8:$O$291,4,FALSE))</f>
        <v>162</v>
      </c>
      <c r="M25" s="9" t="str">
        <f>IF(VLOOKUP($A25,Salta!$A$8:$O$291,5,FALSE)="","",VLOOKUP($A25,Salta!$A$8:$O$291,5,FALSE))</f>
        <v>Ketorolac S/L Comprimidos x 10mg sl</v>
      </c>
      <c r="N25" s="9" t="str">
        <f>IF(VLOOKUP($A25,Salta!$A$8:$O$291,7,FALSE)="","",VLOOKUP($A25,Salta!$A$8:$O$291,7,FALSE))</f>
        <v>Baja</v>
      </c>
      <c r="O25" s="9" t="str">
        <f>IF(VLOOKUP($A25,Salta!$A$8:$O$291,6,FALSE)="","",VLOOKUP($A25,Salta!$A$8:$O$291,6,FALSE))</f>
        <v>Revisar presentación</v>
      </c>
      <c r="P25" s="24" t="str">
        <f>IF(VLOOKUP($A25,Neuquén!$A$8:$O$291,15,FALSE)="Homologado",VLOOKUP($A25,Neuquén!$A$8:$O$291,10,FALSE),"")</f>
        <v/>
      </c>
      <c r="Q25" s="24" t="str">
        <f>IF(VLOOKUP($A25,'San Juan'!$A$8:$O$291,15,FALSE)="Homologado",VLOOKUP($A25,'San Juan'!$A$8:$O$291,10,FALSE),"")</f>
        <v/>
      </c>
      <c r="R25" s="24" t="str">
        <f>IF(VLOOKUP($A25,Salta!$A$8:$O$291,15,FALSE)="Homologado",VLOOKUP($A25,Salta!$A$8:$O$291,10,FALSE),"")</f>
        <v/>
      </c>
      <c r="S25" s="24" t="str">
        <f>IF(VLOOKUP($A25,'Master vs SAP'!$A$8:$O$291,4,FALSE)="","",VLOOKUP($A25,'Master vs SAP'!$A$8:$O$291,4,FALSE))</f>
        <v>1000528</v>
      </c>
      <c r="T25" s="9" t="str">
        <f>IF(VLOOKUP($A25,'Master vs SAP'!$A$8:$O$291,5,FALSE)="","",VLOOKUP($A25,'Master vs SAP'!$A$8:$O$291,5,FALSE))</f>
        <v>KETOROLAC  20 MG COMPRIMIDOS</v>
      </c>
      <c r="U25" s="9" t="str">
        <f>IF(VLOOKUP($A25,'Master vs SAP'!$A$8:$O$291,7,FALSE)="","",VLOOKUP($A25,'Master vs SAP'!$A$8:$O$291,7,FALSE))</f>
        <v>Alta</v>
      </c>
      <c r="V25" s="9" t="str">
        <f>IF(VLOOKUP($A25,'Master vs SAP'!$A$8:$O$291,6,FALSE)="","",VLOOKUP($A25,'Master vs SAP'!$A$8:$O$291,6,FALSE))</f>
        <v>Coincidencia</v>
      </c>
      <c r="W25" s="24" t="str">
        <f>IF(VLOOKUP($A25,'Master vs SAP'!$A$8:$O$291,15,FALSE)="Homologado",VLOOKUP($A25,'Master vs SAP'!$A$8:$O$291,10,FALSE),"")</f>
        <v/>
      </c>
    </row>
    <row r="26" spans="1:23" ht="61.95" customHeight="1">
      <c r="A26" s="9" t="s">
        <v>144</v>
      </c>
      <c r="B26" s="9" t="s">
        <v>108</v>
      </c>
      <c r="C26" s="9" t="s">
        <v>145</v>
      </c>
      <c r="D26" s="24" t="str">
        <f>IF(VLOOKUP($A26,Neuquén!$A$8:$O$291,4,FALSE)="","",VLOOKUP($A26,Neuquén!$A$8:$O$291,4,FALSE))</f>
        <v>330</v>
      </c>
      <c r="E26" s="9" t="str">
        <f>IF(VLOOKUP($A26,Neuquén!$A$8:$O$291,5,FALSE)="","",VLOOKUP($A26,Neuquén!$A$8:$O$291,5,FALSE))</f>
        <v>MIDAZOLAM5MGAMP</v>
      </c>
      <c r="F26" s="9" t="str">
        <f>IF(VLOOKUP($A26,Neuquén!$A$8:$O$291,7,FALSE)="","",VLOOKUP($A26,Neuquén!$A$8:$O$291,7,FALSE))</f>
        <v>Baja</v>
      </c>
      <c r="G26" s="9" t="str">
        <f>IF(VLOOKUP($A26,Neuquén!$A$8:$O$291,6,FALSE)="","",VLOOKUP($A26,Neuquén!$A$8:$O$291,6,FALSE))</f>
        <v>Revisar presentación</v>
      </c>
      <c r="H26" s="24" t="str">
        <f>IF(VLOOKUP($A26,'San Juan'!$A$8:$O$291,4,FALSE)="","",VLOOKUP($A26,'San Juan'!$A$8:$O$291,4,FALSE))</f>
        <v>MED134</v>
      </c>
      <c r="I26" s="9" t="str">
        <f>IF(VLOOKUP($A26,'San Juan'!$A$8:$O$291,5,FALSE)="","",VLOOKUP($A26,'San Juan'!$A$8:$O$291,5,FALSE))</f>
        <v>Midazolan 5mg/ml Amp x 3 ml</v>
      </c>
      <c r="J26" s="9" t="str">
        <f>IF(VLOOKUP($A26,'San Juan'!$A$8:$O$291,7,FALSE)="","",VLOOKUP($A26,'San Juan'!$A$8:$O$291,7,FALSE))</f>
        <v>Alta</v>
      </c>
      <c r="K26" s="9" t="str">
        <f>IF(VLOOKUP($A26,'San Juan'!$A$8:$O$291,6,FALSE)="","",VLOOKUP($A26,'San Juan'!$A$8:$O$291,6,FALSE))</f>
        <v>Coincidencia por validar</v>
      </c>
      <c r="L26" s="24" t="str">
        <f>IF(VLOOKUP($A26,Salta!$A$8:$O$291,4,FALSE)="","",VLOOKUP($A26,Salta!$A$8:$O$291,4,FALSE))</f>
        <v>185</v>
      </c>
      <c r="M26" s="9" t="str">
        <f>IF(VLOOKUP($A26,Salta!$A$8:$O$291,5,FALSE)="","",VLOOKUP($A26,Salta!$A$8:$O$291,5,FALSE))</f>
        <v>Midazolam 1 amp=3ml/15mg</v>
      </c>
      <c r="N26" s="9" t="str">
        <f>IF(VLOOKUP($A26,Salta!$A$8:$O$291,7,FALSE)="","",VLOOKUP($A26,Salta!$A$8:$O$291,7,FALSE))</f>
        <v>Alta</v>
      </c>
      <c r="O26" s="9" t="str">
        <f>IF(VLOOKUP($A26,Salta!$A$8:$O$291,6,FALSE)="","",VLOOKUP($A26,Salta!$A$8:$O$291,6,FALSE))</f>
        <v>Coincidencia</v>
      </c>
      <c r="P26" s="24" t="str">
        <f>IF(VLOOKUP($A26,Neuquén!$A$8:$O$291,15,FALSE)="Homologado",VLOOKUP($A26,Neuquén!$A$8:$O$291,10,FALSE),"")</f>
        <v/>
      </c>
      <c r="Q26" s="24" t="str">
        <f>IF(VLOOKUP($A26,'San Juan'!$A$8:$O$291,15,FALSE)="Homologado",VLOOKUP($A26,'San Juan'!$A$8:$O$291,10,FALSE),"")</f>
        <v/>
      </c>
      <c r="R26" s="24" t="str">
        <f>IF(VLOOKUP($A26,Salta!$A$8:$O$291,15,FALSE)="Homologado",VLOOKUP($A26,Salta!$A$8:$O$291,10,FALSE),"")</f>
        <v/>
      </c>
      <c r="S26" s="24" t="str">
        <f>IF(VLOOKUP($A26,'Master vs SAP'!$A$8:$O$291,4,FALSE)="","",VLOOKUP($A26,'Master vs SAP'!$A$8:$O$291,4,FALSE))</f>
        <v>1000098</v>
      </c>
      <c r="T26" s="9" t="str">
        <f>IF(VLOOKUP($A26,'Master vs SAP'!$A$8:$O$291,5,FALSE)="","",VLOOKUP($A26,'Master vs SAP'!$A$8:$O$291,5,FALSE))</f>
        <v>MIDAZOLAN 15MG/3ML AMPOLLA INYECTABLE</v>
      </c>
      <c r="U26" s="9" t="str">
        <f>IF(VLOOKUP($A26,'Master vs SAP'!$A$8:$O$291,7,FALSE)="","",VLOOKUP($A26,'Master vs SAP'!$A$8:$O$291,7,FALSE))</f>
        <v>Alta</v>
      </c>
      <c r="V26" s="9" t="str">
        <f>IF(VLOOKUP($A26,'Master vs SAP'!$A$8:$O$291,6,FALSE)="","",VLOOKUP($A26,'Master vs SAP'!$A$8:$O$291,6,FALSE))</f>
        <v>Coincidencia</v>
      </c>
      <c r="W26" s="24" t="str">
        <f>IF(VLOOKUP($A26,'Master vs SAP'!$A$8:$O$291,15,FALSE)="Homologado",VLOOKUP($A26,'Master vs SAP'!$A$8:$O$291,10,FALSE),"")</f>
        <v/>
      </c>
    </row>
    <row r="27" spans="1:23" ht="61.95" customHeight="1">
      <c r="A27" s="9" t="s">
        <v>146</v>
      </c>
      <c r="B27" s="9" t="s">
        <v>108</v>
      </c>
      <c r="C27" s="9" t="s">
        <v>147</v>
      </c>
      <c r="D27" s="24" t="str">
        <f>IF(VLOOKUP($A27,Neuquén!$A$8:$O$291,4,FALSE)="","",VLOOKUP($A27,Neuquén!$A$8:$O$291,4,FALSE))</f>
        <v>309</v>
      </c>
      <c r="E27" s="9" t="str">
        <f>IF(VLOOKUP($A27,Neuquén!$A$8:$O$291,5,FALSE)="","",VLOOKUP($A27,Neuquén!$A$8:$O$291,5,FALSE))</f>
        <v>FENTANILOAMP</v>
      </c>
      <c r="F27" s="9" t="str">
        <f>IF(VLOOKUP($A27,Neuquén!$A$8:$O$291,7,FALSE)="","",VLOOKUP($A27,Neuquén!$A$8:$O$291,7,FALSE))</f>
        <v>Media</v>
      </c>
      <c r="G27" s="9" t="str">
        <f>IF(VLOOKUP($A27,Neuquén!$A$8:$O$291,6,FALSE)="","",VLOOKUP($A27,Neuquén!$A$8:$O$291,6,FALSE))</f>
        <v>Equivalencia a revisar</v>
      </c>
      <c r="H27" s="24" t="str">
        <f>IF(VLOOKUP($A27,'San Juan'!$A$8:$O$291,4,FALSE)="","",VLOOKUP($A27,'San Juan'!$A$8:$O$291,4,FALSE))</f>
        <v/>
      </c>
      <c r="I27" s="9" t="str">
        <f>IF(VLOOKUP($A27,'San Juan'!$A$8:$O$291,5,FALSE)="","",VLOOKUP($A27,'San Juan'!$A$8:$O$291,5,FALSE))</f>
        <v/>
      </c>
      <c r="J27" s="9" t="str">
        <f>IF(VLOOKUP($A27,'San Juan'!$A$8:$O$291,7,FALSE)="","",VLOOKUP($A27,'San Juan'!$A$8:$O$291,7,FALSE))</f>
        <v>Sin coincidencia</v>
      </c>
      <c r="K27" s="9" t="str">
        <f>IF(VLOOKUP($A27,'San Juan'!$A$8:$O$291,6,FALSE)="","",VLOOKUP($A27,'San Juan'!$A$8:$O$291,6,FALSE))</f>
        <v>Sin código encontrado</v>
      </c>
      <c r="L27" s="24" t="str">
        <f>IF(VLOOKUP($A27,Salta!$A$8:$O$291,4,FALSE)="","",VLOOKUP($A27,Salta!$A$8:$O$291,4,FALSE))</f>
        <v/>
      </c>
      <c r="M27" s="9" t="str">
        <f>IF(VLOOKUP($A27,Salta!$A$8:$O$291,5,FALSE)="","",VLOOKUP($A27,Salta!$A$8:$O$291,5,FALSE))</f>
        <v/>
      </c>
      <c r="N27" s="9" t="str">
        <f>IF(VLOOKUP($A27,Salta!$A$8:$O$291,7,FALSE)="","",VLOOKUP($A27,Salta!$A$8:$O$291,7,FALSE))</f>
        <v>Sin coincidencia</v>
      </c>
      <c r="O27" s="9" t="str">
        <f>IF(VLOOKUP($A27,Salta!$A$8:$O$291,6,FALSE)="","",VLOOKUP($A27,Salta!$A$8:$O$291,6,FALSE))</f>
        <v>Sin coincidencia</v>
      </c>
      <c r="P27" s="24" t="str">
        <f>IF(VLOOKUP($A27,Neuquén!$A$8:$O$291,15,FALSE)="Homologado",VLOOKUP($A27,Neuquén!$A$8:$O$291,10,FALSE),"")</f>
        <v/>
      </c>
      <c r="Q27" s="24" t="str">
        <f>IF(VLOOKUP($A27,'San Juan'!$A$8:$O$291,15,FALSE)="Homologado",VLOOKUP($A27,'San Juan'!$A$8:$O$291,10,FALSE),"")</f>
        <v/>
      </c>
      <c r="R27" s="24" t="str">
        <f>IF(VLOOKUP($A27,Salta!$A$8:$O$291,15,FALSE)="Homologado",VLOOKUP($A27,Salta!$A$8:$O$291,10,FALSE),"")</f>
        <v/>
      </c>
      <c r="S27" s="24" t="str">
        <f>IF(VLOOKUP($A27,'Master vs SAP'!$A$8:$O$291,4,FALSE)="","",VLOOKUP($A27,'Master vs SAP'!$A$8:$O$291,4,FALSE))</f>
        <v/>
      </c>
      <c r="T27" s="9" t="str">
        <f>IF(VLOOKUP($A27,'Master vs SAP'!$A$8:$O$291,5,FALSE)="","",VLOOKUP($A27,'Master vs SAP'!$A$8:$O$291,5,FALSE))</f>
        <v/>
      </c>
      <c r="U27" s="9" t="str">
        <f>IF(VLOOKUP($A27,'Master vs SAP'!$A$8:$O$291,7,FALSE)="","",VLOOKUP($A27,'Master vs SAP'!$A$8:$O$291,7,FALSE))</f>
        <v>Sin coincidencia</v>
      </c>
      <c r="V27" s="9" t="str">
        <f>IF(VLOOKUP($A27,'Master vs SAP'!$A$8:$O$291,6,FALSE)="","",VLOOKUP($A27,'Master vs SAP'!$A$8:$O$291,6,FALSE))</f>
        <v>Sin coincidencia</v>
      </c>
      <c r="W27" s="24" t="str">
        <f>IF(VLOOKUP($A27,'Master vs SAP'!$A$8:$O$291,15,FALSE)="Homologado",VLOOKUP($A27,'Master vs SAP'!$A$8:$O$291,10,FALSE),"")</f>
        <v/>
      </c>
    </row>
    <row r="28" spans="1:23" ht="61.95" customHeight="1">
      <c r="A28" s="9" t="s">
        <v>148</v>
      </c>
      <c r="B28" s="9" t="s">
        <v>108</v>
      </c>
      <c r="C28" s="9" t="s">
        <v>149</v>
      </c>
      <c r="D28" s="24" t="str">
        <f>IF(VLOOKUP($A28,Neuquén!$A$8:$O$291,4,FALSE)="","",VLOOKUP($A28,Neuquén!$A$8:$O$291,4,FALSE))</f>
        <v>331</v>
      </c>
      <c r="E28" s="9" t="str">
        <f>IF(VLOOKUP($A28,Neuquén!$A$8:$O$291,5,FALSE)="","",VLOOKUP($A28,Neuquén!$A$8:$O$291,5,FALSE))</f>
        <v>MORFINA10MGAMP</v>
      </c>
      <c r="F28" s="9" t="str">
        <f>IF(VLOOKUP($A28,Neuquén!$A$8:$O$291,7,FALSE)="","",VLOOKUP($A28,Neuquén!$A$8:$O$291,7,FALSE))</f>
        <v>Media</v>
      </c>
      <c r="G28" s="9" t="str">
        <f>IF(VLOOKUP($A28,Neuquén!$A$8:$O$291,6,FALSE)="","",VLOOKUP($A28,Neuquén!$A$8:$O$291,6,FALSE))</f>
        <v>Equivalencia a revisar</v>
      </c>
      <c r="H28" s="24" t="str">
        <f>IF(VLOOKUP($A28,'San Juan'!$A$8:$O$291,4,FALSE)="","",VLOOKUP($A28,'San Juan'!$A$8:$O$291,4,FALSE))</f>
        <v/>
      </c>
      <c r="I28" s="9" t="str">
        <f>IF(VLOOKUP($A28,'San Juan'!$A$8:$O$291,5,FALSE)="","",VLOOKUP($A28,'San Juan'!$A$8:$O$291,5,FALSE))</f>
        <v/>
      </c>
      <c r="J28" s="9" t="str">
        <f>IF(VLOOKUP($A28,'San Juan'!$A$8:$O$291,7,FALSE)="","",VLOOKUP($A28,'San Juan'!$A$8:$O$291,7,FALSE))</f>
        <v>Sin coincidencia</v>
      </c>
      <c r="K28" s="9" t="str">
        <f>IF(VLOOKUP($A28,'San Juan'!$A$8:$O$291,6,FALSE)="","",VLOOKUP($A28,'San Juan'!$A$8:$O$291,6,FALSE))</f>
        <v>Sin código encontrado</v>
      </c>
      <c r="L28" s="24" t="str">
        <f>IF(VLOOKUP($A28,Salta!$A$8:$O$291,4,FALSE)="","",VLOOKUP($A28,Salta!$A$8:$O$291,4,FALSE))</f>
        <v/>
      </c>
      <c r="M28" s="9" t="str">
        <f>IF(VLOOKUP($A28,Salta!$A$8:$O$291,5,FALSE)="","",VLOOKUP($A28,Salta!$A$8:$O$291,5,FALSE))</f>
        <v/>
      </c>
      <c r="N28" s="9" t="str">
        <f>IF(VLOOKUP($A28,Salta!$A$8:$O$291,7,FALSE)="","",VLOOKUP($A28,Salta!$A$8:$O$291,7,FALSE))</f>
        <v>Sin coincidencia</v>
      </c>
      <c r="O28" s="9" t="str">
        <f>IF(VLOOKUP($A28,Salta!$A$8:$O$291,6,FALSE)="","",VLOOKUP($A28,Salta!$A$8:$O$291,6,FALSE))</f>
        <v>Sin coincidencia</v>
      </c>
      <c r="P28" s="24" t="str">
        <f>IF(VLOOKUP($A28,Neuquén!$A$8:$O$291,15,FALSE)="Homologado",VLOOKUP($A28,Neuquén!$A$8:$O$291,10,FALSE),"")</f>
        <v/>
      </c>
      <c r="Q28" s="24" t="str">
        <f>IF(VLOOKUP($A28,'San Juan'!$A$8:$O$291,15,FALSE)="Homologado",VLOOKUP($A28,'San Juan'!$A$8:$O$291,10,FALSE),"")</f>
        <v/>
      </c>
      <c r="R28" s="24" t="str">
        <f>IF(VLOOKUP($A28,Salta!$A$8:$O$291,15,FALSE)="Homologado",VLOOKUP($A28,Salta!$A$8:$O$291,10,FALSE),"")</f>
        <v/>
      </c>
      <c r="S28" s="24" t="str">
        <f>IF(VLOOKUP($A28,'Master vs SAP'!$A$8:$O$291,4,FALSE)="","",VLOOKUP($A28,'Master vs SAP'!$A$8:$O$291,4,FALSE))</f>
        <v/>
      </c>
      <c r="T28" s="9" t="str">
        <f>IF(VLOOKUP($A28,'Master vs SAP'!$A$8:$O$291,5,FALSE)="","",VLOOKUP($A28,'Master vs SAP'!$A$8:$O$291,5,FALSE))</f>
        <v/>
      </c>
      <c r="U28" s="9" t="str">
        <f>IF(VLOOKUP($A28,'Master vs SAP'!$A$8:$O$291,7,FALSE)="","",VLOOKUP($A28,'Master vs SAP'!$A$8:$O$291,7,FALSE))</f>
        <v>Sin coincidencia</v>
      </c>
      <c r="V28" s="9" t="str">
        <f>IF(VLOOKUP($A28,'Master vs SAP'!$A$8:$O$291,6,FALSE)="","",VLOOKUP($A28,'Master vs SAP'!$A$8:$O$291,6,FALSE))</f>
        <v>Sin coincidencia</v>
      </c>
      <c r="W28" s="24" t="str">
        <f>IF(VLOOKUP($A28,'Master vs SAP'!$A$8:$O$291,15,FALSE)="Homologado",VLOOKUP($A28,'Master vs SAP'!$A$8:$O$291,10,FALSE),"")</f>
        <v/>
      </c>
    </row>
    <row r="29" spans="1:23" ht="61.95" customHeight="1">
      <c r="A29" s="9" t="s">
        <v>150</v>
      </c>
      <c r="B29" s="9" t="s">
        <v>108</v>
      </c>
      <c r="C29" s="9" t="s">
        <v>151</v>
      </c>
      <c r="D29" s="24" t="str">
        <f>IF(VLOOKUP($A29,Neuquén!$A$8:$O$291,4,FALSE)="","",VLOOKUP($A29,Neuquén!$A$8:$O$291,4,FALSE))</f>
        <v>272</v>
      </c>
      <c r="E29" s="9" t="str">
        <f>IF(VLOOKUP($A29,Neuquén!$A$8:$O$291,5,FALSE)="","",VLOOKUP($A29,Neuquén!$A$8:$O$291,5,FALSE))</f>
        <v>NALBUFINAAMP</v>
      </c>
      <c r="F29" s="9" t="str">
        <f>IF(VLOOKUP($A29,Neuquén!$A$8:$O$291,7,FALSE)="","",VLOOKUP($A29,Neuquén!$A$8:$O$291,7,FALSE))</f>
        <v>Media</v>
      </c>
      <c r="G29" s="9" t="str">
        <f>IF(VLOOKUP($A29,Neuquén!$A$8:$O$291,6,FALSE)="","",VLOOKUP($A29,Neuquén!$A$8:$O$291,6,FALSE))</f>
        <v>Equivalencia a revisar</v>
      </c>
      <c r="H29" s="24" t="str">
        <f>IF(VLOOKUP($A29,'San Juan'!$A$8:$O$291,4,FALSE)="","",VLOOKUP($A29,'San Juan'!$A$8:$O$291,4,FALSE))</f>
        <v/>
      </c>
      <c r="I29" s="9" t="str">
        <f>IF(VLOOKUP($A29,'San Juan'!$A$8:$O$291,5,FALSE)="","",VLOOKUP($A29,'San Juan'!$A$8:$O$291,5,FALSE))</f>
        <v/>
      </c>
      <c r="J29" s="9" t="str">
        <f>IF(VLOOKUP($A29,'San Juan'!$A$8:$O$291,7,FALSE)="","",VLOOKUP($A29,'San Juan'!$A$8:$O$291,7,FALSE))</f>
        <v>Sin coincidencia</v>
      </c>
      <c r="K29" s="9" t="str">
        <f>IF(VLOOKUP($A29,'San Juan'!$A$8:$O$291,6,FALSE)="","",VLOOKUP($A29,'San Juan'!$A$8:$O$291,6,FALSE))</f>
        <v>Sin código encontrado</v>
      </c>
      <c r="L29" s="24" t="str">
        <f>IF(VLOOKUP($A29,Salta!$A$8:$O$291,4,FALSE)="","",VLOOKUP($A29,Salta!$A$8:$O$291,4,FALSE))</f>
        <v>188</v>
      </c>
      <c r="M29" s="9" t="str">
        <f>IF(VLOOKUP($A29,Salta!$A$8:$O$291,5,FALSE)="","",VLOOKUP($A29,Salta!$A$8:$O$291,5,FALSE))</f>
        <v>Nalbufina 1 amp=1ml/10mg</v>
      </c>
      <c r="N29" s="9" t="str">
        <f>IF(VLOOKUP($A29,Salta!$A$8:$O$291,7,FALSE)="","",VLOOKUP($A29,Salta!$A$8:$O$291,7,FALSE))</f>
        <v>Alta</v>
      </c>
      <c r="O29" s="9" t="str">
        <f>IF(VLOOKUP($A29,Salta!$A$8:$O$291,6,FALSE)="","",VLOOKUP($A29,Salta!$A$8:$O$291,6,FALSE))</f>
        <v>Coincidencia</v>
      </c>
      <c r="P29" s="24" t="str">
        <f>IF(VLOOKUP($A29,Neuquén!$A$8:$O$291,15,FALSE)="Homologado",VLOOKUP($A29,Neuquén!$A$8:$O$291,10,FALSE),"")</f>
        <v/>
      </c>
      <c r="Q29" s="24" t="str">
        <f>IF(VLOOKUP($A29,'San Juan'!$A$8:$O$291,15,FALSE)="Homologado",VLOOKUP($A29,'San Juan'!$A$8:$O$291,10,FALSE),"")</f>
        <v/>
      </c>
      <c r="R29" s="24" t="str">
        <f>IF(VLOOKUP($A29,Salta!$A$8:$O$291,15,FALSE)="Homologado",VLOOKUP($A29,Salta!$A$8:$O$291,10,FALSE),"")</f>
        <v/>
      </c>
      <c r="S29" s="24" t="str">
        <f>IF(VLOOKUP($A29,'Master vs SAP'!$A$8:$O$291,4,FALSE)="","",VLOOKUP($A29,'Master vs SAP'!$A$8:$O$291,4,FALSE))</f>
        <v>1000104</v>
      </c>
      <c r="T29" s="9" t="str">
        <f>IF(VLOOKUP($A29,'Master vs SAP'!$A$8:$O$291,5,FALSE)="","",VLOOKUP($A29,'Master vs SAP'!$A$8:$O$291,5,FALSE))</f>
        <v>NALBUFINA 10MG/1ML AMPOLLA</v>
      </c>
      <c r="U29" s="9" t="str">
        <f>IF(VLOOKUP($A29,'Master vs SAP'!$A$8:$O$291,7,FALSE)="","",VLOOKUP($A29,'Master vs SAP'!$A$8:$O$291,7,FALSE))</f>
        <v>Alta</v>
      </c>
      <c r="V29" s="9" t="str">
        <f>IF(VLOOKUP($A29,'Master vs SAP'!$A$8:$O$291,6,FALSE)="","",VLOOKUP($A29,'Master vs SAP'!$A$8:$O$291,6,FALSE))</f>
        <v>Coincidencia</v>
      </c>
      <c r="W29" s="24" t="str">
        <f>IF(VLOOKUP($A29,'Master vs SAP'!$A$8:$O$291,15,FALSE)="Homologado",VLOOKUP($A29,'Master vs SAP'!$A$8:$O$291,10,FALSE),"")</f>
        <v/>
      </c>
    </row>
    <row r="30" spans="1:23" ht="61.95" customHeight="1">
      <c r="A30" s="9" t="s">
        <v>152</v>
      </c>
      <c r="B30" s="9" t="s">
        <v>108</v>
      </c>
      <c r="C30" s="9" t="s">
        <v>153</v>
      </c>
      <c r="D30" s="24" t="str">
        <f>IF(VLOOKUP($A30,Neuquén!$A$8:$O$291,4,FALSE)="","",VLOOKUP($A30,Neuquén!$A$8:$O$291,4,FALSE))</f>
        <v>488</v>
      </c>
      <c r="E30" s="9" t="str">
        <f>IF(VLOOKUP($A30,Neuquén!$A$8:$O$291,5,FALSE)="","",VLOOKUP($A30,Neuquén!$A$8:$O$291,5,FALSE))</f>
        <v>Etomidato</v>
      </c>
      <c r="F30" s="9" t="str">
        <f>IF(VLOOKUP($A30,Neuquén!$A$8:$O$291,7,FALSE)="","",VLOOKUP($A30,Neuquén!$A$8:$O$291,7,FALSE))</f>
        <v>Media</v>
      </c>
      <c r="G30" s="9" t="str">
        <f>IF(VLOOKUP($A30,Neuquén!$A$8:$O$291,6,FALSE)="","",VLOOKUP($A30,Neuquén!$A$8:$O$291,6,FALSE))</f>
        <v>Equivalencia a revisar</v>
      </c>
      <c r="H30" s="24" t="str">
        <f>IF(VLOOKUP($A30,'San Juan'!$A$8:$O$291,4,FALSE)="","",VLOOKUP($A30,'San Juan'!$A$8:$O$291,4,FALSE))</f>
        <v/>
      </c>
      <c r="I30" s="9" t="str">
        <f>IF(VLOOKUP($A30,'San Juan'!$A$8:$O$291,5,FALSE)="","",VLOOKUP($A30,'San Juan'!$A$8:$O$291,5,FALSE))</f>
        <v/>
      </c>
      <c r="J30" s="9" t="str">
        <f>IF(VLOOKUP($A30,'San Juan'!$A$8:$O$291,7,FALSE)="","",VLOOKUP($A30,'San Juan'!$A$8:$O$291,7,FALSE))</f>
        <v>Sin coincidencia</v>
      </c>
      <c r="K30" s="9" t="str">
        <f>IF(VLOOKUP($A30,'San Juan'!$A$8:$O$291,6,FALSE)="","",VLOOKUP($A30,'San Juan'!$A$8:$O$291,6,FALSE))</f>
        <v>Sin código encontrado</v>
      </c>
      <c r="L30" s="24" t="str">
        <f>IF(VLOOKUP($A30,Salta!$A$8:$O$291,4,FALSE)="","",VLOOKUP($A30,Salta!$A$8:$O$291,4,FALSE))</f>
        <v/>
      </c>
      <c r="M30" s="9" t="str">
        <f>IF(VLOOKUP($A30,Salta!$A$8:$O$291,5,FALSE)="","",VLOOKUP($A30,Salta!$A$8:$O$291,5,FALSE))</f>
        <v/>
      </c>
      <c r="N30" s="9" t="str">
        <f>IF(VLOOKUP($A30,Salta!$A$8:$O$291,7,FALSE)="","",VLOOKUP($A30,Salta!$A$8:$O$291,7,FALSE))</f>
        <v>Sin coincidencia</v>
      </c>
      <c r="O30" s="9" t="str">
        <f>IF(VLOOKUP($A30,Salta!$A$8:$O$291,6,FALSE)="","",VLOOKUP($A30,Salta!$A$8:$O$291,6,FALSE))</f>
        <v>Sin coincidencia</v>
      </c>
      <c r="P30" s="24" t="str">
        <f>IF(VLOOKUP($A30,Neuquén!$A$8:$O$291,15,FALSE)="Homologado",VLOOKUP($A30,Neuquén!$A$8:$O$291,10,FALSE),"")</f>
        <v/>
      </c>
      <c r="Q30" s="24" t="str">
        <f>IF(VLOOKUP($A30,'San Juan'!$A$8:$O$291,15,FALSE)="Homologado",VLOOKUP($A30,'San Juan'!$A$8:$O$291,10,FALSE),"")</f>
        <v/>
      </c>
      <c r="R30" s="24" t="str">
        <f>IF(VLOOKUP($A30,Salta!$A$8:$O$291,15,FALSE)="Homologado",VLOOKUP($A30,Salta!$A$8:$O$291,10,FALSE),"")</f>
        <v/>
      </c>
      <c r="S30" s="24" t="str">
        <f>IF(VLOOKUP($A30,'Master vs SAP'!$A$8:$O$291,4,FALSE)="","",VLOOKUP($A30,'Master vs SAP'!$A$8:$O$291,4,FALSE))</f>
        <v>1005141</v>
      </c>
      <c r="T30" s="9" t="str">
        <f>IF(VLOOKUP($A30,'Master vs SAP'!$A$8:$O$291,5,FALSE)="","",VLOOKUP($A30,'Master vs SAP'!$A$8:$O$291,5,FALSE))</f>
        <v>ETOMIDATO 20MG AMP</v>
      </c>
      <c r="U30" s="9" t="str">
        <f>IF(VLOOKUP($A30,'Master vs SAP'!$A$8:$O$291,7,FALSE)="","",VLOOKUP($A30,'Master vs SAP'!$A$8:$O$291,7,FALSE))</f>
        <v>Media</v>
      </c>
      <c r="V30" s="9" t="str">
        <f>IF(VLOOKUP($A30,'Master vs SAP'!$A$8:$O$291,6,FALSE)="","",VLOOKUP($A30,'Master vs SAP'!$A$8:$O$291,6,FALSE))</f>
        <v>Revisar datos</v>
      </c>
      <c r="W30" s="24" t="str">
        <f>IF(VLOOKUP($A30,'Master vs SAP'!$A$8:$O$291,15,FALSE)="Homologado",VLOOKUP($A30,'Master vs SAP'!$A$8:$O$291,10,FALSE),"")</f>
        <v/>
      </c>
    </row>
    <row r="31" spans="1:23" ht="61.95" customHeight="1">
      <c r="A31" s="9" t="s">
        <v>154</v>
      </c>
      <c r="B31" s="9" t="s">
        <v>108</v>
      </c>
      <c r="C31" s="9" t="s">
        <v>155</v>
      </c>
      <c r="D31" s="24" t="str">
        <f>IF(VLOOKUP($A31,Neuquén!$A$8:$O$291,4,FALSE)="","",VLOOKUP($A31,Neuquén!$A$8:$O$291,4,FALSE))</f>
        <v>489</v>
      </c>
      <c r="E31" s="9" t="str">
        <f>IF(VLOOKUP($A31,Neuquén!$A$8:$O$291,5,FALSE)="","",VLOOKUP($A31,Neuquén!$A$8:$O$291,5,FALSE))</f>
        <v>Propofol</v>
      </c>
      <c r="F31" s="9" t="str">
        <f>IF(VLOOKUP($A31,Neuquén!$A$8:$O$291,7,FALSE)="","",VLOOKUP($A31,Neuquén!$A$8:$O$291,7,FALSE))</f>
        <v>Media</v>
      </c>
      <c r="G31" s="9" t="str">
        <f>IF(VLOOKUP($A31,Neuquén!$A$8:$O$291,6,FALSE)="","",VLOOKUP($A31,Neuquén!$A$8:$O$291,6,FALSE))</f>
        <v>Equivalencia a revisar</v>
      </c>
      <c r="H31" s="24" t="str">
        <f>IF(VLOOKUP($A31,'San Juan'!$A$8:$O$291,4,FALSE)="","",VLOOKUP($A31,'San Juan'!$A$8:$O$291,4,FALSE))</f>
        <v/>
      </c>
      <c r="I31" s="9" t="str">
        <f>IF(VLOOKUP($A31,'San Juan'!$A$8:$O$291,5,FALSE)="","",VLOOKUP($A31,'San Juan'!$A$8:$O$291,5,FALSE))</f>
        <v/>
      </c>
      <c r="J31" s="9" t="str">
        <f>IF(VLOOKUP($A31,'San Juan'!$A$8:$O$291,7,FALSE)="","",VLOOKUP($A31,'San Juan'!$A$8:$O$291,7,FALSE))</f>
        <v>Sin coincidencia</v>
      </c>
      <c r="K31" s="9" t="str">
        <f>IF(VLOOKUP($A31,'San Juan'!$A$8:$O$291,6,FALSE)="","",VLOOKUP($A31,'San Juan'!$A$8:$O$291,6,FALSE))</f>
        <v>Sin código encontrado</v>
      </c>
      <c r="L31" s="24" t="str">
        <f>IF(VLOOKUP($A31,Salta!$A$8:$O$291,4,FALSE)="","",VLOOKUP($A31,Salta!$A$8:$O$291,4,FALSE))</f>
        <v/>
      </c>
      <c r="M31" s="9" t="str">
        <f>IF(VLOOKUP($A31,Salta!$A$8:$O$291,5,FALSE)="","",VLOOKUP($A31,Salta!$A$8:$O$291,5,FALSE))</f>
        <v/>
      </c>
      <c r="N31" s="9" t="str">
        <f>IF(VLOOKUP($A31,Salta!$A$8:$O$291,7,FALSE)="","",VLOOKUP($A31,Salta!$A$8:$O$291,7,FALSE))</f>
        <v>Sin coincidencia</v>
      </c>
      <c r="O31" s="9" t="str">
        <f>IF(VLOOKUP($A31,Salta!$A$8:$O$291,6,FALSE)="","",VLOOKUP($A31,Salta!$A$8:$O$291,6,FALSE))</f>
        <v>Sin coincidencia</v>
      </c>
      <c r="P31" s="24" t="str">
        <f>IF(VLOOKUP($A31,Neuquén!$A$8:$O$291,15,FALSE)="Homologado",VLOOKUP($A31,Neuquén!$A$8:$O$291,10,FALSE),"")</f>
        <v/>
      </c>
      <c r="Q31" s="24" t="str">
        <f>IF(VLOOKUP($A31,'San Juan'!$A$8:$O$291,15,FALSE)="Homologado",VLOOKUP($A31,'San Juan'!$A$8:$O$291,10,FALSE),"")</f>
        <v/>
      </c>
      <c r="R31" s="24" t="str">
        <f>IF(VLOOKUP($A31,Salta!$A$8:$O$291,15,FALSE)="Homologado",VLOOKUP($A31,Salta!$A$8:$O$291,10,FALSE),"")</f>
        <v/>
      </c>
      <c r="S31" s="24" t="str">
        <f>IF(VLOOKUP($A31,'Master vs SAP'!$A$8:$O$291,4,FALSE)="","",VLOOKUP($A31,'Master vs SAP'!$A$8:$O$291,4,FALSE))</f>
        <v/>
      </c>
      <c r="T31" s="9" t="str">
        <f>IF(VLOOKUP($A31,'Master vs SAP'!$A$8:$O$291,5,FALSE)="","",VLOOKUP($A31,'Master vs SAP'!$A$8:$O$291,5,FALSE))</f>
        <v/>
      </c>
      <c r="U31" s="9" t="str">
        <f>IF(VLOOKUP($A31,'Master vs SAP'!$A$8:$O$291,7,FALSE)="","",VLOOKUP($A31,'Master vs SAP'!$A$8:$O$291,7,FALSE))</f>
        <v>Sin coincidencia</v>
      </c>
      <c r="V31" s="9" t="str">
        <f>IF(VLOOKUP($A31,'Master vs SAP'!$A$8:$O$291,6,FALSE)="","",VLOOKUP($A31,'Master vs SAP'!$A$8:$O$291,6,FALSE))</f>
        <v>Sin coincidencia</v>
      </c>
      <c r="W31" s="24" t="str">
        <f>IF(VLOOKUP($A31,'Master vs SAP'!$A$8:$O$291,15,FALSE)="Homologado",VLOOKUP($A31,'Master vs SAP'!$A$8:$O$291,10,FALSE),"")</f>
        <v/>
      </c>
    </row>
    <row r="32" spans="1:23" ht="61.95" customHeight="1">
      <c r="A32" s="9" t="s">
        <v>156</v>
      </c>
      <c r="B32" s="9" t="s">
        <v>108</v>
      </c>
      <c r="C32" s="9" t="s">
        <v>157</v>
      </c>
      <c r="D32" s="24" t="str">
        <f>IF(VLOOKUP($A32,Neuquén!$A$8:$O$291,4,FALSE)="","",VLOOKUP($A32,Neuquén!$A$8:$O$291,4,FALSE))</f>
        <v>262</v>
      </c>
      <c r="E32" s="9" t="str">
        <f>IF(VLOOKUP($A32,Neuquén!$A$8:$O$291,5,FALSE)="","",VLOOKUP($A32,Neuquén!$A$8:$O$291,5,FALSE))</f>
        <v>SUCCINILCOLINA500MG</v>
      </c>
      <c r="F32" s="9" t="str">
        <f>IF(VLOOKUP($A32,Neuquén!$A$8:$O$291,7,FALSE)="","",VLOOKUP($A32,Neuquén!$A$8:$O$291,7,FALSE))</f>
        <v>Baja</v>
      </c>
      <c r="G32" s="9" t="str">
        <f>IF(VLOOKUP($A32,Neuquén!$A$8:$O$291,6,FALSE)="","",VLOOKUP($A32,Neuquén!$A$8:$O$291,6,FALSE))</f>
        <v>Revisar presentación</v>
      </c>
      <c r="H32" s="24" t="str">
        <f>IF(VLOOKUP($A32,'San Juan'!$A$8:$O$291,4,FALSE)="","",VLOOKUP($A32,'San Juan'!$A$8:$O$291,4,FALSE))</f>
        <v/>
      </c>
      <c r="I32" s="9" t="str">
        <f>IF(VLOOKUP($A32,'San Juan'!$A$8:$O$291,5,FALSE)="","",VLOOKUP($A32,'San Juan'!$A$8:$O$291,5,FALSE))</f>
        <v/>
      </c>
      <c r="J32" s="9" t="str">
        <f>IF(VLOOKUP($A32,'San Juan'!$A$8:$O$291,7,FALSE)="","",VLOOKUP($A32,'San Juan'!$A$8:$O$291,7,FALSE))</f>
        <v>Sin coincidencia</v>
      </c>
      <c r="K32" s="9" t="str">
        <f>IF(VLOOKUP($A32,'San Juan'!$A$8:$O$291,6,FALSE)="","",VLOOKUP($A32,'San Juan'!$A$8:$O$291,6,FALSE))</f>
        <v>Sin código encontrado</v>
      </c>
      <c r="L32" s="24" t="str">
        <f>IF(VLOOKUP($A32,Salta!$A$8:$O$291,4,FALSE)="","",VLOOKUP($A32,Salta!$A$8:$O$291,4,FALSE))</f>
        <v/>
      </c>
      <c r="M32" s="9" t="str">
        <f>IF(VLOOKUP($A32,Salta!$A$8:$O$291,5,FALSE)="","",VLOOKUP($A32,Salta!$A$8:$O$291,5,FALSE))</f>
        <v/>
      </c>
      <c r="N32" s="9" t="str">
        <f>IF(VLOOKUP($A32,Salta!$A$8:$O$291,7,FALSE)="","",VLOOKUP($A32,Salta!$A$8:$O$291,7,FALSE))</f>
        <v>Sin coincidencia</v>
      </c>
      <c r="O32" s="9" t="str">
        <f>IF(VLOOKUP($A32,Salta!$A$8:$O$291,6,FALSE)="","",VLOOKUP($A32,Salta!$A$8:$O$291,6,FALSE))</f>
        <v>Sin coincidencia</v>
      </c>
      <c r="P32" s="24" t="str">
        <f>IF(VLOOKUP($A32,Neuquén!$A$8:$O$291,15,FALSE)="Homologado",VLOOKUP($A32,Neuquén!$A$8:$O$291,10,FALSE),"")</f>
        <v/>
      </c>
      <c r="Q32" s="24" t="str">
        <f>IF(VLOOKUP($A32,'San Juan'!$A$8:$O$291,15,FALSE)="Homologado",VLOOKUP($A32,'San Juan'!$A$8:$O$291,10,FALSE),"")</f>
        <v/>
      </c>
      <c r="R32" s="24" t="str">
        <f>IF(VLOOKUP($A32,Salta!$A$8:$O$291,15,FALSE)="Homologado",VLOOKUP($A32,Salta!$A$8:$O$291,10,FALSE),"")</f>
        <v/>
      </c>
      <c r="S32" s="24" t="str">
        <f>IF(VLOOKUP($A32,'Master vs SAP'!$A$8:$O$291,4,FALSE)="","",VLOOKUP($A32,'Master vs SAP'!$A$8:$O$291,4,FALSE))</f>
        <v>1000402</v>
      </c>
      <c r="T32" s="9" t="str">
        <f>IF(VLOOKUP($A32,'Master vs SAP'!$A$8:$O$291,5,FALSE)="","",VLOOKUP($A32,'Master vs SAP'!$A$8:$O$291,5,FALSE))</f>
        <v>SUCCINILCOLINA 100 mg</v>
      </c>
      <c r="U32" s="9" t="str">
        <f>IF(VLOOKUP($A32,'Master vs SAP'!$A$8:$O$291,7,FALSE)="","",VLOOKUP($A32,'Master vs SAP'!$A$8:$O$291,7,FALSE))</f>
        <v>Alta</v>
      </c>
      <c r="V32" s="9" t="str">
        <f>IF(VLOOKUP($A32,'Master vs SAP'!$A$8:$O$291,6,FALSE)="","",VLOOKUP($A32,'Master vs SAP'!$A$8:$O$291,6,FALSE))</f>
        <v>Coincidencia</v>
      </c>
      <c r="W32" s="24" t="str">
        <f>IF(VLOOKUP($A32,'Master vs SAP'!$A$8:$O$291,15,FALSE)="Homologado",VLOOKUP($A32,'Master vs SAP'!$A$8:$O$291,10,FALSE),"")</f>
        <v/>
      </c>
    </row>
    <row r="33" spans="1:23" ht="61.95" customHeight="1">
      <c r="A33" s="9" t="s">
        <v>158</v>
      </c>
      <c r="B33" s="9" t="s">
        <v>108</v>
      </c>
      <c r="C33" s="9" t="s">
        <v>159</v>
      </c>
      <c r="D33" s="24" t="str">
        <f>IF(VLOOKUP($A33,Neuquén!$A$8:$O$291,4,FALSE)="","",VLOOKUP($A33,Neuquén!$A$8:$O$291,4,FALSE))</f>
        <v>2</v>
      </c>
      <c r="E33" s="9" t="str">
        <f>IF(VLOOKUP($A33,Neuquén!$A$8:$O$291,5,FALSE)="","",VLOOKUP($A33,Neuquén!$A$8:$O$291,5,FALSE))</f>
        <v>ADRENALINAINY</v>
      </c>
      <c r="F33" s="9" t="str">
        <f>IF(VLOOKUP($A33,Neuquén!$A$8:$O$291,7,FALSE)="","",VLOOKUP($A33,Neuquén!$A$8:$O$291,7,FALSE))</f>
        <v>Media</v>
      </c>
      <c r="G33" s="9" t="str">
        <f>IF(VLOOKUP($A33,Neuquén!$A$8:$O$291,6,FALSE)="","",VLOOKUP($A33,Neuquén!$A$8:$O$291,6,FALSE))</f>
        <v>Equivalencia a revisar</v>
      </c>
      <c r="H33" s="24" t="str">
        <f>IF(VLOOKUP($A33,'San Juan'!$A$8:$O$291,4,FALSE)="","",VLOOKUP($A33,'San Juan'!$A$8:$O$291,4,FALSE))</f>
        <v>MED9</v>
      </c>
      <c r="I33" s="9" t="str">
        <f>IF(VLOOKUP($A33,'San Juan'!$A$8:$O$291,5,FALSE)="","",VLOOKUP($A33,'San Juan'!$A$8:$O$291,5,FALSE))</f>
        <v>Adrenalina amp 1 ml</v>
      </c>
      <c r="J33" s="9" t="str">
        <f>IF(VLOOKUP($A33,'San Juan'!$A$8:$O$291,7,FALSE)="","",VLOOKUP($A33,'San Juan'!$A$8:$O$291,7,FALSE))</f>
        <v>Alta</v>
      </c>
      <c r="K33" s="9" t="str">
        <f>IF(VLOOKUP($A33,'San Juan'!$A$8:$O$291,6,FALSE)="","",VLOOKUP($A33,'San Juan'!$A$8:$O$291,6,FALSE))</f>
        <v>Coincidencia por validar</v>
      </c>
      <c r="L33" s="24" t="str">
        <f>IF(VLOOKUP($A33,Salta!$A$8:$O$291,4,FALSE)="","",VLOOKUP($A33,Salta!$A$8:$O$291,4,FALSE))</f>
        <v>14</v>
      </c>
      <c r="M33" s="9" t="str">
        <f>IF(VLOOKUP($A33,Salta!$A$8:$O$291,5,FALSE)="","",VLOOKUP($A33,Salta!$A$8:$O$291,5,FALSE))</f>
        <v>Adrenalina 1 amp=1ml</v>
      </c>
      <c r="N33" s="9" t="str">
        <f>IF(VLOOKUP($A33,Salta!$A$8:$O$291,7,FALSE)="","",VLOOKUP($A33,Salta!$A$8:$O$291,7,FALSE))</f>
        <v>Media</v>
      </c>
      <c r="O33" s="9" t="str">
        <f>IF(VLOOKUP($A33,Salta!$A$8:$O$291,6,FALSE)="","",VLOOKUP($A33,Salta!$A$8:$O$291,6,FALSE))</f>
        <v>Revisar datos</v>
      </c>
      <c r="P33" s="24" t="str">
        <f>IF(VLOOKUP($A33,Neuquén!$A$8:$O$291,15,FALSE)="Homologado",VLOOKUP($A33,Neuquén!$A$8:$O$291,10,FALSE),"")</f>
        <v/>
      </c>
      <c r="Q33" s="24" t="str">
        <f>IF(VLOOKUP($A33,'San Juan'!$A$8:$O$291,15,FALSE)="Homologado",VLOOKUP($A33,'San Juan'!$A$8:$O$291,10,FALSE),"")</f>
        <v/>
      </c>
      <c r="R33" s="24" t="str">
        <f>IF(VLOOKUP($A33,Salta!$A$8:$O$291,15,FALSE)="Homologado",VLOOKUP($A33,Salta!$A$8:$O$291,10,FALSE),"")</f>
        <v/>
      </c>
      <c r="S33" s="24" t="str">
        <f>IF(VLOOKUP($A33,'Master vs SAP'!$A$8:$O$291,4,FALSE)="","",VLOOKUP($A33,'Master vs SAP'!$A$8:$O$291,4,FALSE))</f>
        <v>1000002</v>
      </c>
      <c r="T33" s="9" t="str">
        <f>IF(VLOOKUP($A33,'Master vs SAP'!$A$8:$O$291,5,FALSE)="","",VLOOKUP($A33,'Master vs SAP'!$A$8:$O$291,5,FALSE))</f>
        <v>ADRENALINA 1MG AMPOLLA DE 1 ML INYEC</v>
      </c>
      <c r="U33" s="9" t="str">
        <f>IF(VLOOKUP($A33,'Master vs SAP'!$A$8:$O$291,7,FALSE)="","",VLOOKUP($A33,'Master vs SAP'!$A$8:$O$291,7,FALSE))</f>
        <v>Alta</v>
      </c>
      <c r="V33" s="9" t="str">
        <f>IF(VLOOKUP($A33,'Master vs SAP'!$A$8:$O$291,6,FALSE)="","",VLOOKUP($A33,'Master vs SAP'!$A$8:$O$291,6,FALSE))</f>
        <v>Coincidencia</v>
      </c>
      <c r="W33" s="24" t="str">
        <f>IF(VLOOKUP($A33,'Master vs SAP'!$A$8:$O$291,15,FALSE)="Homologado",VLOOKUP($A33,'Master vs SAP'!$A$8:$O$291,10,FALSE),"")</f>
        <v/>
      </c>
    </row>
    <row r="34" spans="1:23" ht="61.95" customHeight="1">
      <c r="A34" s="9" t="s">
        <v>160</v>
      </c>
      <c r="B34" s="9" t="s">
        <v>108</v>
      </c>
      <c r="C34" s="9" t="s">
        <v>161</v>
      </c>
      <c r="D34" s="24" t="str">
        <f>IF(VLOOKUP($A34,Neuquén!$A$8:$O$291,4,FALSE)="","",VLOOKUP($A34,Neuquén!$A$8:$O$291,4,FALSE))</f>
        <v>26</v>
      </c>
      <c r="E34" s="9" t="str">
        <f>IF(VLOOKUP($A34,Neuquén!$A$8:$O$291,5,FALSE)="","",VLOOKUP($A34,Neuquén!$A$8:$O$291,5,FALSE))</f>
        <v>ATROPINAAMP</v>
      </c>
      <c r="F34" s="9" t="str">
        <f>IF(VLOOKUP($A34,Neuquén!$A$8:$O$291,7,FALSE)="","",VLOOKUP($A34,Neuquén!$A$8:$O$291,7,FALSE))</f>
        <v>Media</v>
      </c>
      <c r="G34" s="9" t="str">
        <f>IF(VLOOKUP($A34,Neuquén!$A$8:$O$291,6,FALSE)="","",VLOOKUP($A34,Neuquén!$A$8:$O$291,6,FALSE))</f>
        <v>Equivalencia a revisar</v>
      </c>
      <c r="H34" s="24" t="str">
        <f>IF(VLOOKUP($A34,'San Juan'!$A$8:$O$291,4,FALSE)="","",VLOOKUP($A34,'San Juan'!$A$8:$O$291,4,FALSE))</f>
        <v>MED174</v>
      </c>
      <c r="I34" s="9" t="str">
        <f>IF(VLOOKUP($A34,'San Juan'!$A$8:$O$291,5,FALSE)="","",VLOOKUP($A34,'San Juan'!$A$8:$O$291,5,FALSE))</f>
        <v>Sulfato de Atropina 1mg Amp x 1 ml</v>
      </c>
      <c r="J34" s="9" t="str">
        <f>IF(VLOOKUP($A34,'San Juan'!$A$8:$O$291,7,FALSE)="","",VLOOKUP($A34,'San Juan'!$A$8:$O$291,7,FALSE))</f>
        <v>Alta</v>
      </c>
      <c r="K34" s="9" t="str">
        <f>IF(VLOOKUP($A34,'San Juan'!$A$8:$O$291,6,FALSE)="","",VLOOKUP($A34,'San Juan'!$A$8:$O$291,6,FALSE))</f>
        <v>Coincidencia por validar</v>
      </c>
      <c r="L34" s="24" t="str">
        <f>IF(VLOOKUP($A34,Salta!$A$8:$O$291,4,FALSE)="","",VLOOKUP($A34,Salta!$A$8:$O$291,4,FALSE))</f>
        <v>230</v>
      </c>
      <c r="M34" s="9" t="str">
        <f>IF(VLOOKUP($A34,Salta!$A$8:$O$291,5,FALSE)="","",VLOOKUP($A34,Salta!$A$8:$O$291,5,FALSE))</f>
        <v>Sulfato de Atropina (Klonatropina) 1 amp=1 ml</v>
      </c>
      <c r="N34" s="9" t="str">
        <f>IF(VLOOKUP($A34,Salta!$A$8:$O$291,7,FALSE)="","",VLOOKUP($A34,Salta!$A$8:$O$291,7,FALSE))</f>
        <v>Media</v>
      </c>
      <c r="O34" s="9" t="str">
        <f>IF(VLOOKUP($A34,Salta!$A$8:$O$291,6,FALSE)="","",VLOOKUP($A34,Salta!$A$8:$O$291,6,FALSE))</f>
        <v>Revisar datos</v>
      </c>
      <c r="P34" s="24" t="str">
        <f>IF(VLOOKUP($A34,Neuquén!$A$8:$O$291,15,FALSE)="Homologado",VLOOKUP($A34,Neuquén!$A$8:$O$291,10,FALSE),"")</f>
        <v/>
      </c>
      <c r="Q34" s="24" t="str">
        <f>IF(VLOOKUP($A34,'San Juan'!$A$8:$O$291,15,FALSE)="Homologado",VLOOKUP($A34,'San Juan'!$A$8:$O$291,10,FALSE),"")</f>
        <v/>
      </c>
      <c r="R34" s="24" t="str">
        <f>IF(VLOOKUP($A34,Salta!$A$8:$O$291,15,FALSE)="Homologado",VLOOKUP($A34,Salta!$A$8:$O$291,10,FALSE),"")</f>
        <v/>
      </c>
      <c r="S34" s="24" t="str">
        <f>IF(VLOOKUP($A34,'Master vs SAP'!$A$8:$O$291,4,FALSE)="","",VLOOKUP($A34,'Master vs SAP'!$A$8:$O$291,4,FALSE))</f>
        <v>1000007</v>
      </c>
      <c r="T34" s="9" t="str">
        <f>IF(VLOOKUP($A34,'Master vs SAP'!$A$8:$O$291,5,FALSE)="","",VLOOKUP($A34,'Master vs SAP'!$A$8:$O$291,5,FALSE))</f>
        <v>ATROPINA 1MG AMPOLLA DE 1ML</v>
      </c>
      <c r="U34" s="9" t="str">
        <f>IF(VLOOKUP($A34,'Master vs SAP'!$A$8:$O$291,7,FALSE)="","",VLOOKUP($A34,'Master vs SAP'!$A$8:$O$291,7,FALSE))</f>
        <v>Alta</v>
      </c>
      <c r="V34" s="9" t="str">
        <f>IF(VLOOKUP($A34,'Master vs SAP'!$A$8:$O$291,6,FALSE)="","",VLOOKUP($A34,'Master vs SAP'!$A$8:$O$291,6,FALSE))</f>
        <v>Coincidencia</v>
      </c>
      <c r="W34" s="24" t="str">
        <f>IF(VLOOKUP($A34,'Master vs SAP'!$A$8:$O$291,15,FALSE)="Homologado",VLOOKUP($A34,'Master vs SAP'!$A$8:$O$291,10,FALSE),"")</f>
        <v/>
      </c>
    </row>
    <row r="35" spans="1:23" ht="61.95" customHeight="1">
      <c r="A35" s="9" t="s">
        <v>162</v>
      </c>
      <c r="B35" s="9" t="s">
        <v>108</v>
      </c>
      <c r="C35" s="9" t="s">
        <v>163</v>
      </c>
      <c r="D35" s="24" t="str">
        <f>IF(VLOOKUP($A35,Neuquén!$A$8:$O$291,4,FALSE)="","",VLOOKUP($A35,Neuquén!$A$8:$O$291,4,FALSE))</f>
        <v>342</v>
      </c>
      <c r="E35" s="9" t="str">
        <f>IF(VLOOKUP($A35,Neuquén!$A$8:$O$291,5,FALSE)="","",VLOOKUP($A35,Neuquén!$A$8:$O$291,5,FALSE))</f>
        <v>AMIODARONAAMP</v>
      </c>
      <c r="F35" s="9" t="str">
        <f>IF(VLOOKUP($A35,Neuquén!$A$8:$O$291,7,FALSE)="","",VLOOKUP($A35,Neuquén!$A$8:$O$291,7,FALSE))</f>
        <v>Media</v>
      </c>
      <c r="G35" s="9" t="str">
        <f>IF(VLOOKUP($A35,Neuquén!$A$8:$O$291,6,FALSE)="","",VLOOKUP($A35,Neuquén!$A$8:$O$291,6,FALSE))</f>
        <v>Equivalencia a revisar</v>
      </c>
      <c r="H35" s="24" t="str">
        <f>IF(VLOOKUP($A35,'San Juan'!$A$8:$O$291,4,FALSE)="","",VLOOKUP($A35,'San Juan'!$A$8:$O$291,4,FALSE))</f>
        <v>MED11</v>
      </c>
      <c r="I35" s="9" t="str">
        <f>IF(VLOOKUP($A35,'San Juan'!$A$8:$O$291,5,FALSE)="","",VLOOKUP($A35,'San Juan'!$A$8:$O$291,5,FALSE))</f>
        <v>Amiodarona 150 mg Amp x 3 ml</v>
      </c>
      <c r="J35" s="9" t="str">
        <f>IF(VLOOKUP($A35,'San Juan'!$A$8:$O$291,7,FALSE)="","",VLOOKUP($A35,'San Juan'!$A$8:$O$291,7,FALSE))</f>
        <v>Alta</v>
      </c>
      <c r="K35" s="9" t="str">
        <f>IF(VLOOKUP($A35,'San Juan'!$A$8:$O$291,6,FALSE)="","",VLOOKUP($A35,'San Juan'!$A$8:$O$291,6,FALSE))</f>
        <v>Coincidencia por validar</v>
      </c>
      <c r="L35" s="24" t="str">
        <f>IF(VLOOKUP($A35,Salta!$A$8:$O$291,4,FALSE)="","",VLOOKUP($A35,Salta!$A$8:$O$291,4,FALSE))</f>
        <v>32</v>
      </c>
      <c r="M35" s="9" t="str">
        <f>IF(VLOOKUP($A35,Salta!$A$8:$O$291,5,FALSE)="","",VLOOKUP($A35,Salta!$A$8:$O$291,5,FALSE))</f>
        <v>Amiodarona 1 amp=3ml 150 mg/3ml</v>
      </c>
      <c r="N35" s="9" t="str">
        <f>IF(VLOOKUP($A35,Salta!$A$8:$O$291,7,FALSE)="","",VLOOKUP($A35,Salta!$A$8:$O$291,7,FALSE))</f>
        <v>Alta</v>
      </c>
      <c r="O35" s="9" t="str">
        <f>IF(VLOOKUP($A35,Salta!$A$8:$O$291,6,FALSE)="","",VLOOKUP($A35,Salta!$A$8:$O$291,6,FALSE))</f>
        <v>Coincidencia</v>
      </c>
      <c r="P35" s="24" t="str">
        <f>IF(VLOOKUP($A35,Neuquén!$A$8:$O$291,15,FALSE)="Homologado",VLOOKUP($A35,Neuquén!$A$8:$O$291,10,FALSE),"")</f>
        <v/>
      </c>
      <c r="Q35" s="24" t="str">
        <f>IF(VLOOKUP($A35,'San Juan'!$A$8:$O$291,15,FALSE)="Homologado",VLOOKUP($A35,'San Juan'!$A$8:$O$291,10,FALSE),"")</f>
        <v/>
      </c>
      <c r="R35" s="24" t="str">
        <f>IF(VLOOKUP($A35,Salta!$A$8:$O$291,15,FALSE)="Homologado",VLOOKUP($A35,Salta!$A$8:$O$291,10,FALSE),"")</f>
        <v/>
      </c>
      <c r="S35" s="24" t="str">
        <f>IF(VLOOKUP($A35,'Master vs SAP'!$A$8:$O$291,4,FALSE)="","",VLOOKUP($A35,'Master vs SAP'!$A$8:$O$291,4,FALSE))</f>
        <v>1000005</v>
      </c>
      <c r="T35" s="9" t="str">
        <f>IF(VLOOKUP($A35,'Master vs SAP'!$A$8:$O$291,5,FALSE)="","",VLOOKUP($A35,'Master vs SAP'!$A$8:$O$291,5,FALSE))</f>
        <v>AMIODARONA 150MG AMPOLLA DE 3 ML INYEC</v>
      </c>
      <c r="U35" s="9" t="str">
        <f>IF(VLOOKUP($A35,'Master vs SAP'!$A$8:$O$291,7,FALSE)="","",VLOOKUP($A35,'Master vs SAP'!$A$8:$O$291,7,FALSE))</f>
        <v>Alta</v>
      </c>
      <c r="V35" s="9" t="str">
        <f>IF(VLOOKUP($A35,'Master vs SAP'!$A$8:$O$291,6,FALSE)="","",VLOOKUP($A35,'Master vs SAP'!$A$8:$O$291,6,FALSE))</f>
        <v>Coincidencia</v>
      </c>
      <c r="W35" s="24" t="str">
        <f>IF(VLOOKUP($A35,'Master vs SAP'!$A$8:$O$291,15,FALSE)="Homologado",VLOOKUP($A35,'Master vs SAP'!$A$8:$O$291,10,FALSE),"")</f>
        <v/>
      </c>
    </row>
    <row r="36" spans="1:23" ht="61.95" customHeight="1">
      <c r="A36" s="9" t="s">
        <v>164</v>
      </c>
      <c r="B36" s="9" t="s">
        <v>108</v>
      </c>
      <c r="C36" s="9" t="s">
        <v>165</v>
      </c>
      <c r="D36" s="24" t="str">
        <f>IF(VLOOKUP($A36,Neuquén!$A$8:$O$291,4,FALSE)="","",VLOOKUP($A36,Neuquén!$A$8:$O$291,4,FALSE))</f>
        <v>311</v>
      </c>
      <c r="E36" s="9" t="str">
        <f>IF(VLOOKUP($A36,Neuquén!$A$8:$O$291,5,FALSE)="","",VLOOKUP($A36,Neuquén!$A$8:$O$291,5,FALSE))</f>
        <v>ADENOSINAAMP</v>
      </c>
      <c r="F36" s="9" t="str">
        <f>IF(VLOOKUP($A36,Neuquén!$A$8:$O$291,7,FALSE)="","",VLOOKUP($A36,Neuquén!$A$8:$O$291,7,FALSE))</f>
        <v>Media</v>
      </c>
      <c r="G36" s="9" t="str">
        <f>IF(VLOOKUP($A36,Neuquén!$A$8:$O$291,6,FALSE)="","",VLOOKUP($A36,Neuquén!$A$8:$O$291,6,FALSE))</f>
        <v>Equivalencia a revisar</v>
      </c>
      <c r="H36" s="24" t="str">
        <f>IF(VLOOKUP($A36,'San Juan'!$A$8:$O$291,4,FALSE)="","",VLOOKUP($A36,'San Juan'!$A$8:$O$291,4,FALSE))</f>
        <v>MED8</v>
      </c>
      <c r="I36" s="9" t="str">
        <f>IF(VLOOKUP($A36,'San Juan'!$A$8:$O$291,5,FALSE)="","",VLOOKUP($A36,'San Juan'!$A$8:$O$291,5,FALSE))</f>
        <v>Adenosina Amp x 2 ml</v>
      </c>
      <c r="J36" s="9" t="str">
        <f>IF(VLOOKUP($A36,'San Juan'!$A$8:$O$291,7,FALSE)="","",VLOOKUP($A36,'San Juan'!$A$8:$O$291,7,FALSE))</f>
        <v>Alta</v>
      </c>
      <c r="K36" s="9" t="str">
        <f>IF(VLOOKUP($A36,'San Juan'!$A$8:$O$291,6,FALSE)="","",VLOOKUP($A36,'San Juan'!$A$8:$O$291,6,FALSE))</f>
        <v>Coincidencia por validar</v>
      </c>
      <c r="L36" s="24" t="str">
        <f>IF(VLOOKUP($A36,Salta!$A$8:$O$291,4,FALSE)="","",VLOOKUP($A36,Salta!$A$8:$O$291,4,FALSE))</f>
        <v>13</v>
      </c>
      <c r="M36" s="9" t="str">
        <f>IF(VLOOKUP($A36,Salta!$A$8:$O$291,5,FALSE)="","",VLOOKUP($A36,Salta!$A$8:$O$291,5,FALSE))</f>
        <v>Adenosina 1 amp=2ml 3 mg/1ml</v>
      </c>
      <c r="N36" s="9" t="str">
        <f>IF(VLOOKUP($A36,Salta!$A$8:$O$291,7,FALSE)="","",VLOOKUP($A36,Salta!$A$8:$O$291,7,FALSE))</f>
        <v>Alta</v>
      </c>
      <c r="O36" s="9" t="str">
        <f>IF(VLOOKUP($A36,Salta!$A$8:$O$291,6,FALSE)="","",VLOOKUP($A36,Salta!$A$8:$O$291,6,FALSE))</f>
        <v>Coincidencia</v>
      </c>
      <c r="P36" s="24" t="str">
        <f>IF(VLOOKUP($A36,Neuquén!$A$8:$O$291,15,FALSE)="Homologado",VLOOKUP($A36,Neuquén!$A$8:$O$291,10,FALSE),"")</f>
        <v/>
      </c>
      <c r="Q36" s="24" t="str">
        <f>IF(VLOOKUP($A36,'San Juan'!$A$8:$O$291,15,FALSE)="Homologado",VLOOKUP($A36,'San Juan'!$A$8:$O$291,10,FALSE),"")</f>
        <v/>
      </c>
      <c r="R36" s="24" t="str">
        <f>IF(VLOOKUP($A36,Salta!$A$8:$O$291,15,FALSE)="Homologado",VLOOKUP($A36,Salta!$A$8:$O$291,10,FALSE),"")</f>
        <v/>
      </c>
      <c r="S36" s="24" t="str">
        <f>IF(VLOOKUP($A36,'Master vs SAP'!$A$8:$O$291,4,FALSE)="","",VLOOKUP($A36,'Master vs SAP'!$A$8:$O$291,4,FALSE))</f>
        <v>1000304</v>
      </c>
      <c r="T36" s="9" t="str">
        <f>IF(VLOOKUP($A36,'Master vs SAP'!$A$8:$O$291,5,FALSE)="","",VLOOKUP($A36,'Master vs SAP'!$A$8:$O$291,5,FALSE))</f>
        <v>ADENOSINA 2 ML AMP 3 MG/1 ML</v>
      </c>
      <c r="U36" s="9" t="str">
        <f>IF(VLOOKUP($A36,'Master vs SAP'!$A$8:$O$291,7,FALSE)="","",VLOOKUP($A36,'Master vs SAP'!$A$8:$O$291,7,FALSE))</f>
        <v>Alta</v>
      </c>
      <c r="V36" s="9" t="str">
        <f>IF(VLOOKUP($A36,'Master vs SAP'!$A$8:$O$291,6,FALSE)="","",VLOOKUP($A36,'Master vs SAP'!$A$8:$O$291,6,FALSE))</f>
        <v>Coincidencia</v>
      </c>
      <c r="W36" s="24" t="str">
        <f>IF(VLOOKUP($A36,'Master vs SAP'!$A$8:$O$291,15,FALSE)="Homologado",VLOOKUP($A36,'Master vs SAP'!$A$8:$O$291,10,FALSE),"")</f>
        <v/>
      </c>
    </row>
    <row r="37" spans="1:23" ht="61.95" customHeight="1">
      <c r="A37" s="9" t="s">
        <v>166</v>
      </c>
      <c r="B37" s="9" t="s">
        <v>108</v>
      </c>
      <c r="C37" s="9" t="s">
        <v>167</v>
      </c>
      <c r="D37" s="24" t="str">
        <f>IF(VLOOKUP($A37,Neuquén!$A$8:$O$291,4,FALSE)="","",VLOOKUP($A37,Neuquén!$A$8:$O$291,4,FALSE))</f>
        <v>341</v>
      </c>
      <c r="E37" s="9" t="str">
        <f>IF(VLOOKUP($A37,Neuquén!$A$8:$O$291,5,FALSE)="","",VLOOKUP($A37,Neuquén!$A$8:$O$291,5,FALSE))</f>
        <v>SOLUCIONMOLARDEBICARBONATODESODIOX100ML</v>
      </c>
      <c r="F37" s="9" t="str">
        <f>IF(VLOOKUP($A37,Neuquén!$A$8:$O$291,7,FALSE)="","",VLOOKUP($A37,Neuquén!$A$8:$O$291,7,FALSE))</f>
        <v>Alta</v>
      </c>
      <c r="G37" s="9" t="str">
        <f>IF(VLOOKUP($A37,Neuquén!$A$8:$O$291,6,FALSE)="","",VLOOKUP($A37,Neuquén!$A$8:$O$291,6,FALSE))</f>
        <v>Coincidencia por validar</v>
      </c>
      <c r="H37" s="24" t="str">
        <f>IF(VLOOKUP($A37,'San Juan'!$A$8:$O$291,4,FALSE)="","",VLOOKUP($A37,'San Juan'!$A$8:$O$291,4,FALSE))</f>
        <v>DES058</v>
      </c>
      <c r="I37" s="9" t="str">
        <f>IF(VLOOKUP($A37,'San Juan'!$A$8:$O$291,5,FALSE)="","",VLOOKUP($A37,'San Juan'!$A$8:$O$291,5,FALSE))</f>
        <v>Bicarbonato de sodio 1 fco =100ml</v>
      </c>
      <c r="J37" s="9" t="str">
        <f>IF(VLOOKUP($A37,'San Juan'!$A$8:$O$291,7,FALSE)="","",VLOOKUP($A37,'San Juan'!$A$8:$O$291,7,FALSE))</f>
        <v>Media</v>
      </c>
      <c r="K37" s="9" t="str">
        <f>IF(VLOOKUP($A37,'San Juan'!$A$8:$O$291,6,FALSE)="","",VLOOKUP($A37,'San Juan'!$A$8:$O$291,6,FALSE))</f>
        <v>Equivalencia a revisar</v>
      </c>
      <c r="L37" s="24" t="str">
        <f>IF(VLOOKUP($A37,Salta!$A$8:$O$291,4,FALSE)="","",VLOOKUP($A37,Salta!$A$8:$O$291,4,FALSE))</f>
        <v>46</v>
      </c>
      <c r="M37" s="9" t="str">
        <f>IF(VLOOKUP($A37,Salta!$A$8:$O$291,5,FALSE)="","",VLOOKUP($A37,Salta!$A$8:$O$291,5,FALSE))</f>
        <v>Bicarbonato de sodio 1 fco =100ml /8.4gr</v>
      </c>
      <c r="N37" s="9" t="str">
        <f>IF(VLOOKUP($A37,Salta!$A$8:$O$291,7,FALSE)="","",VLOOKUP($A37,Salta!$A$8:$O$291,7,FALSE))</f>
        <v>Alta</v>
      </c>
      <c r="O37" s="9" t="str">
        <f>IF(VLOOKUP($A37,Salta!$A$8:$O$291,6,FALSE)="","",VLOOKUP($A37,Salta!$A$8:$O$291,6,FALSE))</f>
        <v>Coincidencia</v>
      </c>
      <c r="P37" s="24" t="str">
        <f>IF(VLOOKUP($A37,Neuquén!$A$8:$O$291,15,FALSE)="Homologado",VLOOKUP($A37,Neuquén!$A$8:$O$291,10,FALSE),"")</f>
        <v/>
      </c>
      <c r="Q37" s="24" t="str">
        <f>IF(VLOOKUP($A37,'San Juan'!$A$8:$O$291,15,FALSE)="Homologado",VLOOKUP($A37,'San Juan'!$A$8:$O$291,10,FALSE),"")</f>
        <v/>
      </c>
      <c r="R37" s="24" t="str">
        <f>IF(VLOOKUP($A37,Salta!$A$8:$O$291,15,FALSE)="Homologado",VLOOKUP($A37,Salta!$A$8:$O$291,10,FALSE),"")</f>
        <v/>
      </c>
      <c r="S37" s="24" t="str">
        <f>IF(VLOOKUP($A37,'Master vs SAP'!$A$8:$O$291,4,FALSE)="","",VLOOKUP($A37,'Master vs SAP'!$A$8:$O$291,4,FALSE))</f>
        <v>2000012</v>
      </c>
      <c r="T37" s="9" t="str">
        <f>IF(VLOOKUP($A37,'Master vs SAP'!$A$8:$O$291,5,FALSE)="","",VLOOKUP($A37,'Master vs SAP'!$A$8:$O$291,5,FALSE))</f>
        <v>BICARBONATO DE SODIO 100 ML</v>
      </c>
      <c r="U37" s="9" t="str">
        <f>IF(VLOOKUP($A37,'Master vs SAP'!$A$8:$O$291,7,FALSE)="","",VLOOKUP($A37,'Master vs SAP'!$A$8:$O$291,7,FALSE))</f>
        <v>Media</v>
      </c>
      <c r="V37" s="9" t="str">
        <f>IF(VLOOKUP($A37,'Master vs SAP'!$A$8:$O$291,6,FALSE)="","",VLOOKUP($A37,'Master vs SAP'!$A$8:$O$291,6,FALSE))</f>
        <v>Revisar datos</v>
      </c>
      <c r="W37" s="24" t="str">
        <f>IF(VLOOKUP($A37,'Master vs SAP'!$A$8:$O$291,15,FALSE)="Homologado",VLOOKUP($A37,'Master vs SAP'!$A$8:$O$291,10,FALSE),"")</f>
        <v/>
      </c>
    </row>
    <row r="38" spans="1:23" ht="61.95" customHeight="1">
      <c r="A38" s="9" t="s">
        <v>168</v>
      </c>
      <c r="B38" s="9" t="s">
        <v>108</v>
      </c>
      <c r="C38" s="9" t="s">
        <v>169</v>
      </c>
      <c r="D38" s="24" t="str">
        <f>IF(VLOOKUP($A38,Neuquén!$A$8:$O$291,4,FALSE)="","",VLOOKUP($A38,Neuquén!$A$8:$O$291,4,FALSE))</f>
        <v>122</v>
      </c>
      <c r="E38" s="9" t="str">
        <f>IF(VLOOKUP($A38,Neuquén!$A$8:$O$291,5,FALSE)="","",VLOOKUP($A38,Neuquén!$A$8:$O$291,5,FALSE))</f>
        <v>GLUCONATODECALCIOAMP</v>
      </c>
      <c r="F38" s="9" t="str">
        <f>IF(VLOOKUP($A38,Neuquén!$A$8:$O$291,7,FALSE)="","",VLOOKUP($A38,Neuquén!$A$8:$O$291,7,FALSE))</f>
        <v>Media</v>
      </c>
      <c r="G38" s="9" t="str">
        <f>IF(VLOOKUP($A38,Neuquén!$A$8:$O$291,6,FALSE)="","",VLOOKUP($A38,Neuquén!$A$8:$O$291,6,FALSE))</f>
        <v>Equivalencia a revisar</v>
      </c>
      <c r="H38" s="24" t="str">
        <f>IF(VLOOKUP($A38,'San Juan'!$A$8:$O$291,4,FALSE)="","",VLOOKUP($A38,'San Juan'!$A$8:$O$291,4,FALSE))</f>
        <v/>
      </c>
      <c r="I38" s="9" t="str">
        <f>IF(VLOOKUP($A38,'San Juan'!$A$8:$O$291,5,FALSE)="","",VLOOKUP($A38,'San Juan'!$A$8:$O$291,5,FALSE))</f>
        <v/>
      </c>
      <c r="J38" s="9" t="str">
        <f>IF(VLOOKUP($A38,'San Juan'!$A$8:$O$291,7,FALSE)="","",VLOOKUP($A38,'San Juan'!$A$8:$O$291,7,FALSE))</f>
        <v>Sin coincidencia</v>
      </c>
      <c r="K38" s="9" t="str">
        <f>IF(VLOOKUP($A38,'San Juan'!$A$8:$O$291,6,FALSE)="","",VLOOKUP($A38,'San Juan'!$A$8:$O$291,6,FALSE))</f>
        <v>Sin código encontrado</v>
      </c>
      <c r="L38" s="24" t="str">
        <f>IF(VLOOKUP($A38,Salta!$A$8:$O$291,4,FALSE)="","",VLOOKUP($A38,Salta!$A$8:$O$291,4,FALSE))</f>
        <v>393</v>
      </c>
      <c r="M38" s="9" t="str">
        <f>IF(VLOOKUP($A38,Salta!$A$8:$O$291,5,FALSE)="","",VLOOKUP($A38,Salta!$A$8:$O$291,5,FALSE))</f>
        <v>Gluconato de calcio amp 40mg/10ml</v>
      </c>
      <c r="N38" s="9" t="str">
        <f>IF(VLOOKUP($A38,Salta!$A$8:$O$291,7,FALSE)="","",VLOOKUP($A38,Salta!$A$8:$O$291,7,FALSE))</f>
        <v>Baja</v>
      </c>
      <c r="O38" s="9" t="str">
        <f>IF(VLOOKUP($A38,Salta!$A$8:$O$291,6,FALSE)="","",VLOOKUP($A38,Salta!$A$8:$O$291,6,FALSE))</f>
        <v>Revisar presentación</v>
      </c>
      <c r="P38" s="24" t="str">
        <f>IF(VLOOKUP($A38,Neuquén!$A$8:$O$291,15,FALSE)="Homologado",VLOOKUP($A38,Neuquén!$A$8:$O$291,10,FALSE),"")</f>
        <v/>
      </c>
      <c r="Q38" s="24" t="str">
        <f>IF(VLOOKUP($A38,'San Juan'!$A$8:$O$291,15,FALSE)="Homologado",VLOOKUP($A38,'San Juan'!$A$8:$O$291,10,FALSE),"")</f>
        <v/>
      </c>
      <c r="R38" s="24" t="str">
        <f>IF(VLOOKUP($A38,Salta!$A$8:$O$291,15,FALSE)="Homologado",VLOOKUP($A38,Salta!$A$8:$O$291,10,FALSE),"")</f>
        <v/>
      </c>
      <c r="S38" s="24" t="str">
        <f>IF(VLOOKUP($A38,'Master vs SAP'!$A$8:$O$291,4,FALSE)="","",VLOOKUP($A38,'Master vs SAP'!$A$8:$O$291,4,FALSE))</f>
        <v>1005248</v>
      </c>
      <c r="T38" s="9" t="str">
        <f>IF(VLOOKUP($A38,'Master vs SAP'!$A$8:$O$291,5,FALSE)="","",VLOOKUP($A38,'Master vs SAP'!$A$8:$O$291,5,FALSE))</f>
        <v>GLUCONATO DE CALCIO 10% X 10ML AMPOLLA</v>
      </c>
      <c r="U38" s="9" t="str">
        <f>IF(VLOOKUP($A38,'Master vs SAP'!$A$8:$O$291,7,FALSE)="","",VLOOKUP($A38,'Master vs SAP'!$A$8:$O$291,7,FALSE))</f>
        <v>Alta</v>
      </c>
      <c r="V38" s="9" t="str">
        <f>IF(VLOOKUP($A38,'Master vs SAP'!$A$8:$O$291,6,FALSE)="","",VLOOKUP($A38,'Master vs SAP'!$A$8:$O$291,6,FALSE))</f>
        <v>Coincidencia</v>
      </c>
      <c r="W38" s="24" t="str">
        <f>IF(VLOOKUP($A38,'Master vs SAP'!$A$8:$O$291,15,FALSE)="Homologado",VLOOKUP($A38,'Master vs SAP'!$A$8:$O$291,10,FALSE),"")</f>
        <v/>
      </c>
    </row>
    <row r="39" spans="1:23" ht="61.95" customHeight="1">
      <c r="A39" s="9" t="s">
        <v>170</v>
      </c>
      <c r="B39" s="9" t="s">
        <v>108</v>
      </c>
      <c r="C39" s="9" t="s">
        <v>171</v>
      </c>
      <c r="D39" s="24" t="str">
        <f>IF(VLOOKUP($A39,Neuquén!$A$8:$O$291,4,FALSE)="","",VLOOKUP($A39,Neuquén!$A$8:$O$291,4,FALSE))</f>
        <v>490</v>
      </c>
      <c r="E39" s="9" t="str">
        <f>IF(VLOOKUP($A39,Neuquén!$A$8:$O$291,5,FALSE)="","",VLOOKUP($A39,Neuquén!$A$8:$O$291,5,FALSE))</f>
        <v>Dopamina</v>
      </c>
      <c r="F39" s="9" t="str">
        <f>IF(VLOOKUP($A39,Neuquén!$A$8:$O$291,7,FALSE)="","",VLOOKUP($A39,Neuquén!$A$8:$O$291,7,FALSE))</f>
        <v>Media</v>
      </c>
      <c r="G39" s="9" t="str">
        <f>IF(VLOOKUP($A39,Neuquén!$A$8:$O$291,6,FALSE)="","",VLOOKUP($A39,Neuquén!$A$8:$O$291,6,FALSE))</f>
        <v>Equivalencia a revisar</v>
      </c>
      <c r="H39" s="24" t="str">
        <f>IF(VLOOKUP($A39,'San Juan'!$A$8:$O$291,4,FALSE)="","",VLOOKUP($A39,'San Juan'!$A$8:$O$291,4,FALSE))</f>
        <v/>
      </c>
      <c r="I39" s="9" t="str">
        <f>IF(VLOOKUP($A39,'San Juan'!$A$8:$O$291,5,FALSE)="","",VLOOKUP($A39,'San Juan'!$A$8:$O$291,5,FALSE))</f>
        <v/>
      </c>
      <c r="J39" s="9" t="str">
        <f>IF(VLOOKUP($A39,'San Juan'!$A$8:$O$291,7,FALSE)="","",VLOOKUP($A39,'San Juan'!$A$8:$O$291,7,FALSE))</f>
        <v>Sin coincidencia</v>
      </c>
      <c r="K39" s="9" t="str">
        <f>IF(VLOOKUP($A39,'San Juan'!$A$8:$O$291,6,FALSE)="","",VLOOKUP($A39,'San Juan'!$A$8:$O$291,6,FALSE))</f>
        <v>Sin código encontrado</v>
      </c>
      <c r="L39" s="24" t="str">
        <f>IF(VLOOKUP($A39,Salta!$A$8:$O$291,4,FALSE)="","",VLOOKUP($A39,Salta!$A$8:$O$291,4,FALSE))</f>
        <v>109</v>
      </c>
      <c r="M39" s="9" t="str">
        <f>IF(VLOOKUP($A39,Salta!$A$8:$O$291,5,FALSE)="","",VLOOKUP($A39,Salta!$A$8:$O$291,5,FALSE))</f>
        <v>Dopamina, clorhidrato 1 amp=5ml/200mg</v>
      </c>
      <c r="N39" s="9" t="str">
        <f>IF(VLOOKUP($A39,Salta!$A$8:$O$291,7,FALSE)="","",VLOOKUP($A39,Salta!$A$8:$O$291,7,FALSE))</f>
        <v>Alta</v>
      </c>
      <c r="O39" s="9" t="str">
        <f>IF(VLOOKUP($A39,Salta!$A$8:$O$291,6,FALSE)="","",VLOOKUP($A39,Salta!$A$8:$O$291,6,FALSE))</f>
        <v>Coincidencia</v>
      </c>
      <c r="P39" s="24" t="str">
        <f>IF(VLOOKUP($A39,Neuquén!$A$8:$O$291,15,FALSE)="Homologado",VLOOKUP($A39,Neuquén!$A$8:$O$291,10,FALSE),"")</f>
        <v/>
      </c>
      <c r="Q39" s="24" t="str">
        <f>IF(VLOOKUP($A39,'San Juan'!$A$8:$O$291,15,FALSE)="Homologado",VLOOKUP($A39,'San Juan'!$A$8:$O$291,10,FALSE),"")</f>
        <v/>
      </c>
      <c r="R39" s="24" t="str">
        <f>IF(VLOOKUP($A39,Salta!$A$8:$O$291,15,FALSE)="Homologado",VLOOKUP($A39,Salta!$A$8:$O$291,10,FALSE),"")</f>
        <v/>
      </c>
      <c r="S39" s="24" t="str">
        <f>IF(VLOOKUP($A39,'Master vs SAP'!$A$8:$O$291,4,FALSE)="","",VLOOKUP($A39,'Master vs SAP'!$A$8:$O$291,4,FALSE))</f>
        <v>1000023</v>
      </c>
      <c r="T39" s="9" t="str">
        <f>IF(VLOOKUP($A39,'Master vs SAP'!$A$8:$O$291,5,FALSE)="","",VLOOKUP($A39,'Master vs SAP'!$A$8:$O$291,5,FALSE))</f>
        <v>DOPAMINA 200MG AMPOLLA I.V DE 5 ML</v>
      </c>
      <c r="U39" s="9" t="str">
        <f>IF(VLOOKUP($A39,'Master vs SAP'!$A$8:$O$291,7,FALSE)="","",VLOOKUP($A39,'Master vs SAP'!$A$8:$O$291,7,FALSE))</f>
        <v>Alta</v>
      </c>
      <c r="V39" s="9" t="str">
        <f>IF(VLOOKUP($A39,'Master vs SAP'!$A$8:$O$291,6,FALSE)="","",VLOOKUP($A39,'Master vs SAP'!$A$8:$O$291,6,FALSE))</f>
        <v>Coincidencia</v>
      </c>
      <c r="W39" s="24" t="str">
        <f>IF(VLOOKUP($A39,'Master vs SAP'!$A$8:$O$291,15,FALSE)="Homologado",VLOOKUP($A39,'Master vs SAP'!$A$8:$O$291,10,FALSE),"")</f>
        <v/>
      </c>
    </row>
    <row r="40" spans="1:23" ht="61.95" customHeight="1">
      <c r="A40" s="9" t="s">
        <v>172</v>
      </c>
      <c r="B40" s="9" t="s">
        <v>108</v>
      </c>
      <c r="C40" s="9" t="s">
        <v>173</v>
      </c>
      <c r="D40" s="24" t="str">
        <f>IF(VLOOKUP($A40,Neuquén!$A$8:$O$291,4,FALSE)="","",VLOOKUP($A40,Neuquén!$A$8:$O$291,4,FALSE))</f>
        <v>480</v>
      </c>
      <c r="E40" s="9" t="str">
        <f>IF(VLOOKUP($A40,Neuquén!$A$8:$O$291,5,FALSE)="","",VLOOKUP($A40,Neuquén!$A$8:$O$291,5,FALSE))</f>
        <v>NORADRENALINA</v>
      </c>
      <c r="F40" s="9" t="str">
        <f>IF(VLOOKUP($A40,Neuquén!$A$8:$O$291,7,FALSE)="","",VLOOKUP($A40,Neuquén!$A$8:$O$291,7,FALSE))</f>
        <v>Alta</v>
      </c>
      <c r="G40" s="9" t="str">
        <f>IF(VLOOKUP($A40,Neuquén!$A$8:$O$291,6,FALSE)="","",VLOOKUP($A40,Neuquén!$A$8:$O$291,6,FALSE))</f>
        <v>Coincidencia por validar</v>
      </c>
      <c r="H40" s="24" t="str">
        <f>IF(VLOOKUP($A40,'San Juan'!$A$8:$O$291,4,FALSE)="","",VLOOKUP($A40,'San Juan'!$A$8:$O$291,4,FALSE))</f>
        <v/>
      </c>
      <c r="I40" s="9" t="str">
        <f>IF(VLOOKUP($A40,'San Juan'!$A$8:$O$291,5,FALSE)="","",VLOOKUP($A40,'San Juan'!$A$8:$O$291,5,FALSE))</f>
        <v/>
      </c>
      <c r="J40" s="9" t="str">
        <f>IF(VLOOKUP($A40,'San Juan'!$A$8:$O$291,7,FALSE)="","",VLOOKUP($A40,'San Juan'!$A$8:$O$291,7,FALSE))</f>
        <v>Sin coincidencia</v>
      </c>
      <c r="K40" s="9" t="str">
        <f>IF(VLOOKUP($A40,'San Juan'!$A$8:$O$291,6,FALSE)="","",VLOOKUP($A40,'San Juan'!$A$8:$O$291,6,FALSE))</f>
        <v>Sin código encontrado</v>
      </c>
      <c r="L40" s="24" t="str">
        <f>IF(VLOOKUP($A40,Salta!$A$8:$O$291,4,FALSE)="","",VLOOKUP($A40,Salta!$A$8:$O$291,4,FALSE))</f>
        <v>190</v>
      </c>
      <c r="M40" s="9" t="str">
        <f>IF(VLOOKUP($A40,Salta!$A$8:$O$291,5,FALSE)="","",VLOOKUP($A40,Salta!$A$8:$O$291,5,FALSE))</f>
        <v>Noradrenalina 1 amp=4ml/4mg</v>
      </c>
      <c r="N40" s="9" t="str">
        <f>IF(VLOOKUP($A40,Salta!$A$8:$O$291,7,FALSE)="","",VLOOKUP($A40,Salta!$A$8:$O$291,7,FALSE))</f>
        <v>Alta</v>
      </c>
      <c r="O40" s="9" t="str">
        <f>IF(VLOOKUP($A40,Salta!$A$8:$O$291,6,FALSE)="","",VLOOKUP($A40,Salta!$A$8:$O$291,6,FALSE))</f>
        <v>Coincidencia</v>
      </c>
      <c r="P40" s="24" t="str">
        <f>IF(VLOOKUP($A40,Neuquén!$A$8:$O$291,15,FALSE)="Homologado",VLOOKUP($A40,Neuquén!$A$8:$O$291,10,FALSE),"")</f>
        <v/>
      </c>
      <c r="Q40" s="24" t="str">
        <f>IF(VLOOKUP($A40,'San Juan'!$A$8:$O$291,15,FALSE)="Homologado",VLOOKUP($A40,'San Juan'!$A$8:$O$291,10,FALSE),"")</f>
        <v/>
      </c>
      <c r="R40" s="24" t="str">
        <f>IF(VLOOKUP($A40,Salta!$A$8:$O$291,15,FALSE)="Homologado",VLOOKUP($A40,Salta!$A$8:$O$291,10,FALSE),"")</f>
        <v/>
      </c>
      <c r="S40" s="24" t="str">
        <f>IF(VLOOKUP($A40,'Master vs SAP'!$A$8:$O$291,4,FALSE)="","",VLOOKUP($A40,'Master vs SAP'!$A$8:$O$291,4,FALSE))</f>
        <v>1000295</v>
      </c>
      <c r="T40" s="9" t="str">
        <f>IF(VLOOKUP($A40,'Master vs SAP'!$A$8:$O$291,5,FALSE)="","",VLOOKUP($A40,'Master vs SAP'!$A$8:$O$291,5,FALSE))</f>
        <v>NORADRENALINA 1MG AMPOLLA DE 1 ML INYEC</v>
      </c>
      <c r="U40" s="9" t="str">
        <f>IF(VLOOKUP($A40,'Master vs SAP'!$A$8:$O$291,7,FALSE)="","",VLOOKUP($A40,'Master vs SAP'!$A$8:$O$291,7,FALSE))</f>
        <v>Media</v>
      </c>
      <c r="V40" s="9" t="str">
        <f>IF(VLOOKUP($A40,'Master vs SAP'!$A$8:$O$291,6,FALSE)="","",VLOOKUP($A40,'Master vs SAP'!$A$8:$O$291,6,FALSE))</f>
        <v>Revisar presentación</v>
      </c>
      <c r="W40" s="24" t="str">
        <f>IF(VLOOKUP($A40,'Master vs SAP'!$A$8:$O$291,15,FALSE)="Homologado",VLOOKUP($A40,'Master vs SAP'!$A$8:$O$291,10,FALSE),"")</f>
        <v/>
      </c>
    </row>
    <row r="41" spans="1:23" ht="61.95" customHeight="1">
      <c r="A41" s="9" t="s">
        <v>174</v>
      </c>
      <c r="B41" s="9" t="s">
        <v>108</v>
      </c>
      <c r="C41" s="9" t="s">
        <v>175</v>
      </c>
      <c r="D41" s="24" t="str">
        <f>IF(VLOOKUP($A41,Neuquén!$A$8:$O$291,4,FALSE)="","",VLOOKUP($A41,Neuquén!$A$8:$O$291,4,FALSE))</f>
        <v>491</v>
      </c>
      <c r="E41" s="9" t="str">
        <f>IF(VLOOKUP($A41,Neuquén!$A$8:$O$291,5,FALSE)="","",VLOOKUP($A41,Neuquén!$A$8:$O$291,5,FALSE))</f>
        <v>Dobutamina</v>
      </c>
      <c r="F41" s="9" t="str">
        <f>IF(VLOOKUP($A41,Neuquén!$A$8:$O$291,7,FALSE)="","",VLOOKUP($A41,Neuquén!$A$8:$O$291,7,FALSE))</f>
        <v>Media</v>
      </c>
      <c r="G41" s="9" t="str">
        <f>IF(VLOOKUP($A41,Neuquén!$A$8:$O$291,6,FALSE)="","",VLOOKUP($A41,Neuquén!$A$8:$O$291,6,FALSE))</f>
        <v>Equivalencia a revisar</v>
      </c>
      <c r="H41" s="24" t="str">
        <f>IF(VLOOKUP($A41,'San Juan'!$A$8:$O$291,4,FALSE)="","",VLOOKUP($A41,'San Juan'!$A$8:$O$291,4,FALSE))</f>
        <v/>
      </c>
      <c r="I41" s="9" t="str">
        <f>IF(VLOOKUP($A41,'San Juan'!$A$8:$O$291,5,FALSE)="","",VLOOKUP($A41,'San Juan'!$A$8:$O$291,5,FALSE))</f>
        <v/>
      </c>
      <c r="J41" s="9" t="str">
        <f>IF(VLOOKUP($A41,'San Juan'!$A$8:$O$291,7,FALSE)="","",VLOOKUP($A41,'San Juan'!$A$8:$O$291,7,FALSE))</f>
        <v>Sin coincidencia</v>
      </c>
      <c r="K41" s="9" t="str">
        <f>IF(VLOOKUP($A41,'San Juan'!$A$8:$O$291,6,FALSE)="","",VLOOKUP($A41,'San Juan'!$A$8:$O$291,6,FALSE))</f>
        <v>Sin código encontrado</v>
      </c>
      <c r="L41" s="24" t="str">
        <f>IF(VLOOKUP($A41,Salta!$A$8:$O$291,4,FALSE)="","",VLOOKUP($A41,Salta!$A$8:$O$291,4,FALSE))</f>
        <v/>
      </c>
      <c r="M41" s="9" t="str">
        <f>IF(VLOOKUP($A41,Salta!$A$8:$O$291,5,FALSE)="","",VLOOKUP($A41,Salta!$A$8:$O$291,5,FALSE))</f>
        <v/>
      </c>
      <c r="N41" s="9" t="str">
        <f>IF(VLOOKUP($A41,Salta!$A$8:$O$291,7,FALSE)="","",VLOOKUP($A41,Salta!$A$8:$O$291,7,FALSE))</f>
        <v>Sin coincidencia</v>
      </c>
      <c r="O41" s="9" t="str">
        <f>IF(VLOOKUP($A41,Salta!$A$8:$O$291,6,FALSE)="","",VLOOKUP($A41,Salta!$A$8:$O$291,6,FALSE))</f>
        <v>Sin coincidencia</v>
      </c>
      <c r="P41" s="24" t="str">
        <f>IF(VLOOKUP($A41,Neuquén!$A$8:$O$291,15,FALSE)="Homologado",VLOOKUP($A41,Neuquén!$A$8:$O$291,10,FALSE),"")</f>
        <v/>
      </c>
      <c r="Q41" s="24" t="str">
        <f>IF(VLOOKUP($A41,'San Juan'!$A$8:$O$291,15,FALSE)="Homologado",VLOOKUP($A41,'San Juan'!$A$8:$O$291,10,FALSE),"")</f>
        <v/>
      </c>
      <c r="R41" s="24" t="str">
        <f>IF(VLOOKUP($A41,Salta!$A$8:$O$291,15,FALSE)="Homologado",VLOOKUP($A41,Salta!$A$8:$O$291,10,FALSE),"")</f>
        <v/>
      </c>
      <c r="S41" s="24" t="str">
        <f>IF(VLOOKUP($A41,'Master vs SAP'!$A$8:$O$291,4,FALSE)="","",VLOOKUP($A41,'Master vs SAP'!$A$8:$O$291,4,FALSE))</f>
        <v/>
      </c>
      <c r="T41" s="9" t="str">
        <f>IF(VLOOKUP($A41,'Master vs SAP'!$A$8:$O$291,5,FALSE)="","",VLOOKUP($A41,'Master vs SAP'!$A$8:$O$291,5,FALSE))</f>
        <v/>
      </c>
      <c r="U41" s="9" t="str">
        <f>IF(VLOOKUP($A41,'Master vs SAP'!$A$8:$O$291,7,FALSE)="","",VLOOKUP($A41,'Master vs SAP'!$A$8:$O$291,7,FALSE))</f>
        <v>Sin coincidencia</v>
      </c>
      <c r="V41" s="9" t="str">
        <f>IF(VLOOKUP($A41,'Master vs SAP'!$A$8:$O$291,6,FALSE)="","",VLOOKUP($A41,'Master vs SAP'!$A$8:$O$291,6,FALSE))</f>
        <v>Sin coincidencia</v>
      </c>
      <c r="W41" s="24" t="str">
        <f>IF(VLOOKUP($A41,'Master vs SAP'!$A$8:$O$291,15,FALSE)="Homologado",VLOOKUP($A41,'Master vs SAP'!$A$8:$O$291,10,FALSE),"")</f>
        <v/>
      </c>
    </row>
    <row r="42" spans="1:23" ht="61.95" customHeight="1">
      <c r="A42" s="9" t="s">
        <v>176</v>
      </c>
      <c r="B42" s="9" t="s">
        <v>108</v>
      </c>
      <c r="C42" s="9" t="s">
        <v>177</v>
      </c>
      <c r="D42" s="24" t="str">
        <f>IF(VLOOKUP($A42,Neuquén!$A$8:$O$291,4,FALSE)="","",VLOOKUP($A42,Neuquén!$A$8:$O$291,4,FALSE))</f>
        <v>529</v>
      </c>
      <c r="E42" s="9" t="str">
        <f>IF(VLOOKUP($A42,Neuquén!$A$8:$O$291,5,FALSE)="","",VLOOKUP($A42,Neuquén!$A$8:$O$291,5,FALSE))</f>
        <v>CLORURO DE POTASIO</v>
      </c>
      <c r="F42" s="9" t="str">
        <f>IF(VLOOKUP($A42,Neuquén!$A$8:$O$291,7,FALSE)="","",VLOOKUP($A42,Neuquén!$A$8:$O$291,7,FALSE))</f>
        <v>Sin coincidencia</v>
      </c>
      <c r="G42" s="9" t="str">
        <f>IF(VLOOKUP($A42,Neuquén!$A$8:$O$291,6,FALSE)="","",VLOOKUP($A42,Neuquén!$A$8:$O$291,6,FALSE))</f>
        <v>Código sin equivalencia validada</v>
      </c>
      <c r="H42" s="24" t="str">
        <f>IF(VLOOKUP($A42,'San Juan'!$A$8:$O$291,4,FALSE)="","",VLOOKUP($A42,'San Juan'!$A$8:$O$291,4,FALSE))</f>
        <v/>
      </c>
      <c r="I42" s="9" t="str">
        <f>IF(VLOOKUP($A42,'San Juan'!$A$8:$O$291,5,FALSE)="","",VLOOKUP($A42,'San Juan'!$A$8:$O$291,5,FALSE))</f>
        <v/>
      </c>
      <c r="J42" s="9" t="str">
        <f>IF(VLOOKUP($A42,'San Juan'!$A$8:$O$291,7,FALSE)="","",VLOOKUP($A42,'San Juan'!$A$8:$O$291,7,FALSE))</f>
        <v>Sin coincidencia</v>
      </c>
      <c r="K42" s="9" t="str">
        <f>IF(VLOOKUP($A42,'San Juan'!$A$8:$O$291,6,FALSE)="","",VLOOKUP($A42,'San Juan'!$A$8:$O$291,6,FALSE))</f>
        <v>Sin código encontrado</v>
      </c>
      <c r="L42" s="24" t="str">
        <f>IF(VLOOKUP($A42,Salta!$A$8:$O$291,4,FALSE)="","",VLOOKUP($A42,Salta!$A$8:$O$291,4,FALSE))</f>
        <v/>
      </c>
      <c r="M42" s="9" t="str">
        <f>IF(VLOOKUP($A42,Salta!$A$8:$O$291,5,FALSE)="","",VLOOKUP($A42,Salta!$A$8:$O$291,5,FALSE))</f>
        <v/>
      </c>
      <c r="N42" s="9" t="str">
        <f>IF(VLOOKUP($A42,Salta!$A$8:$O$291,7,FALSE)="","",VLOOKUP($A42,Salta!$A$8:$O$291,7,FALSE))</f>
        <v>Sin coincidencia</v>
      </c>
      <c r="O42" s="9" t="str">
        <f>IF(VLOOKUP($A42,Salta!$A$8:$O$291,6,FALSE)="","",VLOOKUP($A42,Salta!$A$8:$O$291,6,FALSE))</f>
        <v>Sin coincidencia</v>
      </c>
      <c r="P42" s="24" t="str">
        <f>IF(VLOOKUP($A42,Neuquén!$A$8:$O$291,15,FALSE)="Homologado",VLOOKUP($A42,Neuquén!$A$8:$O$291,10,FALSE),"")</f>
        <v/>
      </c>
      <c r="Q42" s="24" t="str">
        <f>IF(VLOOKUP($A42,'San Juan'!$A$8:$O$291,15,FALSE)="Homologado",VLOOKUP($A42,'San Juan'!$A$8:$O$291,10,FALSE),"")</f>
        <v/>
      </c>
      <c r="R42" s="24" t="str">
        <f>IF(VLOOKUP($A42,Salta!$A$8:$O$291,15,FALSE)="Homologado",VLOOKUP($A42,Salta!$A$8:$O$291,10,FALSE),"")</f>
        <v/>
      </c>
      <c r="S42" s="24" t="str">
        <f>IF(VLOOKUP($A42,'Master vs SAP'!$A$8:$O$291,4,FALSE)="","",VLOOKUP($A42,'Master vs SAP'!$A$8:$O$291,4,FALSE))</f>
        <v>1001315</v>
      </c>
      <c r="T42" s="9" t="str">
        <f>IF(VLOOKUP($A42,'Master vs SAP'!$A$8:$O$291,5,FALSE)="","",VLOOKUP($A42,'Master vs SAP'!$A$8:$O$291,5,FALSE))</f>
        <v>CLORURO DE POTASIO AMP X 5ML</v>
      </c>
      <c r="U42" s="9" t="str">
        <f>IF(VLOOKUP($A42,'Master vs SAP'!$A$8:$O$291,7,FALSE)="","",VLOOKUP($A42,'Master vs SAP'!$A$8:$O$291,7,FALSE))</f>
        <v>Alta</v>
      </c>
      <c r="V42" s="9" t="str">
        <f>IF(VLOOKUP($A42,'Master vs SAP'!$A$8:$O$291,6,FALSE)="","",VLOOKUP($A42,'Master vs SAP'!$A$8:$O$291,6,FALSE))</f>
        <v>Coincidencia</v>
      </c>
      <c r="W42" s="24" t="str">
        <f>IF(VLOOKUP($A42,'Master vs SAP'!$A$8:$O$291,15,FALSE)="Homologado",VLOOKUP($A42,'Master vs SAP'!$A$8:$O$291,10,FALSE),"")</f>
        <v/>
      </c>
    </row>
    <row r="43" spans="1:23" ht="61.95" customHeight="1">
      <c r="A43" s="9" t="s">
        <v>178</v>
      </c>
      <c r="B43" s="9" t="s">
        <v>108</v>
      </c>
      <c r="C43" s="9" t="s">
        <v>179</v>
      </c>
      <c r="D43" s="24" t="str">
        <f>IF(VLOOKUP($A43,Neuquén!$A$8:$O$291,4,FALSE)="","",VLOOKUP($A43,Neuquén!$A$8:$O$291,4,FALSE))</f>
        <v>492</v>
      </c>
      <c r="E43" s="9" t="str">
        <f>IF(VLOOKUP($A43,Neuquén!$A$8:$O$291,5,FALSE)="","",VLOOKUP($A43,Neuquén!$A$8:$O$291,5,FALSE))</f>
        <v>Clopidogrel</v>
      </c>
      <c r="F43" s="9" t="str">
        <f>IF(VLOOKUP($A43,Neuquén!$A$8:$O$291,7,FALSE)="","",VLOOKUP($A43,Neuquén!$A$8:$O$291,7,FALSE))</f>
        <v>Alta</v>
      </c>
      <c r="G43" s="9" t="str">
        <f>IF(VLOOKUP($A43,Neuquén!$A$8:$O$291,6,FALSE)="","",VLOOKUP($A43,Neuquén!$A$8:$O$291,6,FALSE))</f>
        <v>Coincidencia por validar</v>
      </c>
      <c r="H43" s="24" t="str">
        <f>IF(VLOOKUP($A43,'San Juan'!$A$8:$O$291,4,FALSE)="","",VLOOKUP($A43,'San Juan'!$A$8:$O$291,4,FALSE))</f>
        <v/>
      </c>
      <c r="I43" s="9" t="str">
        <f>IF(VLOOKUP($A43,'San Juan'!$A$8:$O$291,5,FALSE)="","",VLOOKUP($A43,'San Juan'!$A$8:$O$291,5,FALSE))</f>
        <v/>
      </c>
      <c r="J43" s="9" t="str">
        <f>IF(VLOOKUP($A43,'San Juan'!$A$8:$O$291,7,FALSE)="","",VLOOKUP($A43,'San Juan'!$A$8:$O$291,7,FALSE))</f>
        <v>Sin coincidencia</v>
      </c>
      <c r="K43" s="9" t="str">
        <f>IF(VLOOKUP($A43,'San Juan'!$A$8:$O$291,6,FALSE)="","",VLOOKUP($A43,'San Juan'!$A$8:$O$291,6,FALSE))</f>
        <v>Sin código encontrado</v>
      </c>
      <c r="L43" s="24" t="str">
        <f>IF(VLOOKUP($A43,Salta!$A$8:$O$291,4,FALSE)="","",VLOOKUP($A43,Salta!$A$8:$O$291,4,FALSE))</f>
        <v>76</v>
      </c>
      <c r="M43" s="9" t="str">
        <f>IF(VLOOKUP($A43,Salta!$A$8:$O$291,5,FALSE)="","",VLOOKUP($A43,Salta!$A$8:$O$291,5,FALSE))</f>
        <v>Clopidogrel Comprimidos x 75mg</v>
      </c>
      <c r="N43" s="9" t="str">
        <f>IF(VLOOKUP($A43,Salta!$A$8:$O$291,7,FALSE)="","",VLOOKUP($A43,Salta!$A$8:$O$291,7,FALSE))</f>
        <v>Alta</v>
      </c>
      <c r="O43" s="9" t="str">
        <f>IF(VLOOKUP($A43,Salta!$A$8:$O$291,6,FALSE)="","",VLOOKUP($A43,Salta!$A$8:$O$291,6,FALSE))</f>
        <v>Coincidencia</v>
      </c>
      <c r="P43" s="24" t="str">
        <f>IF(VLOOKUP($A43,Neuquén!$A$8:$O$291,15,FALSE)="Homologado",VLOOKUP($A43,Neuquén!$A$8:$O$291,10,FALSE),"")</f>
        <v/>
      </c>
      <c r="Q43" s="24" t="str">
        <f>IF(VLOOKUP($A43,'San Juan'!$A$8:$O$291,15,FALSE)="Homologado",VLOOKUP($A43,'San Juan'!$A$8:$O$291,10,FALSE),"")</f>
        <v/>
      </c>
      <c r="R43" s="24" t="str">
        <f>IF(VLOOKUP($A43,Salta!$A$8:$O$291,15,FALSE)="Homologado",VLOOKUP($A43,Salta!$A$8:$O$291,10,FALSE),"")</f>
        <v/>
      </c>
      <c r="S43" s="24" t="str">
        <f>IF(VLOOKUP($A43,'Master vs SAP'!$A$8:$O$291,4,FALSE)="","",VLOOKUP($A43,'Master vs SAP'!$A$8:$O$291,4,FALSE))</f>
        <v>1000488</v>
      </c>
      <c r="T43" s="9" t="str">
        <f>IF(VLOOKUP($A43,'Master vs SAP'!$A$8:$O$291,5,FALSE)="","",VLOOKUP($A43,'Master vs SAP'!$A$8:$O$291,5,FALSE))</f>
        <v>CLOPIDOGREL 75MG COMP</v>
      </c>
      <c r="U43" s="9" t="str">
        <f>IF(VLOOKUP($A43,'Master vs SAP'!$A$8:$O$291,7,FALSE)="","",VLOOKUP($A43,'Master vs SAP'!$A$8:$O$291,7,FALSE))</f>
        <v>Alta</v>
      </c>
      <c r="V43" s="9" t="str">
        <f>IF(VLOOKUP($A43,'Master vs SAP'!$A$8:$O$291,6,FALSE)="","",VLOOKUP($A43,'Master vs SAP'!$A$8:$O$291,6,FALSE))</f>
        <v>Coincidencia</v>
      </c>
      <c r="W43" s="24" t="str">
        <f>IF(VLOOKUP($A43,'Master vs SAP'!$A$8:$O$291,15,FALSE)="Homologado",VLOOKUP($A43,'Master vs SAP'!$A$8:$O$291,10,FALSE),"")</f>
        <v/>
      </c>
    </row>
    <row r="44" spans="1:23" ht="61.95" customHeight="1">
      <c r="A44" s="9" t="s">
        <v>180</v>
      </c>
      <c r="B44" s="9" t="s">
        <v>108</v>
      </c>
      <c r="C44" s="9" t="s">
        <v>181</v>
      </c>
      <c r="D44" s="24" t="str">
        <f>IF(VLOOKUP($A44,Neuquén!$A$8:$O$291,4,FALSE)="","",VLOOKUP($A44,Neuquén!$A$8:$O$291,4,FALSE))</f>
        <v>313</v>
      </c>
      <c r="E44" s="9" t="str">
        <f>IF(VLOOKUP($A44,Neuquén!$A$8:$O$291,5,FALSE)="","",VLOOKUP($A44,Neuquén!$A$8:$O$291,5,FALSE))</f>
        <v>ATENOLOL50MGCOMP</v>
      </c>
      <c r="F44" s="9" t="str">
        <f>IF(VLOOKUP($A44,Neuquén!$A$8:$O$291,7,FALSE)="","",VLOOKUP($A44,Neuquén!$A$8:$O$291,7,FALSE))</f>
        <v>Media</v>
      </c>
      <c r="G44" s="9" t="str">
        <f>IF(VLOOKUP($A44,Neuquén!$A$8:$O$291,6,FALSE)="","",VLOOKUP($A44,Neuquén!$A$8:$O$291,6,FALSE))</f>
        <v>Equivalencia a revisar</v>
      </c>
      <c r="H44" s="24" t="str">
        <f>IF(VLOOKUP($A44,'San Juan'!$A$8:$O$291,4,FALSE)="","",VLOOKUP($A44,'San Juan'!$A$8:$O$291,4,FALSE))</f>
        <v>DES036</v>
      </c>
      <c r="I44" s="9" t="str">
        <f>IF(VLOOKUP($A44,'San Juan'!$A$8:$O$291,5,FALSE)="","",VLOOKUP($A44,'San Juan'!$A$8:$O$291,5,FALSE))</f>
        <v>Atenolol Comp x 50 mg</v>
      </c>
      <c r="J44" s="9" t="str">
        <f>IF(VLOOKUP($A44,'San Juan'!$A$8:$O$291,7,FALSE)="","",VLOOKUP($A44,'San Juan'!$A$8:$O$291,7,FALSE))</f>
        <v>Alta</v>
      </c>
      <c r="K44" s="9" t="str">
        <f>IF(VLOOKUP($A44,'San Juan'!$A$8:$O$291,6,FALSE)="","",VLOOKUP($A44,'San Juan'!$A$8:$O$291,6,FALSE))</f>
        <v>Coincidencia por validar</v>
      </c>
      <c r="L44" s="24" t="str">
        <f>IF(VLOOKUP($A44,Salta!$A$8:$O$291,4,FALSE)="","",VLOOKUP($A44,Salta!$A$8:$O$291,4,FALSE))</f>
        <v>291</v>
      </c>
      <c r="M44" s="9" t="str">
        <f>IF(VLOOKUP($A44,Salta!$A$8:$O$291,5,FALSE)="","",VLOOKUP($A44,Salta!$A$8:$O$291,5,FALSE))</f>
        <v>Atenolol 25mg Comp</v>
      </c>
      <c r="N44" s="9" t="str">
        <f>IF(VLOOKUP($A44,Salta!$A$8:$O$291,7,FALSE)="","",VLOOKUP($A44,Salta!$A$8:$O$291,7,FALSE))</f>
        <v>Baja</v>
      </c>
      <c r="O44" s="9" t="str">
        <f>IF(VLOOKUP($A44,Salta!$A$8:$O$291,6,FALSE)="","",VLOOKUP($A44,Salta!$A$8:$O$291,6,FALSE))</f>
        <v>Revisar presentación</v>
      </c>
      <c r="P44" s="24" t="str">
        <f>IF(VLOOKUP($A44,Neuquén!$A$8:$O$291,15,FALSE)="Homologado",VLOOKUP($A44,Neuquén!$A$8:$O$291,10,FALSE),"")</f>
        <v/>
      </c>
      <c r="Q44" s="24" t="str">
        <f>IF(VLOOKUP($A44,'San Juan'!$A$8:$O$291,15,FALSE)="Homologado",VLOOKUP($A44,'San Juan'!$A$8:$O$291,10,FALSE),"")</f>
        <v/>
      </c>
      <c r="R44" s="24" t="str">
        <f>IF(VLOOKUP($A44,Salta!$A$8:$O$291,15,FALSE)="Homologado",VLOOKUP($A44,Salta!$A$8:$O$291,10,FALSE),"")</f>
        <v/>
      </c>
      <c r="S44" s="24" t="str">
        <f>IF(VLOOKUP($A44,'Master vs SAP'!$A$8:$O$291,4,FALSE)="","",VLOOKUP($A44,'Master vs SAP'!$A$8:$O$291,4,FALSE))</f>
        <v>1000422
1005233
5004158</v>
      </c>
      <c r="T44" s="9" t="str">
        <f>IF(VLOOKUP($A44,'Master vs SAP'!$A$8:$O$291,5,FALSE)="","",VLOOKUP($A44,'Master vs SAP'!$A$8:$O$291,5,FALSE))</f>
        <v>ATENOLOL 50 mg
ATENOLOL 50MG X 10COMP
ATENOLOL 50MG X 15COMP</v>
      </c>
      <c r="U44" s="9" t="str">
        <f>IF(VLOOKUP($A44,'Master vs SAP'!$A$8:$O$291,7,FALSE)="","",VLOOKUP($A44,'Master vs SAP'!$A$8:$O$291,7,FALSE))</f>
        <v>Alta</v>
      </c>
      <c r="V44" s="9" t="str">
        <f>IF(VLOOKUP($A44,'Master vs SAP'!$A$8:$O$291,6,FALSE)="","",VLOOKUP($A44,'Master vs SAP'!$A$8:$O$291,6,FALSE))</f>
        <v>Coincidencia</v>
      </c>
      <c r="W44" s="24" t="str">
        <f>IF(VLOOKUP($A44,'Master vs SAP'!$A$8:$O$291,15,FALSE)="Homologado",VLOOKUP($A44,'Master vs SAP'!$A$8:$O$291,10,FALSE),"")</f>
        <v/>
      </c>
    </row>
    <row r="45" spans="1:23" ht="61.95" customHeight="1">
      <c r="A45" s="9" t="s">
        <v>182</v>
      </c>
      <c r="B45" s="9" t="s">
        <v>108</v>
      </c>
      <c r="C45" s="9" t="s">
        <v>183</v>
      </c>
      <c r="D45" s="24" t="str">
        <f>IF(VLOOKUP($A45,Neuquén!$A$8:$O$291,4,FALSE)="","",VLOOKUP($A45,Neuquén!$A$8:$O$291,4,FALSE))</f>
        <v>101</v>
      </c>
      <c r="E45" s="9" t="str">
        <f>IF(VLOOKUP($A45,Neuquén!$A$8:$O$291,5,FALSE)="","",VLOOKUP($A45,Neuquén!$A$8:$O$291,5,FALSE))</f>
        <v>ENALAPRILCOMP</v>
      </c>
      <c r="F45" s="9" t="str">
        <f>IF(VLOOKUP($A45,Neuquén!$A$8:$O$291,7,FALSE)="","",VLOOKUP($A45,Neuquén!$A$8:$O$291,7,FALSE))</f>
        <v>Alta</v>
      </c>
      <c r="G45" s="9" t="str">
        <f>IF(VLOOKUP($A45,Neuquén!$A$8:$O$291,6,FALSE)="","",VLOOKUP($A45,Neuquén!$A$8:$O$291,6,FALSE))</f>
        <v>Coincidencia por validar</v>
      </c>
      <c r="H45" s="24" t="str">
        <f>IF(VLOOKUP($A45,'San Juan'!$A$8:$O$291,4,FALSE)="","",VLOOKUP($A45,'San Juan'!$A$8:$O$291,4,FALSE))</f>
        <v>MED72</v>
      </c>
      <c r="I45" s="9" t="str">
        <f>IF(VLOOKUP($A45,'San Juan'!$A$8:$O$291,5,FALSE)="","",VLOOKUP($A45,'San Juan'!$A$8:$O$291,5,FALSE))</f>
        <v>Enalapril Comp x 10 mg</v>
      </c>
      <c r="J45" s="9" t="str">
        <f>IF(VLOOKUP($A45,'San Juan'!$A$8:$O$291,7,FALSE)="","",VLOOKUP($A45,'San Juan'!$A$8:$O$291,7,FALSE))</f>
        <v>Alta</v>
      </c>
      <c r="K45" s="9" t="str">
        <f>IF(VLOOKUP($A45,'San Juan'!$A$8:$O$291,6,FALSE)="","",VLOOKUP($A45,'San Juan'!$A$8:$O$291,6,FALSE))</f>
        <v>Coincidencia por validar</v>
      </c>
      <c r="L45" s="24" t="str">
        <f>IF(VLOOKUP($A45,Salta!$A$8:$O$291,4,FALSE)="","",VLOOKUP($A45,Salta!$A$8:$O$291,4,FALSE))</f>
        <v>111</v>
      </c>
      <c r="M45" s="9" t="str">
        <f>IF(VLOOKUP($A45,Salta!$A$8:$O$291,5,FALSE)="","",VLOOKUP($A45,Salta!$A$8:$O$291,5,FALSE))</f>
        <v>Enalapril Comprimidos x 10mg</v>
      </c>
      <c r="N45" s="9" t="str">
        <f>IF(VLOOKUP($A45,Salta!$A$8:$O$291,7,FALSE)="","",VLOOKUP($A45,Salta!$A$8:$O$291,7,FALSE))</f>
        <v>Alta</v>
      </c>
      <c r="O45" s="9" t="str">
        <f>IF(VLOOKUP($A45,Salta!$A$8:$O$291,6,FALSE)="","",VLOOKUP($A45,Salta!$A$8:$O$291,6,FALSE))</f>
        <v>Coincidencia</v>
      </c>
      <c r="P45" s="24" t="str">
        <f>IF(VLOOKUP($A45,Neuquén!$A$8:$O$291,15,FALSE)="Homologado",VLOOKUP($A45,Neuquén!$A$8:$O$291,10,FALSE),"")</f>
        <v/>
      </c>
      <c r="Q45" s="24" t="str">
        <f>IF(VLOOKUP($A45,'San Juan'!$A$8:$O$291,15,FALSE)="Homologado",VLOOKUP($A45,'San Juan'!$A$8:$O$291,10,FALSE),"")</f>
        <v/>
      </c>
      <c r="R45" s="24" t="str">
        <f>IF(VLOOKUP($A45,Salta!$A$8:$O$291,15,FALSE)="Homologado",VLOOKUP($A45,Salta!$A$8:$O$291,10,FALSE),"")</f>
        <v/>
      </c>
      <c r="S45" s="24" t="str">
        <f>IF(VLOOKUP($A45,'Master vs SAP'!$A$8:$O$291,4,FALSE)="","",VLOOKUP($A45,'Master vs SAP'!$A$8:$O$291,4,FALSE))</f>
        <v>1005140</v>
      </c>
      <c r="T45" s="9" t="str">
        <f>IF(VLOOKUP($A45,'Master vs SAP'!$A$8:$O$291,5,FALSE)="","",VLOOKUP($A45,'Master vs SAP'!$A$8:$O$291,5,FALSE))</f>
        <v>ENALAPRIL 10MG X 10COMP</v>
      </c>
      <c r="U45" s="9" t="str">
        <f>IF(VLOOKUP($A45,'Master vs SAP'!$A$8:$O$291,7,FALSE)="","",VLOOKUP($A45,'Master vs SAP'!$A$8:$O$291,7,FALSE))</f>
        <v>Alta</v>
      </c>
      <c r="V45" s="9" t="str">
        <f>IF(VLOOKUP($A45,'Master vs SAP'!$A$8:$O$291,6,FALSE)="","",VLOOKUP($A45,'Master vs SAP'!$A$8:$O$291,6,FALSE))</f>
        <v>Coincidencia</v>
      </c>
      <c r="W45" s="24" t="str">
        <f>IF(VLOOKUP($A45,'Master vs SAP'!$A$8:$O$291,15,FALSE)="Homologado",VLOOKUP($A45,'Master vs SAP'!$A$8:$O$291,10,FALSE),"")</f>
        <v/>
      </c>
    </row>
    <row r="46" spans="1:23" ht="61.95" customHeight="1">
      <c r="A46" s="9" t="s">
        <v>184</v>
      </c>
      <c r="B46" s="9" t="s">
        <v>108</v>
      </c>
      <c r="C46" s="9" t="s">
        <v>185</v>
      </c>
      <c r="D46" s="24" t="str">
        <f>IF(VLOOKUP($A46,Neuquén!$A$8:$O$291,4,FALSE)="","",VLOOKUP($A46,Neuquén!$A$8:$O$291,4,FALSE))</f>
        <v>14</v>
      </c>
      <c r="E46" s="9" t="str">
        <f>IF(VLOOKUP($A46,Neuquén!$A$8:$O$291,5,FALSE)="","",VLOOKUP($A46,Neuquén!$A$8:$O$291,5,FALSE))</f>
        <v>AMLODIPINA</v>
      </c>
      <c r="F46" s="9" t="str">
        <f>IF(VLOOKUP($A46,Neuquén!$A$8:$O$291,7,FALSE)="","",VLOOKUP($A46,Neuquén!$A$8:$O$291,7,FALSE))</f>
        <v>Alta</v>
      </c>
      <c r="G46" s="9" t="str">
        <f>IF(VLOOKUP($A46,Neuquén!$A$8:$O$291,6,FALSE)="","",VLOOKUP($A46,Neuquén!$A$8:$O$291,6,FALSE))</f>
        <v>Coincidencia por validar</v>
      </c>
      <c r="H46" s="24" t="str">
        <f>IF(VLOOKUP($A46,'San Juan'!$A$8:$O$291,4,FALSE)="","",VLOOKUP($A46,'San Juan'!$A$8:$O$291,4,FALSE))</f>
        <v>MED12</v>
      </c>
      <c r="I46" s="9" t="str">
        <f>IF(VLOOKUP($A46,'San Juan'!$A$8:$O$291,5,FALSE)="","",VLOOKUP($A46,'San Juan'!$A$8:$O$291,5,FALSE))</f>
        <v>Amlodipina Comp x 10 mg</v>
      </c>
      <c r="J46" s="9" t="str">
        <f>IF(VLOOKUP($A46,'San Juan'!$A$8:$O$291,7,FALSE)="","",VLOOKUP($A46,'San Juan'!$A$8:$O$291,7,FALSE))</f>
        <v>Alta</v>
      </c>
      <c r="K46" s="9" t="str">
        <f>IF(VLOOKUP($A46,'San Juan'!$A$8:$O$291,6,FALSE)="","",VLOOKUP($A46,'San Juan'!$A$8:$O$291,6,FALSE))</f>
        <v>Coincidencia por validar</v>
      </c>
      <c r="L46" s="24" t="str">
        <f>IF(VLOOKUP($A46,Salta!$A$8:$O$291,4,FALSE)="","",VLOOKUP($A46,Salta!$A$8:$O$291,4,FALSE))</f>
        <v>33</v>
      </c>
      <c r="M46" s="9" t="str">
        <f>IF(VLOOKUP($A46,Salta!$A$8:$O$291,5,FALSE)="","",VLOOKUP($A46,Salta!$A$8:$O$291,5,FALSE))</f>
        <v>Amlodipina Comprimidos x 10mg</v>
      </c>
      <c r="N46" s="9" t="str">
        <f>IF(VLOOKUP($A46,Salta!$A$8:$O$291,7,FALSE)="","",VLOOKUP($A46,Salta!$A$8:$O$291,7,FALSE))</f>
        <v>Alta</v>
      </c>
      <c r="O46" s="9" t="str">
        <f>IF(VLOOKUP($A46,Salta!$A$8:$O$291,6,FALSE)="","",VLOOKUP($A46,Salta!$A$8:$O$291,6,FALSE))</f>
        <v>Coincidencia</v>
      </c>
      <c r="P46" s="24" t="str">
        <f>IF(VLOOKUP($A46,Neuquén!$A$8:$O$291,15,FALSE)="Homologado",VLOOKUP($A46,Neuquén!$A$8:$O$291,10,FALSE),"")</f>
        <v/>
      </c>
      <c r="Q46" s="24" t="str">
        <f>IF(VLOOKUP($A46,'San Juan'!$A$8:$O$291,15,FALSE)="Homologado",VLOOKUP($A46,'San Juan'!$A$8:$O$291,10,FALSE),"")</f>
        <v/>
      </c>
      <c r="R46" s="24" t="str">
        <f>IF(VLOOKUP($A46,Salta!$A$8:$O$291,15,FALSE)="Homologado",VLOOKUP($A46,Salta!$A$8:$O$291,10,FALSE),"")</f>
        <v/>
      </c>
      <c r="S46" s="24" t="str">
        <f>IF(VLOOKUP($A46,'Master vs SAP'!$A$8:$O$291,4,FALSE)="","",VLOOKUP($A46,'Master vs SAP'!$A$8:$O$291,4,FALSE))</f>
        <v>1000387</v>
      </c>
      <c r="T46" s="9" t="str">
        <f>IF(VLOOKUP($A46,'Master vs SAP'!$A$8:$O$291,5,FALSE)="","",VLOOKUP($A46,'Master vs SAP'!$A$8:$O$291,5,FALSE))</f>
        <v>AMLODIPINA 10 mg COMPRIMIDOS</v>
      </c>
      <c r="U46" s="9" t="str">
        <f>IF(VLOOKUP($A46,'Master vs SAP'!$A$8:$O$291,7,FALSE)="","",VLOOKUP($A46,'Master vs SAP'!$A$8:$O$291,7,FALSE))</f>
        <v>Alta</v>
      </c>
      <c r="V46" s="9" t="str">
        <f>IF(VLOOKUP($A46,'Master vs SAP'!$A$8:$O$291,6,FALSE)="","",VLOOKUP($A46,'Master vs SAP'!$A$8:$O$291,6,FALSE))</f>
        <v>Coincidencia</v>
      </c>
      <c r="W46" s="24" t="str">
        <f>IF(VLOOKUP($A46,'Master vs SAP'!$A$8:$O$291,15,FALSE)="Homologado",VLOOKUP($A46,'Master vs SAP'!$A$8:$O$291,10,FALSE),"")</f>
        <v/>
      </c>
    </row>
    <row r="47" spans="1:23" ht="61.95" customHeight="1">
      <c r="A47" s="9" t="s">
        <v>186</v>
      </c>
      <c r="B47" s="9" t="s">
        <v>108</v>
      </c>
      <c r="C47" s="9" t="s">
        <v>187</v>
      </c>
      <c r="D47" s="24" t="str">
        <f>IF(VLOOKUP($A47,Neuquén!$A$8:$O$291,4,FALSE)="","",VLOOKUP($A47,Neuquén!$A$8:$O$291,4,FALSE))</f>
        <v>493</v>
      </c>
      <c r="E47" s="9" t="str">
        <f>IF(VLOOKUP($A47,Neuquén!$A$8:$O$291,5,FALSE)="","",VLOOKUP($A47,Neuquén!$A$8:$O$291,5,FALSE))</f>
        <v>Losartan</v>
      </c>
      <c r="F47" s="9" t="str">
        <f>IF(VLOOKUP($A47,Neuquén!$A$8:$O$291,7,FALSE)="","",VLOOKUP($A47,Neuquén!$A$8:$O$291,7,FALSE))</f>
        <v>Media</v>
      </c>
      <c r="G47" s="9" t="str">
        <f>IF(VLOOKUP($A47,Neuquén!$A$8:$O$291,6,FALSE)="","",VLOOKUP($A47,Neuquén!$A$8:$O$291,6,FALSE))</f>
        <v>Equivalencia a revisar</v>
      </c>
      <c r="H47" s="24" t="str">
        <f>IF(VLOOKUP($A47,'San Juan'!$A$8:$O$291,4,FALSE)="","",VLOOKUP($A47,'San Juan'!$A$8:$O$291,4,FALSE))</f>
        <v>DES041</v>
      </c>
      <c r="I47" s="9" t="str">
        <f>IF(VLOOKUP($A47,'San Juan'!$A$8:$O$291,5,FALSE)="","",VLOOKUP($A47,'San Juan'!$A$8:$O$291,5,FALSE))</f>
        <v>Losartán Comp x 50mg</v>
      </c>
      <c r="J47" s="9" t="str">
        <f>IF(VLOOKUP($A47,'San Juan'!$A$8:$O$291,7,FALSE)="","",VLOOKUP($A47,'San Juan'!$A$8:$O$291,7,FALSE))</f>
        <v>Alta</v>
      </c>
      <c r="K47" s="9" t="str">
        <f>IF(VLOOKUP($A47,'San Juan'!$A$8:$O$291,6,FALSE)="","",VLOOKUP($A47,'San Juan'!$A$8:$O$291,6,FALSE))</f>
        <v>Coincidencia por validar</v>
      </c>
      <c r="L47" s="24" t="str">
        <f>IF(VLOOKUP($A47,Salta!$A$8:$O$291,4,FALSE)="","",VLOOKUP($A47,Salta!$A$8:$O$291,4,FALSE))</f>
        <v>176</v>
      </c>
      <c r="M47" s="9" t="str">
        <f>IF(VLOOKUP($A47,Salta!$A$8:$O$291,5,FALSE)="","",VLOOKUP($A47,Salta!$A$8:$O$291,5,FALSE))</f>
        <v>Losartan Comprimidos x 50mg</v>
      </c>
      <c r="N47" s="9" t="str">
        <f>IF(VLOOKUP($A47,Salta!$A$8:$O$291,7,FALSE)="","",VLOOKUP($A47,Salta!$A$8:$O$291,7,FALSE))</f>
        <v>Alta</v>
      </c>
      <c r="O47" s="9" t="str">
        <f>IF(VLOOKUP($A47,Salta!$A$8:$O$291,6,FALSE)="","",VLOOKUP($A47,Salta!$A$8:$O$291,6,FALSE))</f>
        <v>Coincidencia</v>
      </c>
      <c r="P47" s="24" t="str">
        <f>IF(VLOOKUP($A47,Neuquén!$A$8:$O$291,15,FALSE)="Homologado",VLOOKUP($A47,Neuquén!$A$8:$O$291,10,FALSE),"")</f>
        <v/>
      </c>
      <c r="Q47" s="24" t="str">
        <f>IF(VLOOKUP($A47,'San Juan'!$A$8:$O$291,15,FALSE)="Homologado",VLOOKUP($A47,'San Juan'!$A$8:$O$291,10,FALSE),"")</f>
        <v/>
      </c>
      <c r="R47" s="24" t="str">
        <f>IF(VLOOKUP($A47,Salta!$A$8:$O$291,15,FALSE)="Homologado",VLOOKUP($A47,Salta!$A$8:$O$291,10,FALSE),"")</f>
        <v/>
      </c>
      <c r="S47" s="24" t="str">
        <f>IF(VLOOKUP($A47,'Master vs SAP'!$A$8:$O$291,4,FALSE)="","",VLOOKUP($A47,'Master vs SAP'!$A$8:$O$291,4,FALSE))</f>
        <v>1005231</v>
      </c>
      <c r="T47" s="9" t="str">
        <f>IF(VLOOKUP($A47,'Master vs SAP'!$A$8:$O$291,5,FALSE)="","",VLOOKUP($A47,'Master vs SAP'!$A$8:$O$291,5,FALSE))</f>
        <v>LOSARTAN 50MG COMP</v>
      </c>
      <c r="U47" s="9" t="str">
        <f>IF(VLOOKUP($A47,'Master vs SAP'!$A$8:$O$291,7,FALSE)="","",VLOOKUP($A47,'Master vs SAP'!$A$8:$O$291,7,FALSE))</f>
        <v>Alta</v>
      </c>
      <c r="V47" s="9" t="str">
        <f>IF(VLOOKUP($A47,'Master vs SAP'!$A$8:$O$291,6,FALSE)="","",VLOOKUP($A47,'Master vs SAP'!$A$8:$O$291,6,FALSE))</f>
        <v>Coincidencia</v>
      </c>
      <c r="W47" s="24" t="str">
        <f>IF(VLOOKUP($A47,'Master vs SAP'!$A$8:$O$291,15,FALSE)="Homologado",VLOOKUP($A47,'Master vs SAP'!$A$8:$O$291,10,FALSE),"")</f>
        <v/>
      </c>
    </row>
    <row r="48" spans="1:23" ht="61.95" customHeight="1">
      <c r="A48" s="9" t="s">
        <v>188</v>
      </c>
      <c r="B48" s="9" t="s">
        <v>108</v>
      </c>
      <c r="C48" s="9" t="s">
        <v>189</v>
      </c>
      <c r="D48" s="24" t="str">
        <f>IF(VLOOKUP($A48,Neuquén!$A$8:$O$291,4,FALSE)="","",VLOOKUP($A48,Neuquén!$A$8:$O$291,4,FALSE))</f>
        <v>92</v>
      </c>
      <c r="E48" s="9" t="str">
        <f>IF(VLOOKUP($A48,Neuquén!$A$8:$O$291,5,FALSE)="","",VLOOKUP($A48,Neuquén!$A$8:$O$291,5,FALSE))</f>
        <v>DINITRATODEISOSORBIDE</v>
      </c>
      <c r="F48" s="9" t="str">
        <f>IF(VLOOKUP($A48,Neuquén!$A$8:$O$291,7,FALSE)="","",VLOOKUP($A48,Neuquén!$A$8:$O$291,7,FALSE))</f>
        <v>Media</v>
      </c>
      <c r="G48" s="9" t="str">
        <f>IF(VLOOKUP($A48,Neuquén!$A$8:$O$291,6,FALSE)="","",VLOOKUP($A48,Neuquén!$A$8:$O$291,6,FALSE))</f>
        <v>Equivalencia a revisar</v>
      </c>
      <c r="H48" s="24" t="str">
        <f>IF(VLOOKUP($A48,'San Juan'!$A$8:$O$291,4,FALSE)="","",VLOOKUP($A48,'San Juan'!$A$8:$O$291,4,FALSE))</f>
        <v/>
      </c>
      <c r="I48" s="9" t="str">
        <f>IF(VLOOKUP($A48,'San Juan'!$A$8:$O$291,5,FALSE)="","",VLOOKUP($A48,'San Juan'!$A$8:$O$291,5,FALSE))</f>
        <v/>
      </c>
      <c r="J48" s="9" t="str">
        <f>IF(VLOOKUP($A48,'San Juan'!$A$8:$O$291,7,FALSE)="","",VLOOKUP($A48,'San Juan'!$A$8:$O$291,7,FALSE))</f>
        <v>Sin coincidencia</v>
      </c>
      <c r="K48" s="9" t="str">
        <f>IF(VLOOKUP($A48,'San Juan'!$A$8:$O$291,6,FALSE)="","",VLOOKUP($A48,'San Juan'!$A$8:$O$291,6,FALSE))</f>
        <v>Sin código encontrado</v>
      </c>
      <c r="L48" s="24" t="str">
        <f>IF(VLOOKUP($A48,Salta!$A$8:$O$291,4,FALSE)="","",VLOOKUP($A48,Salta!$A$8:$O$291,4,FALSE))</f>
        <v>287</v>
      </c>
      <c r="M48" s="9" t="str">
        <f>IF(VLOOKUP($A48,Salta!$A$8:$O$291,5,FALSE)="","",VLOOKUP($A48,Salta!$A$8:$O$291,5,FALSE))</f>
        <v>Dinitrato de Isosorbide 5mg comp SBL</v>
      </c>
      <c r="N48" s="9" t="str">
        <f>IF(VLOOKUP($A48,Salta!$A$8:$O$291,7,FALSE)="","",VLOOKUP($A48,Salta!$A$8:$O$291,7,FALSE))</f>
        <v>Alta</v>
      </c>
      <c r="O48" s="9" t="str">
        <f>IF(VLOOKUP($A48,Salta!$A$8:$O$291,6,FALSE)="","",VLOOKUP($A48,Salta!$A$8:$O$291,6,FALSE))</f>
        <v>Coincidencia</v>
      </c>
      <c r="P48" s="24" t="str">
        <f>IF(VLOOKUP($A48,Neuquén!$A$8:$O$291,15,FALSE)="Homologado",VLOOKUP($A48,Neuquén!$A$8:$O$291,10,FALSE),"")</f>
        <v/>
      </c>
      <c r="Q48" s="24" t="str">
        <f>IF(VLOOKUP($A48,'San Juan'!$A$8:$O$291,15,FALSE)="Homologado",VLOOKUP($A48,'San Juan'!$A$8:$O$291,10,FALSE),"")</f>
        <v/>
      </c>
      <c r="R48" s="24" t="str">
        <f>IF(VLOOKUP($A48,Salta!$A$8:$O$291,15,FALSE)="Homologado",VLOOKUP($A48,Salta!$A$8:$O$291,10,FALSE),"")</f>
        <v/>
      </c>
      <c r="S48" s="24" t="str">
        <f>IF(VLOOKUP($A48,'Master vs SAP'!$A$8:$O$291,4,FALSE)="","",VLOOKUP($A48,'Master vs SAP'!$A$8:$O$291,4,FALSE))</f>
        <v>1000011</v>
      </c>
      <c r="T48" s="9" t="str">
        <f>IF(VLOOKUP($A48,'Master vs SAP'!$A$8:$O$291,5,FALSE)="","",VLOOKUP($A48,'Master vs SAP'!$A$8:$O$291,5,FALSE))</f>
        <v>DINITRATO DE ISOSORBIDE 5 MG COMP SL</v>
      </c>
      <c r="U48" s="9" t="str">
        <f>IF(VLOOKUP($A48,'Master vs SAP'!$A$8:$O$291,7,FALSE)="","",VLOOKUP($A48,'Master vs SAP'!$A$8:$O$291,7,FALSE))</f>
        <v>Alta</v>
      </c>
      <c r="V48" s="9" t="str">
        <f>IF(VLOOKUP($A48,'Master vs SAP'!$A$8:$O$291,6,FALSE)="","",VLOOKUP($A48,'Master vs SAP'!$A$8:$O$291,6,FALSE))</f>
        <v>Coincidencia</v>
      </c>
      <c r="W48" s="24" t="str">
        <f>IF(VLOOKUP($A48,'Master vs SAP'!$A$8:$O$291,15,FALSE)="Homologado",VLOOKUP($A48,'Master vs SAP'!$A$8:$O$291,10,FALSE),"")</f>
        <v/>
      </c>
    </row>
    <row r="49" spans="1:23" ht="61.95" customHeight="1">
      <c r="A49" s="9" t="s">
        <v>190</v>
      </c>
      <c r="B49" s="9" t="s">
        <v>108</v>
      </c>
      <c r="C49" s="9" t="s">
        <v>191</v>
      </c>
      <c r="D49" s="24" t="str">
        <f>IF(VLOOKUP($A49,Neuquén!$A$8:$O$291,4,FALSE)="","",VLOOKUP($A49,Neuquén!$A$8:$O$291,4,FALSE))</f>
        <v>479</v>
      </c>
      <c r="E49" s="9" t="str">
        <f>IF(VLOOKUP($A49,Neuquén!$A$8:$O$291,5,FALSE)="","",VLOOKUP($A49,Neuquén!$A$8:$O$291,5,FALSE))</f>
        <v>NITROGLICERINA25MG</v>
      </c>
      <c r="F49" s="9" t="str">
        <f>IF(VLOOKUP($A49,Neuquén!$A$8:$O$291,7,FALSE)="","",VLOOKUP($A49,Neuquén!$A$8:$O$291,7,FALSE))</f>
        <v>Alta</v>
      </c>
      <c r="G49" s="9" t="str">
        <f>IF(VLOOKUP($A49,Neuquén!$A$8:$O$291,6,FALSE)="","",VLOOKUP($A49,Neuquén!$A$8:$O$291,6,FALSE))</f>
        <v>Coincidencia por validar</v>
      </c>
      <c r="H49" s="24" t="str">
        <f>IF(VLOOKUP($A49,'San Juan'!$A$8:$O$291,4,FALSE)="","",VLOOKUP($A49,'San Juan'!$A$8:$O$291,4,FALSE))</f>
        <v>DES042</v>
      </c>
      <c r="I49" s="9" t="str">
        <f>IF(VLOOKUP($A49,'San Juan'!$A$8:$O$291,5,FALSE)="","",VLOOKUP($A49,'San Juan'!$A$8:$O$291,5,FALSE))</f>
        <v>Nitroglicerina 1 amp=3ml</v>
      </c>
      <c r="J49" s="9" t="str">
        <f>IF(VLOOKUP($A49,'San Juan'!$A$8:$O$291,7,FALSE)="","",VLOOKUP($A49,'San Juan'!$A$8:$O$291,7,FALSE))</f>
        <v>Media</v>
      </c>
      <c r="K49" s="9" t="str">
        <f>IF(VLOOKUP($A49,'San Juan'!$A$8:$O$291,6,FALSE)="","",VLOOKUP($A49,'San Juan'!$A$8:$O$291,6,FALSE))</f>
        <v>Equivalencia a revisar</v>
      </c>
      <c r="L49" s="24" t="str">
        <f>IF(VLOOKUP($A49,Salta!$A$8:$O$291,4,FALSE)="","",VLOOKUP($A49,Salta!$A$8:$O$291,4,FALSE))</f>
        <v>399</v>
      </c>
      <c r="M49" s="9" t="str">
        <f>IF(VLOOKUP($A49,Salta!$A$8:$O$291,5,FALSE)="","",VLOOKUP($A49,Salta!$A$8:$O$291,5,FALSE))</f>
        <v>Nitroglicerina</v>
      </c>
      <c r="N49" s="9" t="str">
        <f>IF(VLOOKUP($A49,Salta!$A$8:$O$291,7,FALSE)="","",VLOOKUP($A49,Salta!$A$8:$O$291,7,FALSE))</f>
        <v>Media</v>
      </c>
      <c r="O49" s="9" t="str">
        <f>IF(VLOOKUP($A49,Salta!$A$8:$O$291,6,FALSE)="","",VLOOKUP($A49,Salta!$A$8:$O$291,6,FALSE))</f>
        <v>Revisar datos</v>
      </c>
      <c r="P49" s="24" t="str">
        <f>IF(VLOOKUP($A49,Neuquén!$A$8:$O$291,15,FALSE)="Homologado",VLOOKUP($A49,Neuquén!$A$8:$O$291,10,FALSE),"")</f>
        <v/>
      </c>
      <c r="Q49" s="24" t="str">
        <f>IF(VLOOKUP($A49,'San Juan'!$A$8:$O$291,15,FALSE)="Homologado",VLOOKUP($A49,'San Juan'!$A$8:$O$291,10,FALSE),"")</f>
        <v/>
      </c>
      <c r="R49" s="24" t="str">
        <f>IF(VLOOKUP($A49,Salta!$A$8:$O$291,15,FALSE)="Homologado",VLOOKUP($A49,Salta!$A$8:$O$291,10,FALSE),"")</f>
        <v/>
      </c>
      <c r="S49" s="24" t="str">
        <f>IF(VLOOKUP($A49,'Master vs SAP'!$A$8:$O$291,4,FALSE)="","",VLOOKUP($A49,'Master vs SAP'!$A$8:$O$291,4,FALSE))</f>
        <v>1000013</v>
      </c>
      <c r="T49" s="9" t="str">
        <f>IF(VLOOKUP($A49,'Master vs SAP'!$A$8:$O$291,5,FALSE)="","",VLOOKUP($A49,'Master vs SAP'!$A$8:$O$291,5,FALSE))</f>
        <v>NITROGLICERINA 25 MG AMPOLLA</v>
      </c>
      <c r="U49" s="9" t="str">
        <f>IF(VLOOKUP($A49,'Master vs SAP'!$A$8:$O$291,7,FALSE)="","",VLOOKUP($A49,'Master vs SAP'!$A$8:$O$291,7,FALSE))</f>
        <v>Media</v>
      </c>
      <c r="V49" s="9" t="str">
        <f>IF(VLOOKUP($A49,'Master vs SAP'!$A$8:$O$291,6,FALSE)="","",VLOOKUP($A49,'Master vs SAP'!$A$8:$O$291,6,FALSE))</f>
        <v>Revisar datos</v>
      </c>
      <c r="W49" s="24" t="str">
        <f>IF(VLOOKUP($A49,'Master vs SAP'!$A$8:$O$291,15,FALSE)="Homologado",VLOOKUP($A49,'Master vs SAP'!$A$8:$O$291,10,FALSE),"")</f>
        <v/>
      </c>
    </row>
    <row r="50" spans="1:23" ht="61.95" customHeight="1">
      <c r="A50" s="9" t="s">
        <v>192</v>
      </c>
      <c r="B50" s="9" t="s">
        <v>108</v>
      </c>
      <c r="C50" s="9" t="s">
        <v>193</v>
      </c>
      <c r="D50" s="24" t="str">
        <f>IF(VLOOKUP($A50,Neuquén!$A$8:$O$291,4,FALSE)="","",VLOOKUP($A50,Neuquén!$A$8:$O$291,4,FALSE))</f>
        <v>308</v>
      </c>
      <c r="E50" s="9" t="str">
        <f>IF(VLOOKUP($A50,Neuquén!$A$8:$O$291,5,FALSE)="","",VLOOKUP($A50,Neuquén!$A$8:$O$291,5,FALSE))</f>
        <v>DIGOXINA</v>
      </c>
      <c r="F50" s="9" t="str">
        <f>IF(VLOOKUP($A50,Neuquén!$A$8:$O$291,7,FALSE)="","",VLOOKUP($A50,Neuquén!$A$8:$O$291,7,FALSE))</f>
        <v>Media</v>
      </c>
      <c r="G50" s="9" t="str">
        <f>IF(VLOOKUP($A50,Neuquén!$A$8:$O$291,6,FALSE)="","",VLOOKUP($A50,Neuquén!$A$8:$O$291,6,FALSE))</f>
        <v>Equivalencia a revisar</v>
      </c>
      <c r="H50" s="24" t="str">
        <f>IF(VLOOKUP($A50,'San Juan'!$A$8:$O$291,4,FALSE)="","",VLOOKUP($A50,'San Juan'!$A$8:$O$291,4,FALSE))</f>
        <v/>
      </c>
      <c r="I50" s="9" t="str">
        <f>IF(VLOOKUP($A50,'San Juan'!$A$8:$O$291,5,FALSE)="","",VLOOKUP($A50,'San Juan'!$A$8:$O$291,5,FALSE))</f>
        <v/>
      </c>
      <c r="J50" s="9" t="str">
        <f>IF(VLOOKUP($A50,'San Juan'!$A$8:$O$291,7,FALSE)="","",VLOOKUP($A50,'San Juan'!$A$8:$O$291,7,FALSE))</f>
        <v>Sin coincidencia</v>
      </c>
      <c r="K50" s="9" t="str">
        <f>IF(VLOOKUP($A50,'San Juan'!$A$8:$O$291,6,FALSE)="","",VLOOKUP($A50,'San Juan'!$A$8:$O$291,6,FALSE))</f>
        <v>Sin código encontrado</v>
      </c>
      <c r="L50" s="24" t="str">
        <f>IF(VLOOKUP($A50,Salta!$A$8:$O$291,4,FALSE)="","",VLOOKUP($A50,Salta!$A$8:$O$291,4,FALSE))</f>
        <v>266</v>
      </c>
      <c r="M50" s="9" t="str">
        <f>IF(VLOOKUP($A50,Salta!$A$8:$O$291,5,FALSE)="","",VLOOKUP($A50,Salta!$A$8:$O$291,5,FALSE))</f>
        <v>Digoxina 0.25mg/ml</v>
      </c>
      <c r="N50" s="9" t="str">
        <f>IF(VLOOKUP($A50,Salta!$A$8:$O$291,7,FALSE)="","",VLOOKUP($A50,Salta!$A$8:$O$291,7,FALSE))</f>
        <v>Media</v>
      </c>
      <c r="O50" s="9" t="str">
        <f>IF(VLOOKUP($A50,Salta!$A$8:$O$291,6,FALSE)="","",VLOOKUP($A50,Salta!$A$8:$O$291,6,FALSE))</f>
        <v>Revisar datos</v>
      </c>
      <c r="P50" s="24" t="str">
        <f>IF(VLOOKUP($A50,Neuquén!$A$8:$O$291,15,FALSE)="Homologado",VLOOKUP($A50,Neuquén!$A$8:$O$291,10,FALSE),"")</f>
        <v/>
      </c>
      <c r="Q50" s="24" t="str">
        <f>IF(VLOOKUP($A50,'San Juan'!$A$8:$O$291,15,FALSE)="Homologado",VLOOKUP($A50,'San Juan'!$A$8:$O$291,10,FALSE),"")</f>
        <v/>
      </c>
      <c r="R50" s="24" t="str">
        <f>IF(VLOOKUP($A50,Salta!$A$8:$O$291,15,FALSE)="Homologado",VLOOKUP($A50,Salta!$A$8:$O$291,10,FALSE),"")</f>
        <v/>
      </c>
      <c r="S50" s="24" t="str">
        <f>IF(VLOOKUP($A50,'Master vs SAP'!$A$8:$O$291,4,FALSE)="","",VLOOKUP($A50,'Master vs SAP'!$A$8:$O$291,4,FALSE))</f>
        <v>1000063</v>
      </c>
      <c r="T50" s="9" t="str">
        <f>IF(VLOOKUP($A50,'Master vs SAP'!$A$8:$O$291,5,FALSE)="","",VLOOKUP($A50,'Master vs SAP'!$A$8:$O$291,5,FALSE))</f>
        <v>DIGOXINA 0,25 MG/ML AMPOLLA DE 1ML</v>
      </c>
      <c r="U50" s="9" t="str">
        <f>IF(VLOOKUP($A50,'Master vs SAP'!$A$8:$O$291,7,FALSE)="","",VLOOKUP($A50,'Master vs SAP'!$A$8:$O$291,7,FALSE))</f>
        <v>Alta</v>
      </c>
      <c r="V50" s="9" t="str">
        <f>IF(VLOOKUP($A50,'Master vs SAP'!$A$8:$O$291,6,FALSE)="","",VLOOKUP($A50,'Master vs SAP'!$A$8:$O$291,6,FALSE))</f>
        <v>Coincidencia</v>
      </c>
      <c r="W50" s="24" t="str">
        <f>IF(VLOOKUP($A50,'Master vs SAP'!$A$8:$O$291,15,FALSE)="Homologado",VLOOKUP($A50,'Master vs SAP'!$A$8:$O$291,10,FALSE),"")</f>
        <v/>
      </c>
    </row>
    <row r="51" spans="1:23" ht="61.95" customHeight="1">
      <c r="A51" s="9" t="s">
        <v>194</v>
      </c>
      <c r="B51" s="9" t="s">
        <v>108</v>
      </c>
      <c r="C51" s="9" t="s">
        <v>195</v>
      </c>
      <c r="D51" s="24" t="str">
        <f>IF(VLOOKUP($A51,Neuquén!$A$8:$O$291,4,FALSE)="","",VLOOKUP($A51,Neuquén!$A$8:$O$291,4,FALSE))</f>
        <v>494</v>
      </c>
      <c r="E51" s="9" t="str">
        <f>IF(VLOOKUP($A51,Neuquén!$A$8:$O$291,5,FALSE)="","",VLOOKUP($A51,Neuquén!$A$8:$O$291,5,FALSE))</f>
        <v>Labetalol</v>
      </c>
      <c r="F51" s="9" t="str">
        <f>IF(VLOOKUP($A51,Neuquén!$A$8:$O$291,7,FALSE)="","",VLOOKUP($A51,Neuquén!$A$8:$O$291,7,FALSE))</f>
        <v>Media</v>
      </c>
      <c r="G51" s="9" t="str">
        <f>IF(VLOOKUP($A51,Neuquén!$A$8:$O$291,6,FALSE)="","",VLOOKUP($A51,Neuquén!$A$8:$O$291,6,FALSE))</f>
        <v>Equivalencia a revisar</v>
      </c>
      <c r="H51" s="24" t="str">
        <f>IF(VLOOKUP($A51,'San Juan'!$A$8:$O$291,4,FALSE)="","",VLOOKUP($A51,'San Juan'!$A$8:$O$291,4,FALSE))</f>
        <v/>
      </c>
      <c r="I51" s="9" t="str">
        <f>IF(VLOOKUP($A51,'San Juan'!$A$8:$O$291,5,FALSE)="","",VLOOKUP($A51,'San Juan'!$A$8:$O$291,5,FALSE))</f>
        <v/>
      </c>
      <c r="J51" s="9" t="str">
        <f>IF(VLOOKUP($A51,'San Juan'!$A$8:$O$291,7,FALSE)="","",VLOOKUP($A51,'San Juan'!$A$8:$O$291,7,FALSE))</f>
        <v>Sin coincidencia</v>
      </c>
      <c r="K51" s="9" t="str">
        <f>IF(VLOOKUP($A51,'San Juan'!$A$8:$O$291,6,FALSE)="","",VLOOKUP($A51,'San Juan'!$A$8:$O$291,6,FALSE))</f>
        <v>Sin código encontrado</v>
      </c>
      <c r="L51" s="24" t="str">
        <f>IF(VLOOKUP($A51,Salta!$A$8:$O$291,4,FALSE)="","",VLOOKUP($A51,Salta!$A$8:$O$291,4,FALSE))</f>
        <v>400</v>
      </c>
      <c r="M51" s="9" t="str">
        <f>IF(VLOOKUP($A51,Salta!$A$8:$O$291,5,FALSE)="","",VLOOKUP($A51,Salta!$A$8:$O$291,5,FALSE))</f>
        <v>Clorhidrato de Labetalol 20mg</v>
      </c>
      <c r="N51" s="9" t="str">
        <f>IF(VLOOKUP($A51,Salta!$A$8:$O$291,7,FALSE)="","",VLOOKUP($A51,Salta!$A$8:$O$291,7,FALSE))</f>
        <v>Media</v>
      </c>
      <c r="O51" s="9" t="str">
        <f>IF(VLOOKUP($A51,Salta!$A$8:$O$291,6,FALSE)="","",VLOOKUP($A51,Salta!$A$8:$O$291,6,FALSE))</f>
        <v>Revisar datos</v>
      </c>
      <c r="P51" s="24" t="str">
        <f>IF(VLOOKUP($A51,Neuquén!$A$8:$O$291,15,FALSE)="Homologado",VLOOKUP($A51,Neuquén!$A$8:$O$291,10,FALSE),"")</f>
        <v/>
      </c>
      <c r="Q51" s="24" t="str">
        <f>IF(VLOOKUP($A51,'San Juan'!$A$8:$O$291,15,FALSE)="Homologado",VLOOKUP($A51,'San Juan'!$A$8:$O$291,10,FALSE),"")</f>
        <v/>
      </c>
      <c r="R51" s="24" t="str">
        <f>IF(VLOOKUP($A51,Salta!$A$8:$O$291,15,FALSE)="Homologado",VLOOKUP($A51,Salta!$A$8:$O$291,10,FALSE),"")</f>
        <v/>
      </c>
      <c r="S51" s="24" t="str">
        <f>IF(VLOOKUP($A51,'Master vs SAP'!$A$8:$O$291,4,FALSE)="","",VLOOKUP($A51,'Master vs SAP'!$A$8:$O$291,4,FALSE))</f>
        <v>1000634</v>
      </c>
      <c r="T51" s="9" t="str">
        <f>IF(VLOOKUP($A51,'Master vs SAP'!$A$8:$O$291,5,FALSE)="","",VLOOKUP($A51,'Master vs SAP'!$A$8:$O$291,5,FALSE))</f>
        <v>LABETALOL 20MG AMPOLLA</v>
      </c>
      <c r="U51" s="9" t="str">
        <f>IF(VLOOKUP($A51,'Master vs SAP'!$A$8:$O$291,7,FALSE)="","",VLOOKUP($A51,'Master vs SAP'!$A$8:$O$291,7,FALSE))</f>
        <v>Media</v>
      </c>
      <c r="V51" s="9" t="str">
        <f>IF(VLOOKUP($A51,'Master vs SAP'!$A$8:$O$291,6,FALSE)="","",VLOOKUP($A51,'Master vs SAP'!$A$8:$O$291,6,FALSE))</f>
        <v>Revisar datos</v>
      </c>
      <c r="W51" s="24" t="str">
        <f>IF(VLOOKUP($A51,'Master vs SAP'!$A$8:$O$291,15,FALSE)="Homologado",VLOOKUP($A51,'Master vs SAP'!$A$8:$O$291,10,FALSE),"")</f>
        <v/>
      </c>
    </row>
    <row r="52" spans="1:23" ht="61.95" customHeight="1">
      <c r="A52" s="9" t="s">
        <v>196</v>
      </c>
      <c r="B52" s="9" t="s">
        <v>108</v>
      </c>
      <c r="C52" s="9" t="s">
        <v>197</v>
      </c>
      <c r="D52" s="24" t="str">
        <f>IF(VLOOKUP($A52,Neuquén!$A$8:$O$291,4,FALSE)="","",VLOOKUP($A52,Neuquén!$A$8:$O$291,4,FALSE))</f>
        <v>495</v>
      </c>
      <c r="E52" s="9" t="str">
        <f>IF(VLOOKUP($A52,Neuquén!$A$8:$O$291,5,FALSE)="","",VLOOKUP($A52,Neuquén!$A$8:$O$291,5,FALSE))</f>
        <v>Nitroprusiato Na</v>
      </c>
      <c r="F52" s="9" t="str">
        <f>IF(VLOOKUP($A52,Neuquén!$A$8:$O$291,7,FALSE)="","",VLOOKUP($A52,Neuquén!$A$8:$O$291,7,FALSE))</f>
        <v>Sin coincidencia</v>
      </c>
      <c r="G52" s="9" t="str">
        <f>IF(VLOOKUP($A52,Neuquén!$A$8:$O$291,6,FALSE)="","",VLOOKUP($A52,Neuquén!$A$8:$O$291,6,FALSE))</f>
        <v>Código sin equivalencia validada</v>
      </c>
      <c r="H52" s="24" t="str">
        <f>IF(VLOOKUP($A52,'San Juan'!$A$8:$O$291,4,FALSE)="","",VLOOKUP($A52,'San Juan'!$A$8:$O$291,4,FALSE))</f>
        <v/>
      </c>
      <c r="I52" s="9" t="str">
        <f>IF(VLOOKUP($A52,'San Juan'!$A$8:$O$291,5,FALSE)="","",VLOOKUP($A52,'San Juan'!$A$8:$O$291,5,FALSE))</f>
        <v/>
      </c>
      <c r="J52" s="9" t="str">
        <f>IF(VLOOKUP($A52,'San Juan'!$A$8:$O$291,7,FALSE)="","",VLOOKUP($A52,'San Juan'!$A$8:$O$291,7,FALSE))</f>
        <v>Sin coincidencia</v>
      </c>
      <c r="K52" s="9" t="str">
        <f>IF(VLOOKUP($A52,'San Juan'!$A$8:$O$291,6,FALSE)="","",VLOOKUP($A52,'San Juan'!$A$8:$O$291,6,FALSE))</f>
        <v>Sin código encontrado</v>
      </c>
      <c r="L52" s="24" t="str">
        <f>IF(VLOOKUP($A52,Salta!$A$8:$O$291,4,FALSE)="","",VLOOKUP($A52,Salta!$A$8:$O$291,4,FALSE))</f>
        <v>396</v>
      </c>
      <c r="M52" s="9" t="str">
        <f>IF(VLOOKUP($A52,Salta!$A$8:$O$291,5,FALSE)="","",VLOOKUP($A52,Salta!$A$8:$O$291,5,FALSE))</f>
        <v>nitroprusiato de sodio 50 mg ampolla (frasco)</v>
      </c>
      <c r="N52" s="9" t="str">
        <f>IF(VLOOKUP($A52,Salta!$A$8:$O$291,7,FALSE)="","",VLOOKUP($A52,Salta!$A$8:$O$291,7,FALSE))</f>
        <v>Alta</v>
      </c>
      <c r="O52" s="9" t="str">
        <f>IF(VLOOKUP($A52,Salta!$A$8:$O$291,6,FALSE)="","",VLOOKUP($A52,Salta!$A$8:$O$291,6,FALSE))</f>
        <v>Coincidencia</v>
      </c>
      <c r="P52" s="24" t="str">
        <f>IF(VLOOKUP($A52,Neuquén!$A$8:$O$291,15,FALSE)="Homologado",VLOOKUP($A52,Neuquén!$A$8:$O$291,10,FALSE),"")</f>
        <v/>
      </c>
      <c r="Q52" s="24" t="str">
        <f>IF(VLOOKUP($A52,'San Juan'!$A$8:$O$291,15,FALSE)="Homologado",VLOOKUP($A52,'San Juan'!$A$8:$O$291,10,FALSE),"")</f>
        <v/>
      </c>
      <c r="R52" s="24" t="str">
        <f>IF(VLOOKUP($A52,Salta!$A$8:$O$291,15,FALSE)="Homologado",VLOOKUP($A52,Salta!$A$8:$O$291,10,FALSE),"")</f>
        <v/>
      </c>
      <c r="S52" s="24" t="str">
        <f>IF(VLOOKUP($A52,'Master vs SAP'!$A$8:$O$291,4,FALSE)="","",VLOOKUP($A52,'Master vs SAP'!$A$8:$O$291,4,FALSE))</f>
        <v>1000236</v>
      </c>
      <c r="T52" s="9" t="str">
        <f>IF(VLOOKUP($A52,'Master vs SAP'!$A$8:$O$291,5,FALSE)="","",VLOOKUP($A52,'Master vs SAP'!$A$8:$O$291,5,FALSE))</f>
        <v>NITROPRUSIATO SE SODIO</v>
      </c>
      <c r="U52" s="9" t="str">
        <f>IF(VLOOKUP($A52,'Master vs SAP'!$A$8:$O$291,7,FALSE)="","",VLOOKUP($A52,'Master vs SAP'!$A$8:$O$291,7,FALSE))</f>
        <v>Media</v>
      </c>
      <c r="V52" s="9" t="str">
        <f>IF(VLOOKUP($A52,'Master vs SAP'!$A$8:$O$291,6,FALSE)="","",VLOOKUP($A52,'Master vs SAP'!$A$8:$O$291,6,FALSE))</f>
        <v>Revisar datos</v>
      </c>
      <c r="W52" s="24" t="str">
        <f>IF(VLOOKUP($A52,'Master vs SAP'!$A$8:$O$291,15,FALSE)="Homologado",VLOOKUP($A52,'Master vs SAP'!$A$8:$O$291,10,FALSE),"")</f>
        <v/>
      </c>
    </row>
    <row r="53" spans="1:23" ht="61.95" customHeight="1">
      <c r="A53" s="9" t="s">
        <v>198</v>
      </c>
      <c r="B53" s="9" t="s">
        <v>108</v>
      </c>
      <c r="C53" s="9" t="s">
        <v>199</v>
      </c>
      <c r="D53" s="24" t="str">
        <f>IF(VLOOKUP($A53,Neuquén!$A$8:$O$291,4,FALSE)="","",VLOOKUP($A53,Neuquén!$A$8:$O$291,4,FALSE))</f>
        <v>496</v>
      </c>
      <c r="E53" s="9" t="str">
        <f>IF(VLOOKUP($A53,Neuquén!$A$8:$O$291,5,FALSE)="","",VLOOKUP($A53,Neuquén!$A$8:$O$291,5,FALSE))</f>
        <v>Atorvastatina</v>
      </c>
      <c r="F53" s="9" t="str">
        <f>IF(VLOOKUP($A53,Neuquén!$A$8:$O$291,7,FALSE)="","",VLOOKUP($A53,Neuquén!$A$8:$O$291,7,FALSE))</f>
        <v>Alta</v>
      </c>
      <c r="G53" s="9" t="str">
        <f>IF(VLOOKUP($A53,Neuquén!$A$8:$O$291,6,FALSE)="","",VLOOKUP($A53,Neuquén!$A$8:$O$291,6,FALSE))</f>
        <v>Coincidencia por validar</v>
      </c>
      <c r="H53" s="24" t="str">
        <f>IF(VLOOKUP($A53,'San Juan'!$A$8:$O$291,4,FALSE)="","",VLOOKUP($A53,'San Juan'!$A$8:$O$291,4,FALSE))</f>
        <v/>
      </c>
      <c r="I53" s="9" t="str">
        <f>IF(VLOOKUP($A53,'San Juan'!$A$8:$O$291,5,FALSE)="","",VLOOKUP($A53,'San Juan'!$A$8:$O$291,5,FALSE))</f>
        <v/>
      </c>
      <c r="J53" s="9" t="str">
        <f>IF(VLOOKUP($A53,'San Juan'!$A$8:$O$291,7,FALSE)="","",VLOOKUP($A53,'San Juan'!$A$8:$O$291,7,FALSE))</f>
        <v>Sin coincidencia</v>
      </c>
      <c r="K53" s="9" t="str">
        <f>IF(VLOOKUP($A53,'San Juan'!$A$8:$O$291,6,FALSE)="","",VLOOKUP($A53,'San Juan'!$A$8:$O$291,6,FALSE))</f>
        <v>Sin código encontrado</v>
      </c>
      <c r="L53" s="24" t="str">
        <f>IF(VLOOKUP($A53,Salta!$A$8:$O$291,4,FALSE)="","",VLOOKUP($A53,Salta!$A$8:$O$291,4,FALSE))</f>
        <v/>
      </c>
      <c r="M53" s="9" t="str">
        <f>IF(VLOOKUP($A53,Salta!$A$8:$O$291,5,FALSE)="","",VLOOKUP($A53,Salta!$A$8:$O$291,5,FALSE))</f>
        <v/>
      </c>
      <c r="N53" s="9" t="str">
        <f>IF(VLOOKUP($A53,Salta!$A$8:$O$291,7,FALSE)="","",VLOOKUP($A53,Salta!$A$8:$O$291,7,FALSE))</f>
        <v>Sin coincidencia</v>
      </c>
      <c r="O53" s="9" t="str">
        <f>IF(VLOOKUP($A53,Salta!$A$8:$O$291,6,FALSE)="","",VLOOKUP($A53,Salta!$A$8:$O$291,6,FALSE))</f>
        <v>Sin coincidencia</v>
      </c>
      <c r="P53" s="24" t="str">
        <f>IF(VLOOKUP($A53,Neuquén!$A$8:$O$291,15,FALSE)="Homologado",VLOOKUP($A53,Neuquén!$A$8:$O$291,10,FALSE),"")</f>
        <v/>
      </c>
      <c r="Q53" s="24" t="str">
        <f>IF(VLOOKUP($A53,'San Juan'!$A$8:$O$291,15,FALSE)="Homologado",VLOOKUP($A53,'San Juan'!$A$8:$O$291,10,FALSE),"")</f>
        <v/>
      </c>
      <c r="R53" s="24" t="str">
        <f>IF(VLOOKUP($A53,Salta!$A$8:$O$291,15,FALSE)="Homologado",VLOOKUP($A53,Salta!$A$8:$O$291,10,FALSE),"")</f>
        <v/>
      </c>
      <c r="S53" s="24" t="str">
        <f>IF(VLOOKUP($A53,'Master vs SAP'!$A$8:$O$291,4,FALSE)="","",VLOOKUP($A53,'Master vs SAP'!$A$8:$O$291,4,FALSE))</f>
        <v>1000725</v>
      </c>
      <c r="T53" s="9" t="str">
        <f>IF(VLOOKUP($A53,'Master vs SAP'!$A$8:$O$291,5,FALSE)="","",VLOOKUP($A53,'Master vs SAP'!$A$8:$O$291,5,FALSE))</f>
        <v>ATORVASTATINA 20MG</v>
      </c>
      <c r="U53" s="9" t="str">
        <f>IF(VLOOKUP($A53,'Master vs SAP'!$A$8:$O$291,7,FALSE)="","",VLOOKUP($A53,'Master vs SAP'!$A$8:$O$291,7,FALSE))</f>
        <v>Alta</v>
      </c>
      <c r="V53" s="9" t="str">
        <f>IF(VLOOKUP($A53,'Master vs SAP'!$A$8:$O$291,6,FALSE)="","",VLOOKUP($A53,'Master vs SAP'!$A$8:$O$291,6,FALSE))</f>
        <v>Coincidencia</v>
      </c>
      <c r="W53" s="24" t="str">
        <f>IF(VLOOKUP($A53,'Master vs SAP'!$A$8:$O$291,15,FALSE)="Homologado",VLOOKUP($A53,'Master vs SAP'!$A$8:$O$291,10,FALSE),"")</f>
        <v/>
      </c>
    </row>
    <row r="54" spans="1:23" ht="61.95" customHeight="1">
      <c r="A54" s="9" t="s">
        <v>200</v>
      </c>
      <c r="B54" s="9" t="s">
        <v>108</v>
      </c>
      <c r="C54" s="9" t="s">
        <v>201</v>
      </c>
      <c r="D54" s="24" t="str">
        <f>IF(VLOOKUP($A54,Neuquén!$A$8:$O$291,4,FALSE)="","",VLOOKUP($A54,Neuquén!$A$8:$O$291,4,FALSE))</f>
        <v>497</v>
      </c>
      <c r="E54" s="9" t="str">
        <f>IF(VLOOKUP($A54,Neuquén!$A$8:$O$291,5,FALSE)="","",VLOOKUP($A54,Neuquén!$A$8:$O$291,5,FALSE))</f>
        <v>Bisoprolol</v>
      </c>
      <c r="F54" s="9" t="str">
        <f>IF(VLOOKUP($A54,Neuquén!$A$8:$O$291,7,FALSE)="","",VLOOKUP($A54,Neuquén!$A$8:$O$291,7,FALSE))</f>
        <v>Alta</v>
      </c>
      <c r="G54" s="9" t="str">
        <f>IF(VLOOKUP($A54,Neuquén!$A$8:$O$291,6,FALSE)="","",VLOOKUP($A54,Neuquén!$A$8:$O$291,6,FALSE))</f>
        <v>Coincidencia por validar</v>
      </c>
      <c r="H54" s="24" t="str">
        <f>IF(VLOOKUP($A54,'San Juan'!$A$8:$O$291,4,FALSE)="","",VLOOKUP($A54,'San Juan'!$A$8:$O$291,4,FALSE))</f>
        <v/>
      </c>
      <c r="I54" s="9" t="str">
        <f>IF(VLOOKUP($A54,'San Juan'!$A$8:$O$291,5,FALSE)="","",VLOOKUP($A54,'San Juan'!$A$8:$O$291,5,FALSE))</f>
        <v/>
      </c>
      <c r="J54" s="9" t="str">
        <f>IF(VLOOKUP($A54,'San Juan'!$A$8:$O$291,7,FALSE)="","",VLOOKUP($A54,'San Juan'!$A$8:$O$291,7,FALSE))</f>
        <v>Sin coincidencia</v>
      </c>
      <c r="K54" s="9" t="str">
        <f>IF(VLOOKUP($A54,'San Juan'!$A$8:$O$291,6,FALSE)="","",VLOOKUP($A54,'San Juan'!$A$8:$O$291,6,FALSE))</f>
        <v>Sin código encontrado</v>
      </c>
      <c r="L54" s="24" t="str">
        <f>IF(VLOOKUP($A54,Salta!$A$8:$O$291,4,FALSE)="","",VLOOKUP($A54,Salta!$A$8:$O$291,4,FALSE))</f>
        <v/>
      </c>
      <c r="M54" s="9" t="str">
        <f>IF(VLOOKUP($A54,Salta!$A$8:$O$291,5,FALSE)="","",VLOOKUP($A54,Salta!$A$8:$O$291,5,FALSE))</f>
        <v/>
      </c>
      <c r="N54" s="9" t="str">
        <f>IF(VLOOKUP($A54,Salta!$A$8:$O$291,7,FALSE)="","",VLOOKUP($A54,Salta!$A$8:$O$291,7,FALSE))</f>
        <v>Sin coincidencia</v>
      </c>
      <c r="O54" s="9" t="str">
        <f>IF(VLOOKUP($A54,Salta!$A$8:$O$291,6,FALSE)="","",VLOOKUP($A54,Salta!$A$8:$O$291,6,FALSE))</f>
        <v>Sin coincidencia</v>
      </c>
      <c r="P54" s="24" t="str">
        <f>IF(VLOOKUP($A54,Neuquén!$A$8:$O$291,15,FALSE)="Homologado",VLOOKUP($A54,Neuquén!$A$8:$O$291,10,FALSE),"")</f>
        <v/>
      </c>
      <c r="Q54" s="24" t="str">
        <f>IF(VLOOKUP($A54,'San Juan'!$A$8:$O$291,15,FALSE)="Homologado",VLOOKUP($A54,'San Juan'!$A$8:$O$291,10,FALSE),"")</f>
        <v/>
      </c>
      <c r="R54" s="24" t="str">
        <f>IF(VLOOKUP($A54,Salta!$A$8:$O$291,15,FALSE)="Homologado",VLOOKUP($A54,Salta!$A$8:$O$291,10,FALSE),"")</f>
        <v/>
      </c>
      <c r="S54" s="24" t="str">
        <f>IF(VLOOKUP($A54,'Master vs SAP'!$A$8:$O$291,4,FALSE)="","",VLOOKUP($A54,'Master vs SAP'!$A$8:$O$291,4,FALSE))</f>
        <v>1005292
1000833</v>
      </c>
      <c r="T54" s="9" t="str">
        <f>IF(VLOOKUP($A54,'Master vs SAP'!$A$8:$O$291,5,FALSE)="","",VLOOKUP($A54,'Master vs SAP'!$A$8:$O$291,5,FALSE))</f>
        <v>BISOPROLOL 5MG X 10COMP
BISOPROLOL 5MG 30u COMPRIMIDOS</v>
      </c>
      <c r="U54" s="9" t="str">
        <f>IF(VLOOKUP($A54,'Master vs SAP'!$A$8:$O$291,7,FALSE)="","",VLOOKUP($A54,'Master vs SAP'!$A$8:$O$291,7,FALSE))</f>
        <v>Baja</v>
      </c>
      <c r="V54" s="9" t="str">
        <f>IF(VLOOKUP($A54,'Master vs SAP'!$A$8:$O$291,6,FALSE)="","",VLOOKUP($A54,'Master vs SAP'!$A$8:$O$291,6,FALSE))</f>
        <v>Revisar presentación</v>
      </c>
      <c r="W54" s="24" t="str">
        <f>IF(VLOOKUP($A54,'Master vs SAP'!$A$8:$O$291,15,FALSE)="Homologado",VLOOKUP($A54,'Master vs SAP'!$A$8:$O$291,10,FALSE),"")</f>
        <v/>
      </c>
    </row>
    <row r="55" spans="1:23" ht="61.95" customHeight="1">
      <c r="A55" s="9" t="s">
        <v>202</v>
      </c>
      <c r="B55" s="9" t="s">
        <v>108</v>
      </c>
      <c r="C55" s="9" t="s">
        <v>203</v>
      </c>
      <c r="D55" s="24" t="str">
        <f>IF(VLOOKUP($A55,Neuquén!$A$8:$O$291,4,FALSE)="","",VLOOKUP($A55,Neuquén!$A$8:$O$291,4,FALSE))</f>
        <v>498</v>
      </c>
      <c r="E55" s="9" t="str">
        <f>IF(VLOOKUP($A55,Neuquén!$A$8:$O$291,5,FALSE)="","",VLOOKUP($A55,Neuquén!$A$8:$O$291,5,FALSE))</f>
        <v>Nifedipina</v>
      </c>
      <c r="F55" s="9" t="str">
        <f>IF(VLOOKUP($A55,Neuquén!$A$8:$O$291,7,FALSE)="","",VLOOKUP($A55,Neuquén!$A$8:$O$291,7,FALSE))</f>
        <v>Alta</v>
      </c>
      <c r="G55" s="9" t="str">
        <f>IF(VLOOKUP($A55,Neuquén!$A$8:$O$291,6,FALSE)="","",VLOOKUP($A55,Neuquén!$A$8:$O$291,6,FALSE))</f>
        <v>Coincidencia por validar</v>
      </c>
      <c r="H55" s="24" t="str">
        <f>IF(VLOOKUP($A55,'San Juan'!$A$8:$O$291,4,FALSE)="","",VLOOKUP($A55,'San Juan'!$A$8:$O$291,4,FALSE))</f>
        <v/>
      </c>
      <c r="I55" s="9" t="str">
        <f>IF(VLOOKUP($A55,'San Juan'!$A$8:$O$291,5,FALSE)="","",VLOOKUP($A55,'San Juan'!$A$8:$O$291,5,FALSE))</f>
        <v/>
      </c>
      <c r="J55" s="9" t="str">
        <f>IF(VLOOKUP($A55,'San Juan'!$A$8:$O$291,7,FALSE)="","",VLOOKUP($A55,'San Juan'!$A$8:$O$291,7,FALSE))</f>
        <v>Sin coincidencia</v>
      </c>
      <c r="K55" s="9" t="str">
        <f>IF(VLOOKUP($A55,'San Juan'!$A$8:$O$291,6,FALSE)="","",VLOOKUP($A55,'San Juan'!$A$8:$O$291,6,FALSE))</f>
        <v>Sin código encontrado</v>
      </c>
      <c r="L55" s="24" t="str">
        <f>IF(VLOOKUP($A55,Salta!$A$8:$O$291,4,FALSE)="","",VLOOKUP($A55,Salta!$A$8:$O$291,4,FALSE))</f>
        <v/>
      </c>
      <c r="M55" s="9" t="str">
        <f>IF(VLOOKUP($A55,Salta!$A$8:$O$291,5,FALSE)="","",VLOOKUP($A55,Salta!$A$8:$O$291,5,FALSE))</f>
        <v/>
      </c>
      <c r="N55" s="9" t="str">
        <f>IF(VLOOKUP($A55,Salta!$A$8:$O$291,7,FALSE)="","",VLOOKUP($A55,Salta!$A$8:$O$291,7,FALSE))</f>
        <v>Sin coincidencia</v>
      </c>
      <c r="O55" s="9" t="str">
        <f>IF(VLOOKUP($A55,Salta!$A$8:$O$291,6,FALSE)="","",VLOOKUP($A55,Salta!$A$8:$O$291,6,FALSE))</f>
        <v>Sin coincidencia</v>
      </c>
      <c r="P55" s="24" t="str">
        <f>IF(VLOOKUP($A55,Neuquén!$A$8:$O$291,15,FALSE)="Homologado",VLOOKUP($A55,Neuquén!$A$8:$O$291,10,FALSE),"")</f>
        <v/>
      </c>
      <c r="Q55" s="24" t="str">
        <f>IF(VLOOKUP($A55,'San Juan'!$A$8:$O$291,15,FALSE)="Homologado",VLOOKUP($A55,'San Juan'!$A$8:$O$291,10,FALSE),"")</f>
        <v/>
      </c>
      <c r="R55" s="24" t="str">
        <f>IF(VLOOKUP($A55,Salta!$A$8:$O$291,15,FALSE)="Homologado",VLOOKUP($A55,Salta!$A$8:$O$291,10,FALSE),"")</f>
        <v/>
      </c>
      <c r="S55" s="24" t="str">
        <f>IF(VLOOKUP($A55,'Master vs SAP'!$A$8:$O$291,4,FALSE)="","",VLOOKUP($A55,'Master vs SAP'!$A$8:$O$291,4,FALSE))</f>
        <v>1000544</v>
      </c>
      <c r="T55" s="9" t="str">
        <f>IF(VLOOKUP($A55,'Master vs SAP'!$A$8:$O$291,5,FALSE)="","",VLOOKUP($A55,'Master vs SAP'!$A$8:$O$291,5,FALSE))</f>
        <v>NIFEDIPINA 30MG</v>
      </c>
      <c r="U55" s="9" t="str">
        <f>IF(VLOOKUP($A55,'Master vs SAP'!$A$8:$O$291,7,FALSE)="","",VLOOKUP($A55,'Master vs SAP'!$A$8:$O$291,7,FALSE))</f>
        <v>Alta</v>
      </c>
      <c r="V55" s="9" t="str">
        <f>IF(VLOOKUP($A55,'Master vs SAP'!$A$8:$O$291,6,FALSE)="","",VLOOKUP($A55,'Master vs SAP'!$A$8:$O$291,6,FALSE))</f>
        <v>Coincidencia</v>
      </c>
      <c r="W55" s="24" t="str">
        <f>IF(VLOOKUP($A55,'Master vs SAP'!$A$8:$O$291,15,FALSE)="Homologado",VLOOKUP($A55,'Master vs SAP'!$A$8:$O$291,10,FALSE),"")</f>
        <v/>
      </c>
    </row>
    <row r="56" spans="1:23" ht="61.95" customHeight="1">
      <c r="A56" s="9" t="s">
        <v>204</v>
      </c>
      <c r="B56" s="9" t="s">
        <v>108</v>
      </c>
      <c r="C56" s="9" t="s">
        <v>205</v>
      </c>
      <c r="D56" s="24" t="str">
        <f>IF(VLOOKUP($A56,Neuquén!$A$8:$O$291,4,FALSE)="","",VLOOKUP($A56,Neuquén!$A$8:$O$291,4,FALSE))</f>
        <v>499</v>
      </c>
      <c r="E56" s="9" t="str">
        <f>IF(VLOOKUP($A56,Neuquén!$A$8:$O$291,5,FALSE)="","",VLOOKUP($A56,Neuquén!$A$8:$O$291,5,FALSE))</f>
        <v>Ac.tranexamico</v>
      </c>
      <c r="F56" s="9" t="str">
        <f>IF(VLOOKUP($A56,Neuquén!$A$8:$O$291,7,FALSE)="","",VLOOKUP($A56,Neuquén!$A$8:$O$291,7,FALSE))</f>
        <v>Media</v>
      </c>
      <c r="G56" s="9" t="str">
        <f>IF(VLOOKUP($A56,Neuquén!$A$8:$O$291,6,FALSE)="","",VLOOKUP($A56,Neuquén!$A$8:$O$291,6,FALSE))</f>
        <v>Equivalencia a revisar</v>
      </c>
      <c r="H56" s="24" t="str">
        <f>IF(VLOOKUP($A56,'San Juan'!$A$8:$O$291,4,FALSE)="","",VLOOKUP($A56,'San Juan'!$A$8:$O$291,4,FALSE))</f>
        <v/>
      </c>
      <c r="I56" s="9" t="str">
        <f>IF(VLOOKUP($A56,'San Juan'!$A$8:$O$291,5,FALSE)="","",VLOOKUP($A56,'San Juan'!$A$8:$O$291,5,FALSE))</f>
        <v/>
      </c>
      <c r="J56" s="9" t="str">
        <f>IF(VLOOKUP($A56,'San Juan'!$A$8:$O$291,7,FALSE)="","",VLOOKUP($A56,'San Juan'!$A$8:$O$291,7,FALSE))</f>
        <v>Sin coincidencia</v>
      </c>
      <c r="K56" s="9" t="str">
        <f>IF(VLOOKUP($A56,'San Juan'!$A$8:$O$291,6,FALSE)="","",VLOOKUP($A56,'San Juan'!$A$8:$O$291,6,FALSE))</f>
        <v>Sin código encontrado</v>
      </c>
      <c r="L56" s="24" t="str">
        <f>IF(VLOOKUP($A56,Salta!$A$8:$O$291,4,FALSE)="","",VLOOKUP($A56,Salta!$A$8:$O$291,4,FALSE))</f>
        <v>12</v>
      </c>
      <c r="M56" s="9" t="str">
        <f>IF(VLOOKUP($A56,Salta!$A$8:$O$291,5,FALSE)="","",VLOOKUP($A56,Salta!$A$8:$O$291,5,FALSE))</f>
        <v>Acido tranexamico 1 amp=5ml, 500mg/5ml</v>
      </c>
      <c r="N56" s="9" t="str">
        <f>IF(VLOOKUP($A56,Salta!$A$8:$O$291,7,FALSE)="","",VLOOKUP($A56,Salta!$A$8:$O$291,7,FALSE))</f>
        <v>Alta</v>
      </c>
      <c r="O56" s="9" t="str">
        <f>IF(VLOOKUP($A56,Salta!$A$8:$O$291,6,FALSE)="","",VLOOKUP($A56,Salta!$A$8:$O$291,6,FALSE))</f>
        <v>Coincidencia</v>
      </c>
      <c r="P56" s="24" t="str">
        <f>IF(VLOOKUP($A56,Neuquén!$A$8:$O$291,15,FALSE)="Homologado",VLOOKUP($A56,Neuquén!$A$8:$O$291,10,FALSE),"")</f>
        <v/>
      </c>
      <c r="Q56" s="24" t="str">
        <f>IF(VLOOKUP($A56,'San Juan'!$A$8:$O$291,15,FALSE)="Homologado",VLOOKUP($A56,'San Juan'!$A$8:$O$291,10,FALSE),"")</f>
        <v/>
      </c>
      <c r="R56" s="24" t="str">
        <f>IF(VLOOKUP($A56,Salta!$A$8:$O$291,15,FALSE)="Homologado",VLOOKUP($A56,Salta!$A$8:$O$291,10,FALSE),"")</f>
        <v/>
      </c>
      <c r="S56" s="24" t="str">
        <f>IF(VLOOKUP($A56,'Master vs SAP'!$A$8:$O$291,4,FALSE)="","",VLOOKUP($A56,'Master vs SAP'!$A$8:$O$291,4,FALSE))</f>
        <v>1000660</v>
      </c>
      <c r="T56" s="9" t="str">
        <f>IF(VLOOKUP($A56,'Master vs SAP'!$A$8:$O$291,5,FALSE)="","",VLOOKUP($A56,'Master vs SAP'!$A$8:$O$291,5,FALSE))</f>
        <v>ACIDO TRANEXAMICO</v>
      </c>
      <c r="U56" s="9" t="str">
        <f>IF(VLOOKUP($A56,'Master vs SAP'!$A$8:$O$291,7,FALSE)="","",VLOOKUP($A56,'Master vs SAP'!$A$8:$O$291,7,FALSE))</f>
        <v>Media</v>
      </c>
      <c r="V56" s="9" t="str">
        <f>IF(VLOOKUP($A56,'Master vs SAP'!$A$8:$O$291,6,FALSE)="","",VLOOKUP($A56,'Master vs SAP'!$A$8:$O$291,6,FALSE))</f>
        <v>Revisar datos</v>
      </c>
      <c r="W56" s="24" t="str">
        <f>IF(VLOOKUP($A56,'Master vs SAP'!$A$8:$O$291,15,FALSE)="Homologado",VLOOKUP($A56,'Master vs SAP'!$A$8:$O$291,10,FALSE),"")</f>
        <v/>
      </c>
    </row>
    <row r="57" spans="1:23" ht="61.95" customHeight="1">
      <c r="A57" s="9" t="s">
        <v>206</v>
      </c>
      <c r="B57" s="9" t="s">
        <v>108</v>
      </c>
      <c r="C57" s="9" t="s">
        <v>207</v>
      </c>
      <c r="D57" s="24" t="str">
        <f>IF(VLOOKUP($A57,Neuquén!$A$8:$O$291,4,FALSE)="","",VLOOKUP($A57,Neuquén!$A$8:$O$291,4,FALSE))</f>
        <v>500</v>
      </c>
      <c r="E57" s="9" t="str">
        <f>IF(VLOOKUP($A57,Neuquén!$A$8:$O$291,5,FALSE)="","",VLOOKUP($A57,Neuquén!$A$8:$O$291,5,FALSE))</f>
        <v>Mgsulfato</v>
      </c>
      <c r="F57" s="9" t="str">
        <f>IF(VLOOKUP($A57,Neuquén!$A$8:$O$291,7,FALSE)="","",VLOOKUP($A57,Neuquén!$A$8:$O$291,7,FALSE))</f>
        <v>Media</v>
      </c>
      <c r="G57" s="9" t="str">
        <f>IF(VLOOKUP($A57,Neuquén!$A$8:$O$291,6,FALSE)="","",VLOOKUP($A57,Neuquén!$A$8:$O$291,6,FALSE))</f>
        <v>Equivalencia a revisar</v>
      </c>
      <c r="H57" s="24" t="str">
        <f>IF(VLOOKUP($A57,'San Juan'!$A$8:$O$291,4,FALSE)="","",VLOOKUP($A57,'San Juan'!$A$8:$O$291,4,FALSE))</f>
        <v/>
      </c>
      <c r="I57" s="9" t="str">
        <f>IF(VLOOKUP($A57,'San Juan'!$A$8:$O$291,5,FALSE)="","",VLOOKUP($A57,'San Juan'!$A$8:$O$291,5,FALSE))</f>
        <v/>
      </c>
      <c r="J57" s="9" t="str">
        <f>IF(VLOOKUP($A57,'San Juan'!$A$8:$O$291,7,FALSE)="","",VLOOKUP($A57,'San Juan'!$A$8:$O$291,7,FALSE))</f>
        <v>Sin coincidencia</v>
      </c>
      <c r="K57" s="9" t="str">
        <f>IF(VLOOKUP($A57,'San Juan'!$A$8:$O$291,6,FALSE)="","",VLOOKUP($A57,'San Juan'!$A$8:$O$291,6,FALSE))</f>
        <v>Sin código encontrado</v>
      </c>
      <c r="L57" s="24" t="str">
        <f>IF(VLOOKUP($A57,Salta!$A$8:$O$291,4,FALSE)="","",VLOOKUP($A57,Salta!$A$8:$O$291,4,FALSE))</f>
        <v>231</v>
      </c>
      <c r="M57" s="9" t="str">
        <f>IF(VLOOKUP($A57,Salta!$A$8:$O$291,5,FALSE)="","",VLOOKUP($A57,Salta!$A$8:$O$291,5,FALSE))</f>
        <v>Sulfato de Magnesio al 25% 1 amp=5ml</v>
      </c>
      <c r="N57" s="9" t="str">
        <f>IF(VLOOKUP($A57,Salta!$A$8:$O$291,7,FALSE)="","",VLOOKUP($A57,Salta!$A$8:$O$291,7,FALSE))</f>
        <v>Alta</v>
      </c>
      <c r="O57" s="9" t="str">
        <f>IF(VLOOKUP($A57,Salta!$A$8:$O$291,6,FALSE)="","",VLOOKUP($A57,Salta!$A$8:$O$291,6,FALSE))</f>
        <v>Coincidencia</v>
      </c>
      <c r="P57" s="24" t="str">
        <f>IF(VLOOKUP($A57,Neuquén!$A$8:$O$291,15,FALSE)="Homologado",VLOOKUP($A57,Neuquén!$A$8:$O$291,10,FALSE),"")</f>
        <v/>
      </c>
      <c r="Q57" s="24" t="str">
        <f>IF(VLOOKUP($A57,'San Juan'!$A$8:$O$291,15,FALSE)="Homologado",VLOOKUP($A57,'San Juan'!$A$8:$O$291,10,FALSE),"")</f>
        <v/>
      </c>
      <c r="R57" s="24" t="str">
        <f>IF(VLOOKUP($A57,Salta!$A$8:$O$291,15,FALSE)="Homologado",VLOOKUP($A57,Salta!$A$8:$O$291,10,FALSE),"")</f>
        <v/>
      </c>
      <c r="S57" s="24" t="str">
        <f>IF(VLOOKUP($A57,'Master vs SAP'!$A$8:$O$291,4,FALSE)="","",VLOOKUP($A57,'Master vs SAP'!$A$8:$O$291,4,FALSE))</f>
        <v>1000671</v>
      </c>
      <c r="T57" s="9" t="str">
        <f>IF(VLOOKUP($A57,'Master vs SAP'!$A$8:$O$291,5,FALSE)="","",VLOOKUP($A57,'Master vs SAP'!$A$8:$O$291,5,FALSE))</f>
        <v>SULFATO DE MAGNESIO AL 25% AMP</v>
      </c>
      <c r="U57" s="9" t="str">
        <f>IF(VLOOKUP($A57,'Master vs SAP'!$A$8:$O$291,7,FALSE)="","",VLOOKUP($A57,'Master vs SAP'!$A$8:$O$291,7,FALSE))</f>
        <v>Alta</v>
      </c>
      <c r="V57" s="9" t="str">
        <f>IF(VLOOKUP($A57,'Master vs SAP'!$A$8:$O$291,6,FALSE)="","",VLOOKUP($A57,'Master vs SAP'!$A$8:$O$291,6,FALSE))</f>
        <v>Coincidencia</v>
      </c>
      <c r="W57" s="24" t="str">
        <f>IF(VLOOKUP($A57,'Master vs SAP'!$A$8:$O$291,15,FALSE)="Homologado",VLOOKUP($A57,'Master vs SAP'!$A$8:$O$291,10,FALSE),"")</f>
        <v/>
      </c>
    </row>
    <row r="58" spans="1:23" ht="61.95" customHeight="1">
      <c r="A58" s="9" t="s">
        <v>208</v>
      </c>
      <c r="B58" s="9" t="s">
        <v>108</v>
      </c>
      <c r="C58" s="9" t="s">
        <v>209</v>
      </c>
      <c r="D58" s="24" t="str">
        <f>IF(VLOOKUP($A58,Neuquén!$A$8:$O$291,4,FALSE)="","",VLOOKUP($A58,Neuquén!$A$8:$O$291,4,FALSE))</f>
        <v>501</v>
      </c>
      <c r="E58" s="9" t="str">
        <f>IF(VLOOKUP($A58,Neuquén!$A$8:$O$291,5,FALSE)="","",VLOOKUP($A58,Neuquén!$A$8:$O$291,5,FALSE))</f>
        <v>Alteplasa</v>
      </c>
      <c r="F58" s="9" t="str">
        <f>IF(VLOOKUP($A58,Neuquén!$A$8:$O$291,7,FALSE)="","",VLOOKUP($A58,Neuquén!$A$8:$O$291,7,FALSE))</f>
        <v>Alta</v>
      </c>
      <c r="G58" s="9" t="str">
        <f>IF(VLOOKUP($A58,Neuquén!$A$8:$O$291,6,FALSE)="","",VLOOKUP($A58,Neuquén!$A$8:$O$291,6,FALSE))</f>
        <v>Coincidencia por validar</v>
      </c>
      <c r="H58" s="24" t="str">
        <f>IF(VLOOKUP($A58,'San Juan'!$A$8:$O$291,4,FALSE)="","",VLOOKUP($A58,'San Juan'!$A$8:$O$291,4,FALSE))</f>
        <v/>
      </c>
      <c r="I58" s="9" t="str">
        <f>IF(VLOOKUP($A58,'San Juan'!$A$8:$O$291,5,FALSE)="","",VLOOKUP($A58,'San Juan'!$A$8:$O$291,5,FALSE))</f>
        <v/>
      </c>
      <c r="J58" s="9" t="str">
        <f>IF(VLOOKUP($A58,'San Juan'!$A$8:$O$291,7,FALSE)="","",VLOOKUP($A58,'San Juan'!$A$8:$O$291,7,FALSE))</f>
        <v>Sin coincidencia</v>
      </c>
      <c r="K58" s="9" t="str">
        <f>IF(VLOOKUP($A58,'San Juan'!$A$8:$O$291,6,FALSE)="","",VLOOKUP($A58,'San Juan'!$A$8:$O$291,6,FALSE))</f>
        <v>Sin código encontrado</v>
      </c>
      <c r="L58" s="24" t="str">
        <f>IF(VLOOKUP($A58,Salta!$A$8:$O$291,4,FALSE)="","",VLOOKUP($A58,Salta!$A$8:$O$291,4,FALSE))</f>
        <v/>
      </c>
      <c r="M58" s="9" t="str">
        <f>IF(VLOOKUP($A58,Salta!$A$8:$O$291,5,FALSE)="","",VLOOKUP($A58,Salta!$A$8:$O$291,5,FALSE))</f>
        <v/>
      </c>
      <c r="N58" s="9" t="str">
        <f>IF(VLOOKUP($A58,Salta!$A$8:$O$291,7,FALSE)="","",VLOOKUP($A58,Salta!$A$8:$O$291,7,FALSE))</f>
        <v>Sin coincidencia</v>
      </c>
      <c r="O58" s="9" t="str">
        <f>IF(VLOOKUP($A58,Salta!$A$8:$O$291,6,FALSE)="","",VLOOKUP($A58,Salta!$A$8:$O$291,6,FALSE))</f>
        <v>Sin coincidencia</v>
      </c>
      <c r="P58" s="24" t="str">
        <f>IF(VLOOKUP($A58,Neuquén!$A$8:$O$291,15,FALSE)="Homologado",VLOOKUP($A58,Neuquén!$A$8:$O$291,10,FALSE),"")</f>
        <v/>
      </c>
      <c r="Q58" s="24" t="str">
        <f>IF(VLOOKUP($A58,'San Juan'!$A$8:$O$291,15,FALSE)="Homologado",VLOOKUP($A58,'San Juan'!$A$8:$O$291,10,FALSE),"")</f>
        <v/>
      </c>
      <c r="R58" s="24" t="str">
        <f>IF(VLOOKUP($A58,Salta!$A$8:$O$291,15,FALSE)="Homologado",VLOOKUP($A58,Salta!$A$8:$O$291,10,FALSE),"")</f>
        <v/>
      </c>
      <c r="S58" s="24" t="str">
        <f>IF(VLOOKUP($A58,'Master vs SAP'!$A$8:$O$291,4,FALSE)="","",VLOOKUP($A58,'Master vs SAP'!$A$8:$O$291,4,FALSE))</f>
        <v/>
      </c>
      <c r="T58" s="9" t="str">
        <f>IF(VLOOKUP($A58,'Master vs SAP'!$A$8:$O$291,5,FALSE)="","",VLOOKUP($A58,'Master vs SAP'!$A$8:$O$291,5,FALSE))</f>
        <v/>
      </c>
      <c r="U58" s="9" t="str">
        <f>IF(VLOOKUP($A58,'Master vs SAP'!$A$8:$O$291,7,FALSE)="","",VLOOKUP($A58,'Master vs SAP'!$A$8:$O$291,7,FALSE))</f>
        <v>Sin coincidencia</v>
      </c>
      <c r="V58" s="9" t="str">
        <f>IF(VLOOKUP($A58,'Master vs SAP'!$A$8:$O$291,6,FALSE)="","",VLOOKUP($A58,'Master vs SAP'!$A$8:$O$291,6,FALSE))</f>
        <v>Sin coincidencia</v>
      </c>
      <c r="W58" s="24" t="str">
        <f>IF(VLOOKUP($A58,'Master vs SAP'!$A$8:$O$291,15,FALSE)="Homologado",VLOOKUP($A58,'Master vs SAP'!$A$8:$O$291,10,FALSE),"")</f>
        <v/>
      </c>
    </row>
    <row r="59" spans="1:23" ht="61.95" customHeight="1">
      <c r="A59" s="9" t="s">
        <v>210</v>
      </c>
      <c r="B59" s="9" t="s">
        <v>108</v>
      </c>
      <c r="C59" s="9" t="s">
        <v>211</v>
      </c>
      <c r="D59" s="24" t="str">
        <f>IF(VLOOKUP($A59,Neuquén!$A$8:$O$291,4,FALSE)="","",VLOOKUP($A59,Neuquén!$A$8:$O$291,4,FALSE))</f>
        <v>204</v>
      </c>
      <c r="E59" s="9" t="str">
        <f>IF(VLOOKUP($A59,Neuquén!$A$8:$O$291,5,FALSE)="","",VLOOKUP($A59,Neuquén!$A$8:$O$291,5,FALSE))</f>
        <v>SALBUTAMOL</v>
      </c>
      <c r="F59" s="9" t="str">
        <f>IF(VLOOKUP($A59,Neuquén!$A$8:$O$291,7,FALSE)="","",VLOOKUP($A59,Neuquén!$A$8:$O$291,7,FALSE))</f>
        <v>Media</v>
      </c>
      <c r="G59" s="9" t="str">
        <f>IF(VLOOKUP($A59,Neuquén!$A$8:$O$291,6,FALSE)="","",VLOOKUP($A59,Neuquén!$A$8:$O$291,6,FALSE))</f>
        <v>Equivalencia a revisar</v>
      </c>
      <c r="H59" s="24" t="str">
        <f>IF(VLOOKUP($A59,'San Juan'!$A$8:$O$291,4,FALSE)="","",VLOOKUP($A59,'San Juan'!$A$8:$O$291,4,FALSE))</f>
        <v>MED160</v>
      </c>
      <c r="I59" s="9" t="str">
        <f>IF(VLOOKUP($A59,'San Juan'!$A$8:$O$291,5,FALSE)="","",VLOOKUP($A59,'San Juan'!$A$8:$O$291,5,FALSE))</f>
        <v>Salbutamol  100 mcg inhal Aer x 200 dosis</v>
      </c>
      <c r="J59" s="9" t="str">
        <f>IF(VLOOKUP($A59,'San Juan'!$A$8:$O$291,7,FALSE)="","",VLOOKUP($A59,'San Juan'!$A$8:$O$291,7,FALSE))</f>
        <v>Alta</v>
      </c>
      <c r="K59" s="9" t="str">
        <f>IF(VLOOKUP($A59,'San Juan'!$A$8:$O$291,6,FALSE)="","",VLOOKUP($A59,'San Juan'!$A$8:$O$291,6,FALSE))</f>
        <v>Coincidencia por validar</v>
      </c>
      <c r="L59" s="24" t="str">
        <f>IF(VLOOKUP($A59,Salta!$A$8:$O$291,4,FALSE)="","",VLOOKUP($A59,Salta!$A$8:$O$291,4,FALSE))</f>
        <v>213</v>
      </c>
      <c r="M59" s="9" t="str">
        <f>IF(VLOOKUP($A59,Salta!$A$8:$O$291,5,FALSE)="","",VLOOKUP($A59,Salta!$A$8:$O$291,5,FALSE))</f>
        <v>Salbutamol 100 mcg Inhal. Aer. x 200 Dosis + aplic.</v>
      </c>
      <c r="N59" s="9" t="str">
        <f>IF(VLOOKUP($A59,Salta!$A$8:$O$291,7,FALSE)="","",VLOOKUP($A59,Salta!$A$8:$O$291,7,FALSE))</f>
        <v>Alta</v>
      </c>
      <c r="O59" s="9" t="str">
        <f>IF(VLOOKUP($A59,Salta!$A$8:$O$291,6,FALSE)="","",VLOOKUP($A59,Salta!$A$8:$O$291,6,FALSE))</f>
        <v>Coincidencia</v>
      </c>
      <c r="P59" s="24" t="str">
        <f>IF(VLOOKUP($A59,Neuquén!$A$8:$O$291,15,FALSE)="Homologado",VLOOKUP($A59,Neuquén!$A$8:$O$291,10,FALSE),"")</f>
        <v/>
      </c>
      <c r="Q59" s="24" t="str">
        <f>IF(VLOOKUP($A59,'San Juan'!$A$8:$O$291,15,FALSE)="Homologado",VLOOKUP($A59,'San Juan'!$A$8:$O$291,10,FALSE),"")</f>
        <v/>
      </c>
      <c r="R59" s="24" t="str">
        <f>IF(VLOOKUP($A59,Salta!$A$8:$O$291,15,FALSE)="Homologado",VLOOKUP($A59,Salta!$A$8:$O$291,10,FALSE),"")</f>
        <v/>
      </c>
      <c r="S59" s="24" t="str">
        <f>IF(VLOOKUP($A59,'Master vs SAP'!$A$8:$O$291,4,FALSE)="","",VLOOKUP($A59,'Master vs SAP'!$A$8:$O$291,4,FALSE))</f>
        <v>1000087</v>
      </c>
      <c r="T59" s="9" t="str">
        <f>IF(VLOOKUP($A59,'Master vs SAP'!$A$8:$O$291,5,FALSE)="","",VLOOKUP($A59,'Master vs SAP'!$A$8:$O$291,5,FALSE))</f>
        <v>SALBUTAMOL PUFF ("AEROS" 250 DOSIS) 100M</v>
      </c>
      <c r="U59" s="9" t="str">
        <f>IF(VLOOKUP($A59,'Master vs SAP'!$A$8:$O$291,7,FALSE)="","",VLOOKUP($A59,'Master vs SAP'!$A$8:$O$291,7,FALSE))</f>
        <v>Alta</v>
      </c>
      <c r="V59" s="9" t="str">
        <f>IF(VLOOKUP($A59,'Master vs SAP'!$A$8:$O$291,6,FALSE)="","",VLOOKUP($A59,'Master vs SAP'!$A$8:$O$291,6,FALSE))</f>
        <v>Coincidencia</v>
      </c>
      <c r="W59" s="24" t="str">
        <f>IF(VLOOKUP($A59,'Master vs SAP'!$A$8:$O$291,15,FALSE)="Homologado",VLOOKUP($A59,'Master vs SAP'!$A$8:$O$291,10,FALSE),"")</f>
        <v/>
      </c>
    </row>
    <row r="60" spans="1:23" ht="61.95" customHeight="1">
      <c r="A60" s="9" t="s">
        <v>212</v>
      </c>
      <c r="B60" s="9" t="s">
        <v>108</v>
      </c>
      <c r="C60" s="9" t="s">
        <v>213</v>
      </c>
      <c r="D60" s="24" t="str">
        <f>IF(VLOOKUP($A60,Neuquén!$A$8:$O$291,4,FALSE)="","",VLOOKUP($A60,Neuquén!$A$8:$O$291,4,FALSE))</f>
        <v>332</v>
      </c>
      <c r="E60" s="9" t="str">
        <f>IF(VLOOKUP($A60,Neuquén!$A$8:$O$291,5,FALSE)="","",VLOOKUP($A60,Neuquén!$A$8:$O$291,5,FALSE))</f>
        <v>SALBUTAMOLSOLUCIONPARANEBULIZAR</v>
      </c>
      <c r="F60" s="9" t="str">
        <f>IF(VLOOKUP($A60,Neuquén!$A$8:$O$291,7,FALSE)="","",VLOOKUP($A60,Neuquén!$A$8:$O$291,7,FALSE))</f>
        <v>Media</v>
      </c>
      <c r="G60" s="9" t="str">
        <f>IF(VLOOKUP($A60,Neuquén!$A$8:$O$291,6,FALSE)="","",VLOOKUP($A60,Neuquén!$A$8:$O$291,6,FALSE))</f>
        <v>Equivalencia a revisar</v>
      </c>
      <c r="H60" s="24" t="str">
        <f>IF(VLOOKUP($A60,'San Juan'!$A$8:$O$291,4,FALSE)="","",VLOOKUP($A60,'San Juan'!$A$8:$O$291,4,FALSE))</f>
        <v>MED161</v>
      </c>
      <c r="I60" s="9" t="str">
        <f>IF(VLOOKUP($A60,'San Juan'!$A$8:$O$291,5,FALSE)="","",VLOOKUP($A60,'San Juan'!$A$8:$O$291,5,FALSE))</f>
        <v>Salbutamol solución x 5 mg/ml gtas p/nzb x 20ml</v>
      </c>
      <c r="J60" s="9" t="str">
        <f>IF(VLOOKUP($A60,'San Juan'!$A$8:$O$291,7,FALSE)="","",VLOOKUP($A60,'San Juan'!$A$8:$O$291,7,FALSE))</f>
        <v>Alta</v>
      </c>
      <c r="K60" s="9" t="str">
        <f>IF(VLOOKUP($A60,'San Juan'!$A$8:$O$291,6,FALSE)="","",VLOOKUP($A60,'San Juan'!$A$8:$O$291,6,FALSE))</f>
        <v>Coincidencia por validar</v>
      </c>
      <c r="L60" s="24" t="str">
        <f>IF(VLOOKUP($A60,Salta!$A$8:$O$291,4,FALSE)="","",VLOOKUP($A60,Salta!$A$8:$O$291,4,FALSE))</f>
        <v>214</v>
      </c>
      <c r="M60" s="9" t="str">
        <f>IF(VLOOKUP($A60,Salta!$A$8:$O$291,5,FALSE)="","",VLOOKUP($A60,Salta!$A$8:$O$291,5,FALSE))</f>
        <v>Salbutamol solución p/neb gotas 5mg/ml</v>
      </c>
      <c r="N60" s="9" t="str">
        <f>IF(VLOOKUP($A60,Salta!$A$8:$O$291,7,FALSE)="","",VLOOKUP($A60,Salta!$A$8:$O$291,7,FALSE))</f>
        <v>Alta</v>
      </c>
      <c r="O60" s="9" t="str">
        <f>IF(VLOOKUP($A60,Salta!$A$8:$O$291,6,FALSE)="","",VLOOKUP($A60,Salta!$A$8:$O$291,6,FALSE))</f>
        <v>Coincidencia</v>
      </c>
      <c r="P60" s="24" t="str">
        <f>IF(VLOOKUP($A60,Neuquén!$A$8:$O$291,15,FALSE)="Homologado",VLOOKUP($A60,Neuquén!$A$8:$O$291,10,FALSE),"")</f>
        <v/>
      </c>
      <c r="Q60" s="24" t="str">
        <f>IF(VLOOKUP($A60,'San Juan'!$A$8:$O$291,15,FALSE)="Homologado",VLOOKUP($A60,'San Juan'!$A$8:$O$291,10,FALSE),"")</f>
        <v/>
      </c>
      <c r="R60" s="24" t="str">
        <f>IF(VLOOKUP($A60,Salta!$A$8:$O$291,15,FALSE)="Homologado",VLOOKUP($A60,Salta!$A$8:$O$291,10,FALSE),"")</f>
        <v/>
      </c>
      <c r="S60" s="24" t="str">
        <f>IF(VLOOKUP($A60,'Master vs SAP'!$A$8:$O$291,4,FALSE)="","",VLOOKUP($A60,'Master vs SAP'!$A$8:$O$291,4,FALSE))</f>
        <v>1000093</v>
      </c>
      <c r="T60" s="9" t="str">
        <f>IF(VLOOKUP($A60,'Master vs SAP'!$A$8:$O$291,5,FALSE)="","",VLOOKUP($A60,'Master vs SAP'!$A$8:$O$291,5,FALSE))</f>
        <v>SALBUTAMOL 0,5% GOTAS FRASCO DE 20ML</v>
      </c>
      <c r="U60" s="9" t="str">
        <f>IF(VLOOKUP($A60,'Master vs SAP'!$A$8:$O$291,7,FALSE)="","",VLOOKUP($A60,'Master vs SAP'!$A$8:$O$291,7,FALSE))</f>
        <v>Media</v>
      </c>
      <c r="V60" s="9" t="str">
        <f>IF(VLOOKUP($A60,'Master vs SAP'!$A$8:$O$291,6,FALSE)="","",VLOOKUP($A60,'Master vs SAP'!$A$8:$O$291,6,FALSE))</f>
        <v>Revisar datos</v>
      </c>
      <c r="W60" s="24" t="str">
        <f>IF(VLOOKUP($A60,'Master vs SAP'!$A$8:$O$291,15,FALSE)="Homologado",VLOOKUP($A60,'Master vs SAP'!$A$8:$O$291,10,FALSE),"")</f>
        <v/>
      </c>
    </row>
    <row r="61" spans="1:23" ht="61.95" customHeight="1">
      <c r="A61" s="9" t="s">
        <v>214</v>
      </c>
      <c r="B61" s="9" t="s">
        <v>108</v>
      </c>
      <c r="C61" s="9" t="s">
        <v>215</v>
      </c>
      <c r="D61" s="24" t="str">
        <f>IF(VLOOKUP($A61,Neuquén!$A$8:$O$291,4,FALSE)="","",VLOOKUP($A61,Neuquén!$A$8:$O$291,4,FALSE))</f>
        <v>34</v>
      </c>
      <c r="E61" s="9" t="str">
        <f>IF(VLOOKUP($A61,Neuquén!$A$8:$O$291,5,FALSE)="","",VLOOKUP($A61,Neuquén!$A$8:$O$291,5,FALSE))</f>
        <v>BROMURODEIPRATROPIO</v>
      </c>
      <c r="F61" s="9" t="str">
        <f>IF(VLOOKUP($A61,Neuquén!$A$8:$O$291,7,FALSE)="","",VLOOKUP($A61,Neuquén!$A$8:$O$291,7,FALSE))</f>
        <v>Media</v>
      </c>
      <c r="G61" s="9" t="str">
        <f>IF(VLOOKUP($A61,Neuquén!$A$8:$O$291,6,FALSE)="","",VLOOKUP($A61,Neuquén!$A$8:$O$291,6,FALSE))</f>
        <v>Equivalencia a revisar</v>
      </c>
      <c r="H61" s="24" t="str">
        <f>IF(VLOOKUP($A61,'San Juan'!$A$8:$O$291,4,FALSE)="","",VLOOKUP($A61,'San Juan'!$A$8:$O$291,4,FALSE))</f>
        <v/>
      </c>
      <c r="I61" s="9" t="str">
        <f>IF(VLOOKUP($A61,'San Juan'!$A$8:$O$291,5,FALSE)="","",VLOOKUP($A61,'San Juan'!$A$8:$O$291,5,FALSE))</f>
        <v/>
      </c>
      <c r="J61" s="9" t="str">
        <f>IF(VLOOKUP($A61,'San Juan'!$A$8:$O$291,7,FALSE)="","",VLOOKUP($A61,'San Juan'!$A$8:$O$291,7,FALSE))</f>
        <v>Sin coincidencia</v>
      </c>
      <c r="K61" s="9" t="str">
        <f>IF(VLOOKUP($A61,'San Juan'!$A$8:$O$291,6,FALSE)="","",VLOOKUP($A61,'San Juan'!$A$8:$O$291,6,FALSE))</f>
        <v>Sin código encontrado</v>
      </c>
      <c r="L61" s="24" t="str">
        <f>IF(VLOOKUP($A61,Salta!$A$8:$O$291,4,FALSE)="","",VLOOKUP($A61,Salta!$A$8:$O$291,4,FALSE))</f>
        <v>153</v>
      </c>
      <c r="M61" s="9" t="str">
        <f>IF(VLOOKUP($A61,Salta!$A$8:$O$291,5,FALSE)="","",VLOOKUP($A61,Salta!$A$8:$O$291,5,FALSE))</f>
        <v>Ipratropio bromuro 1 fco gotero=20ml</v>
      </c>
      <c r="N61" s="9" t="str">
        <f>IF(VLOOKUP($A61,Salta!$A$8:$O$291,7,FALSE)="","",VLOOKUP($A61,Salta!$A$8:$O$291,7,FALSE))</f>
        <v>Media</v>
      </c>
      <c r="O61" s="9" t="str">
        <f>IF(VLOOKUP($A61,Salta!$A$8:$O$291,6,FALSE)="","",VLOOKUP($A61,Salta!$A$8:$O$291,6,FALSE))</f>
        <v>Revisar datos</v>
      </c>
      <c r="P61" s="24" t="str">
        <f>IF(VLOOKUP($A61,Neuquén!$A$8:$O$291,15,FALSE)="Homologado",VLOOKUP($A61,Neuquén!$A$8:$O$291,10,FALSE),"")</f>
        <v/>
      </c>
      <c r="Q61" s="24" t="str">
        <f>IF(VLOOKUP($A61,'San Juan'!$A$8:$O$291,15,FALSE)="Homologado",VLOOKUP($A61,'San Juan'!$A$8:$O$291,10,FALSE),"")</f>
        <v/>
      </c>
      <c r="R61" s="24" t="str">
        <f>IF(VLOOKUP($A61,Salta!$A$8:$O$291,15,FALSE)="Homologado",VLOOKUP($A61,Salta!$A$8:$O$291,10,FALSE),"")</f>
        <v/>
      </c>
      <c r="S61" s="24" t="str">
        <f>IF(VLOOKUP($A61,'Master vs SAP'!$A$8:$O$291,4,FALSE)="","",VLOOKUP($A61,'Master vs SAP'!$A$8:$O$291,4,FALSE))</f>
        <v>1000130
1001128</v>
      </c>
      <c r="T61" s="9" t="str">
        <f>IF(VLOOKUP($A61,'Master vs SAP'!$A$8:$O$291,5,FALSE)="","",VLOOKUP($A61,'Master vs SAP'!$A$8:$O$291,5,FALSE))</f>
        <v>BROMURO IPRATROPIO 0.25 MG/ ML GOTAS
IPRATROPIO SOL. X 20ML</v>
      </c>
      <c r="U61" s="9" t="str">
        <f>IF(VLOOKUP($A61,'Master vs SAP'!$A$8:$O$291,7,FALSE)="","",VLOOKUP($A61,'Master vs SAP'!$A$8:$O$291,7,FALSE))</f>
        <v>Media</v>
      </c>
      <c r="V61" s="9" t="str">
        <f>IF(VLOOKUP($A61,'Master vs SAP'!$A$8:$O$291,6,FALSE)="","",VLOOKUP($A61,'Master vs SAP'!$A$8:$O$291,6,FALSE))</f>
        <v>Revisar datos</v>
      </c>
      <c r="W61" s="24" t="str">
        <f>IF(VLOOKUP($A61,'Master vs SAP'!$A$8:$O$291,15,FALSE)="Homologado",VLOOKUP($A61,'Master vs SAP'!$A$8:$O$291,10,FALSE),"")</f>
        <v/>
      </c>
    </row>
    <row r="62" spans="1:23" ht="61.95" customHeight="1">
      <c r="A62" s="9" t="s">
        <v>216</v>
      </c>
      <c r="B62" s="9" t="s">
        <v>108</v>
      </c>
      <c r="C62" s="9" t="s">
        <v>217</v>
      </c>
      <c r="D62" s="24" t="str">
        <f>IF(VLOOKUP($A62,Neuquén!$A$8:$O$291,4,FALSE)="","",VLOOKUP($A62,Neuquén!$A$8:$O$291,4,FALSE))</f>
        <v>35</v>
      </c>
      <c r="E62" s="9" t="str">
        <f>IF(VLOOKUP($A62,Neuquén!$A$8:$O$291,5,FALSE)="","",VLOOKUP($A62,Neuquén!$A$8:$O$291,5,FALSE))</f>
        <v>BUDESONIDE</v>
      </c>
      <c r="F62" s="9" t="str">
        <f>IF(VLOOKUP($A62,Neuquén!$A$8:$O$291,7,FALSE)="","",VLOOKUP($A62,Neuquén!$A$8:$O$291,7,FALSE))</f>
        <v>Media</v>
      </c>
      <c r="G62" s="9" t="str">
        <f>IF(VLOOKUP($A62,Neuquén!$A$8:$O$291,6,FALSE)="","",VLOOKUP($A62,Neuquén!$A$8:$O$291,6,FALSE))</f>
        <v>Equivalencia a revisar</v>
      </c>
      <c r="H62" s="24" t="str">
        <f>IF(VLOOKUP($A62,'San Juan'!$A$8:$O$291,4,FALSE)="","",VLOOKUP($A62,'San Juan'!$A$8:$O$291,4,FALSE))</f>
        <v/>
      </c>
      <c r="I62" s="9" t="str">
        <f>IF(VLOOKUP($A62,'San Juan'!$A$8:$O$291,5,FALSE)="","",VLOOKUP($A62,'San Juan'!$A$8:$O$291,5,FALSE))</f>
        <v/>
      </c>
      <c r="J62" s="9" t="str">
        <f>IF(VLOOKUP($A62,'San Juan'!$A$8:$O$291,7,FALSE)="","",VLOOKUP($A62,'San Juan'!$A$8:$O$291,7,FALSE))</f>
        <v>Sin coincidencia</v>
      </c>
      <c r="K62" s="9" t="str">
        <f>IF(VLOOKUP($A62,'San Juan'!$A$8:$O$291,6,FALSE)="","",VLOOKUP($A62,'San Juan'!$A$8:$O$291,6,FALSE))</f>
        <v>Sin código encontrado</v>
      </c>
      <c r="L62" s="24" t="str">
        <f>IF(VLOOKUP($A62,Salta!$A$8:$O$291,4,FALSE)="","",VLOOKUP($A62,Salta!$A$8:$O$291,4,FALSE))</f>
        <v>407</v>
      </c>
      <c r="M62" s="9" t="str">
        <f>IF(VLOOKUP($A62,Salta!$A$8:$O$291,5,FALSE)="","",VLOOKUP($A62,Salta!$A$8:$O$291,5,FALSE))</f>
        <v>Budesonide mcg/ aerosol 200 dosis</v>
      </c>
      <c r="N62" s="9" t="str">
        <f>IF(VLOOKUP($A62,Salta!$A$8:$O$291,7,FALSE)="","",VLOOKUP($A62,Salta!$A$8:$O$291,7,FALSE))</f>
        <v>Alta</v>
      </c>
      <c r="O62" s="9" t="str">
        <f>IF(VLOOKUP($A62,Salta!$A$8:$O$291,6,FALSE)="","",VLOOKUP($A62,Salta!$A$8:$O$291,6,FALSE))</f>
        <v>Coincidencia</v>
      </c>
      <c r="P62" s="24" t="str">
        <f>IF(VLOOKUP($A62,Neuquén!$A$8:$O$291,15,FALSE)="Homologado",VLOOKUP($A62,Neuquén!$A$8:$O$291,10,FALSE),"")</f>
        <v/>
      </c>
      <c r="Q62" s="24" t="str">
        <f>IF(VLOOKUP($A62,'San Juan'!$A$8:$O$291,15,FALSE)="Homologado",VLOOKUP($A62,'San Juan'!$A$8:$O$291,10,FALSE),"")</f>
        <v/>
      </c>
      <c r="R62" s="24" t="str">
        <f>IF(VLOOKUP($A62,Salta!$A$8:$O$291,15,FALSE)="Homologado",VLOOKUP($A62,Salta!$A$8:$O$291,10,FALSE),"")</f>
        <v/>
      </c>
      <c r="S62" s="24" t="str">
        <f>IF(VLOOKUP($A62,'Master vs SAP'!$A$8:$O$291,4,FALSE)="","",VLOOKUP($A62,'Master vs SAP'!$A$8:$O$291,4,FALSE))</f>
        <v>1000839</v>
      </c>
      <c r="T62" s="9" t="str">
        <f>IF(VLOOKUP($A62,'Master vs SAP'!$A$8:$O$291,5,FALSE)="","",VLOOKUP($A62,'Master vs SAP'!$A$8:$O$291,5,FALSE))</f>
        <v>BUDESONIDA 200MCG 200DS SPRAY</v>
      </c>
      <c r="U62" s="9" t="str">
        <f>IF(VLOOKUP($A62,'Master vs SAP'!$A$8:$O$291,7,FALSE)="","",VLOOKUP($A62,'Master vs SAP'!$A$8:$O$291,7,FALSE))</f>
        <v>Media</v>
      </c>
      <c r="V62" s="9" t="str">
        <f>IF(VLOOKUP($A62,'Master vs SAP'!$A$8:$O$291,6,FALSE)="","",VLOOKUP($A62,'Master vs SAP'!$A$8:$O$291,6,FALSE))</f>
        <v>Revisar datos</v>
      </c>
      <c r="W62" s="24" t="str">
        <f>IF(VLOOKUP($A62,'Master vs SAP'!$A$8:$O$291,15,FALSE)="Homologado",VLOOKUP($A62,'Master vs SAP'!$A$8:$O$291,10,FALSE),"")</f>
        <v/>
      </c>
    </row>
    <row r="63" spans="1:23" ht="61.95" customHeight="1">
      <c r="A63" s="9" t="s">
        <v>218</v>
      </c>
      <c r="B63" s="9" t="s">
        <v>108</v>
      </c>
      <c r="C63" s="9" t="s">
        <v>219</v>
      </c>
      <c r="D63" s="24" t="str">
        <f>IF(VLOOKUP($A63,Neuquén!$A$8:$O$291,4,FALSE)="","",VLOOKUP($A63,Neuquén!$A$8:$O$291,4,FALSE))</f>
        <v>123</v>
      </c>
      <c r="E63" s="9" t="str">
        <f>IF(VLOOKUP($A63,Neuquén!$A$8:$O$291,5,FALSE)="","",VLOOKUP($A63,Neuquén!$A$8:$O$291,5,FALSE))</f>
        <v>GLUCOSADO HIPERTONICO AMP</v>
      </c>
      <c r="F63" s="9" t="str">
        <f>IF(VLOOKUP($A63,Neuquén!$A$8:$O$291,7,FALSE)="","",VLOOKUP($A63,Neuquén!$A$8:$O$291,7,FALSE))</f>
        <v>Baja</v>
      </c>
      <c r="G63" s="9" t="str">
        <f>IF(VLOOKUP($A63,Neuquén!$A$8:$O$291,6,FALSE)="","",VLOOKUP($A63,Neuquén!$A$8:$O$291,6,FALSE))</f>
        <v>Producto distinto</v>
      </c>
      <c r="H63" s="24" t="str">
        <f>IF(VLOOKUP($A63,'San Juan'!$A$8:$O$291,4,FALSE)="","",VLOOKUP($A63,'San Juan'!$A$8:$O$291,4,FALSE))</f>
        <v/>
      </c>
      <c r="I63" s="9" t="str">
        <f>IF(VLOOKUP($A63,'San Juan'!$A$8:$O$291,5,FALSE)="","",VLOOKUP($A63,'San Juan'!$A$8:$O$291,5,FALSE))</f>
        <v/>
      </c>
      <c r="J63" s="9" t="str">
        <f>IF(VLOOKUP($A63,'San Juan'!$A$8:$O$291,7,FALSE)="","",VLOOKUP($A63,'San Juan'!$A$8:$O$291,7,FALSE))</f>
        <v>Sin coincidencia</v>
      </c>
      <c r="K63" s="9" t="str">
        <f>IF(VLOOKUP($A63,'San Juan'!$A$8:$O$291,6,FALSE)="","",VLOOKUP($A63,'San Juan'!$A$8:$O$291,6,FALSE))</f>
        <v>Sin código encontrado</v>
      </c>
      <c r="L63" s="24" t="str">
        <f>IF(VLOOKUP($A63,Salta!$A$8:$O$291,4,FALSE)="","",VLOOKUP($A63,Salta!$A$8:$O$291,4,FALSE))</f>
        <v/>
      </c>
      <c r="M63" s="9" t="str">
        <f>IF(VLOOKUP($A63,Salta!$A$8:$O$291,5,FALSE)="","",VLOOKUP($A63,Salta!$A$8:$O$291,5,FALSE))</f>
        <v/>
      </c>
      <c r="N63" s="9" t="str">
        <f>IF(VLOOKUP($A63,Salta!$A$8:$O$291,7,FALSE)="","",VLOOKUP($A63,Salta!$A$8:$O$291,7,FALSE))</f>
        <v>Sin coincidencia</v>
      </c>
      <c r="O63" s="9" t="str">
        <f>IF(VLOOKUP($A63,Salta!$A$8:$O$291,6,FALSE)="","",VLOOKUP($A63,Salta!$A$8:$O$291,6,FALSE))</f>
        <v>Sin coincidencia</v>
      </c>
      <c r="P63" s="24" t="str">
        <f>IF(VLOOKUP($A63,Neuquén!$A$8:$O$291,15,FALSE)="Homologado",VLOOKUP($A63,Neuquén!$A$8:$O$291,10,FALSE),"")</f>
        <v/>
      </c>
      <c r="Q63" s="24" t="str">
        <f>IF(VLOOKUP($A63,'San Juan'!$A$8:$O$291,15,FALSE)="Homologado",VLOOKUP($A63,'San Juan'!$A$8:$O$291,10,FALSE),"")</f>
        <v/>
      </c>
      <c r="R63" s="24" t="str">
        <f>IF(VLOOKUP($A63,Salta!$A$8:$O$291,15,FALSE)="Homologado",VLOOKUP($A63,Salta!$A$8:$O$291,10,FALSE),"")</f>
        <v/>
      </c>
      <c r="S63" s="24" t="str">
        <f>IF(VLOOKUP($A63,'Master vs SAP'!$A$8:$O$291,4,FALSE)="","",VLOOKUP($A63,'Master vs SAP'!$A$8:$O$291,4,FALSE))</f>
        <v>1000783</v>
      </c>
      <c r="T63" s="9" t="str">
        <f>IF(VLOOKUP($A63,'Master vs SAP'!$A$8:$O$291,5,FALSE)="","",VLOOKUP($A63,'Master vs SAP'!$A$8:$O$291,5,FALSE))</f>
        <v>HYPERSOL SOLUC X 25ML</v>
      </c>
      <c r="U63" s="9" t="str">
        <f>IF(VLOOKUP($A63,'Master vs SAP'!$A$8:$O$291,7,FALSE)="","",VLOOKUP($A63,'Master vs SAP'!$A$8:$O$291,7,FALSE))</f>
        <v>Media</v>
      </c>
      <c r="V63" s="9" t="str">
        <f>IF(VLOOKUP($A63,'Master vs SAP'!$A$8:$O$291,6,FALSE)="","",VLOOKUP($A63,'Master vs SAP'!$A$8:$O$291,6,FALSE))</f>
        <v>Revisar datos</v>
      </c>
      <c r="W63" s="24" t="str">
        <f>IF(VLOOKUP($A63,'Master vs SAP'!$A$8:$O$291,15,FALSE)="Homologado",VLOOKUP($A63,'Master vs SAP'!$A$8:$O$291,10,FALSE),"")</f>
        <v/>
      </c>
    </row>
    <row r="64" spans="1:23" ht="61.95" customHeight="1">
      <c r="A64" s="9" t="s">
        <v>220</v>
      </c>
      <c r="B64" s="9" t="s">
        <v>108</v>
      </c>
      <c r="C64" s="9" t="s">
        <v>221</v>
      </c>
      <c r="D64" s="24" t="str">
        <f>IF(VLOOKUP($A64,Neuquén!$A$8:$O$291,4,FALSE)="","",VLOOKUP($A64,Neuquén!$A$8:$O$291,4,FALSE))</f>
        <v>65</v>
      </c>
      <c r="E64" s="9" t="str">
        <f>IF(VLOOKUP($A64,Neuquén!$A$8:$O$291,5,FALSE)="","",VLOOKUP($A64,Neuquén!$A$8:$O$291,5,FALSE))</f>
        <v>DECADRON</v>
      </c>
      <c r="F64" s="9" t="str">
        <f>IF(VLOOKUP($A64,Neuquén!$A$8:$O$291,7,FALSE)="","",VLOOKUP($A64,Neuquén!$A$8:$O$291,7,FALSE))</f>
        <v>Media</v>
      </c>
      <c r="G64" s="9" t="str">
        <f>IF(VLOOKUP($A64,Neuquén!$A$8:$O$291,6,FALSE)="","",VLOOKUP($A64,Neuquén!$A$8:$O$291,6,FALSE))</f>
        <v>Equivalencia a revisar</v>
      </c>
      <c r="H64" s="24" t="str">
        <f>IF(VLOOKUP($A64,'San Juan'!$A$8:$O$291,4,FALSE)="","",VLOOKUP($A64,'San Juan'!$A$8:$O$291,4,FALSE))</f>
        <v>MED55</v>
      </c>
      <c r="I64" s="9" t="str">
        <f>IF(VLOOKUP($A64,'San Juan'!$A$8:$O$291,5,FALSE)="","",VLOOKUP($A64,'San Juan'!$A$8:$O$291,5,FALSE))</f>
        <v>Dexametasona 8mg Amp x 2 ml</v>
      </c>
      <c r="J64" s="9" t="str">
        <f>IF(VLOOKUP($A64,'San Juan'!$A$8:$O$291,7,FALSE)="","",VLOOKUP($A64,'San Juan'!$A$8:$O$291,7,FALSE))</f>
        <v>Alta</v>
      </c>
      <c r="K64" s="9" t="str">
        <f>IF(VLOOKUP($A64,'San Juan'!$A$8:$O$291,6,FALSE)="","",VLOOKUP($A64,'San Juan'!$A$8:$O$291,6,FALSE))</f>
        <v>Coincidencia por validar</v>
      </c>
      <c r="L64" s="24" t="str">
        <f>IF(VLOOKUP($A64,Salta!$A$8:$O$291,4,FALSE)="","",VLOOKUP($A64,Salta!$A$8:$O$291,4,FALSE))</f>
        <v>92</v>
      </c>
      <c r="M64" s="9" t="str">
        <f>IF(VLOOKUP($A64,Salta!$A$8:$O$291,5,FALSE)="","",VLOOKUP($A64,Salta!$A$8:$O$291,5,FALSE))</f>
        <v>Dexametasona inyectable 1 amp=2ml x8mg</v>
      </c>
      <c r="N64" s="9" t="str">
        <f>IF(VLOOKUP($A64,Salta!$A$8:$O$291,7,FALSE)="","",VLOOKUP($A64,Salta!$A$8:$O$291,7,FALSE))</f>
        <v>Alta</v>
      </c>
      <c r="O64" s="9" t="str">
        <f>IF(VLOOKUP($A64,Salta!$A$8:$O$291,6,FALSE)="","",VLOOKUP($A64,Salta!$A$8:$O$291,6,FALSE))</f>
        <v>Coincidencia</v>
      </c>
      <c r="P64" s="24" t="str">
        <f>IF(VLOOKUP($A64,Neuquén!$A$8:$O$291,15,FALSE)="Homologado",VLOOKUP($A64,Neuquén!$A$8:$O$291,10,FALSE),"")</f>
        <v/>
      </c>
      <c r="Q64" s="24" t="str">
        <f>IF(VLOOKUP($A64,'San Juan'!$A$8:$O$291,15,FALSE)="Homologado",VLOOKUP($A64,'San Juan'!$A$8:$O$291,10,FALSE),"")</f>
        <v/>
      </c>
      <c r="R64" s="24" t="str">
        <f>IF(VLOOKUP($A64,Salta!$A$8:$O$291,15,FALSE)="Homologado",VLOOKUP($A64,Salta!$A$8:$O$291,10,FALSE),"")</f>
        <v/>
      </c>
      <c r="S64" s="24" t="str">
        <f>IF(VLOOKUP($A64,'Master vs SAP'!$A$8:$O$291,4,FALSE)="","",VLOOKUP($A64,'Master vs SAP'!$A$8:$O$291,4,FALSE))</f>
        <v>1000478</v>
      </c>
      <c r="T64" s="9" t="str">
        <f>IF(VLOOKUP($A64,'Master vs SAP'!$A$8:$O$291,5,FALSE)="","",VLOOKUP($A64,'Master vs SAP'!$A$8:$O$291,5,FALSE))</f>
        <v>DEXAMETASONA 8MG/2ML AMPOLLA</v>
      </c>
      <c r="U64" s="9" t="str">
        <f>IF(VLOOKUP($A64,'Master vs SAP'!$A$8:$O$291,7,FALSE)="","",VLOOKUP($A64,'Master vs SAP'!$A$8:$O$291,7,FALSE))</f>
        <v>Alta</v>
      </c>
      <c r="V64" s="9" t="str">
        <f>IF(VLOOKUP($A64,'Master vs SAP'!$A$8:$O$291,6,FALSE)="","",VLOOKUP($A64,'Master vs SAP'!$A$8:$O$291,6,FALSE))</f>
        <v>Coincidencia</v>
      </c>
      <c r="W64" s="24" t="str">
        <f>IF(VLOOKUP($A64,'Master vs SAP'!$A$8:$O$291,15,FALSE)="Homologado",VLOOKUP($A64,'Master vs SAP'!$A$8:$O$291,10,FALSE),"")</f>
        <v/>
      </c>
    </row>
    <row r="65" spans="1:23" ht="61.95" customHeight="1">
      <c r="A65" s="9" t="s">
        <v>222</v>
      </c>
      <c r="B65" s="9" t="s">
        <v>108</v>
      </c>
      <c r="C65" s="9" t="s">
        <v>223</v>
      </c>
      <c r="D65" s="24" t="str">
        <f>IF(VLOOKUP($A65,Neuquén!$A$8:$O$291,4,FALSE)="","",VLOOKUP($A65,Neuquén!$A$8:$O$291,4,FALSE))</f>
        <v>74</v>
      </c>
      <c r="E65" s="9" t="str">
        <f>IF(VLOOKUP($A65,Neuquén!$A$8:$O$291,5,FALSE)="","",VLOOKUP($A65,Neuquén!$A$8:$O$291,5,FALSE))</f>
        <v>DEXAMETASONACOMP</v>
      </c>
      <c r="F65" s="9" t="str">
        <f>IF(VLOOKUP($A65,Neuquén!$A$8:$O$291,7,FALSE)="","",VLOOKUP($A65,Neuquén!$A$8:$O$291,7,FALSE))</f>
        <v>Alta</v>
      </c>
      <c r="G65" s="9" t="str">
        <f>IF(VLOOKUP($A65,Neuquén!$A$8:$O$291,6,FALSE)="","",VLOOKUP($A65,Neuquén!$A$8:$O$291,6,FALSE))</f>
        <v>Coincidencia por validar</v>
      </c>
      <c r="H65" s="24" t="str">
        <f>IF(VLOOKUP($A65,'San Juan'!$A$8:$O$291,4,FALSE)="","",VLOOKUP($A65,'San Juan'!$A$8:$O$291,4,FALSE))</f>
        <v>MED54</v>
      </c>
      <c r="I65" s="9" t="str">
        <f>IF(VLOOKUP($A65,'San Juan'!$A$8:$O$291,5,FALSE)="","",VLOOKUP($A65,'San Juan'!$A$8:$O$291,5,FALSE))</f>
        <v>Dexametasona 4 mg comp (FM)</v>
      </c>
      <c r="J65" s="9" t="str">
        <f>IF(VLOOKUP($A65,'San Juan'!$A$8:$O$291,7,FALSE)="","",VLOOKUP($A65,'San Juan'!$A$8:$O$291,7,FALSE))</f>
        <v>Alta</v>
      </c>
      <c r="K65" s="9" t="str">
        <f>IF(VLOOKUP($A65,'San Juan'!$A$8:$O$291,6,FALSE)="","",VLOOKUP($A65,'San Juan'!$A$8:$O$291,6,FALSE))</f>
        <v>Coincidencia por validar</v>
      </c>
      <c r="L65" s="24" t="str">
        <f>IF(VLOOKUP($A65,Salta!$A$8:$O$291,4,FALSE)="","",VLOOKUP($A65,Salta!$A$8:$O$291,4,FALSE))</f>
        <v>389</v>
      </c>
      <c r="M65" s="9" t="str">
        <f>IF(VLOOKUP($A65,Salta!$A$8:$O$291,5,FALSE)="","",VLOOKUP($A65,Salta!$A$8:$O$291,5,FALSE))</f>
        <v>Dexametasona comp 4 mg</v>
      </c>
      <c r="N65" s="9" t="str">
        <f>IF(VLOOKUP($A65,Salta!$A$8:$O$291,7,FALSE)="","",VLOOKUP($A65,Salta!$A$8:$O$291,7,FALSE))</f>
        <v>Alta</v>
      </c>
      <c r="O65" s="9" t="str">
        <f>IF(VLOOKUP($A65,Salta!$A$8:$O$291,6,FALSE)="","",VLOOKUP($A65,Salta!$A$8:$O$291,6,FALSE))</f>
        <v>Coincidencia</v>
      </c>
      <c r="P65" s="24" t="str">
        <f>IF(VLOOKUP($A65,Neuquén!$A$8:$O$291,15,FALSE)="Homologado",VLOOKUP($A65,Neuquén!$A$8:$O$291,10,FALSE),"")</f>
        <v/>
      </c>
      <c r="Q65" s="24" t="str">
        <f>IF(VLOOKUP($A65,'San Juan'!$A$8:$O$291,15,FALSE)="Homologado",VLOOKUP($A65,'San Juan'!$A$8:$O$291,10,FALSE),"")</f>
        <v/>
      </c>
      <c r="R65" s="24" t="str">
        <f>IF(VLOOKUP($A65,Salta!$A$8:$O$291,15,FALSE)="Homologado",VLOOKUP($A65,Salta!$A$8:$O$291,10,FALSE),"")</f>
        <v/>
      </c>
      <c r="S65" s="24" t="str">
        <f>IF(VLOOKUP($A65,'Master vs SAP'!$A$8:$O$291,4,FALSE)="","",VLOOKUP($A65,'Master vs SAP'!$A$8:$O$291,4,FALSE))</f>
        <v>1000529</v>
      </c>
      <c r="T65" s="9" t="str">
        <f>IF(VLOOKUP($A65,'Master vs SAP'!$A$8:$O$291,5,FALSE)="","",VLOOKUP($A65,'Master vs SAP'!$A$8:$O$291,5,FALSE))</f>
        <v>DEXAMETASONA 4 MG COMPRIMIDOS</v>
      </c>
      <c r="U65" s="9" t="str">
        <f>IF(VLOOKUP($A65,'Master vs SAP'!$A$8:$O$291,7,FALSE)="","",VLOOKUP($A65,'Master vs SAP'!$A$8:$O$291,7,FALSE))</f>
        <v>Alta</v>
      </c>
      <c r="V65" s="9" t="str">
        <f>IF(VLOOKUP($A65,'Master vs SAP'!$A$8:$O$291,6,FALSE)="","",VLOOKUP($A65,'Master vs SAP'!$A$8:$O$291,6,FALSE))</f>
        <v>Coincidencia</v>
      </c>
      <c r="W65" s="24" t="str">
        <f>IF(VLOOKUP($A65,'Master vs SAP'!$A$8:$O$291,15,FALSE)="Homologado",VLOOKUP($A65,'Master vs SAP'!$A$8:$O$291,10,FALSE),"")</f>
        <v/>
      </c>
    </row>
    <row r="66" spans="1:23" ht="61.95" customHeight="1">
      <c r="A66" s="9" t="s">
        <v>224</v>
      </c>
      <c r="B66" s="9" t="s">
        <v>108</v>
      </c>
      <c r="C66" s="9" t="s">
        <v>225</v>
      </c>
      <c r="D66" s="24" t="str">
        <f>IF(VLOOKUP($A66,Neuquén!$A$8:$O$291,4,FALSE)="","",VLOOKUP($A66,Neuquén!$A$8:$O$291,4,FALSE))</f>
        <v>130</v>
      </c>
      <c r="E66" s="9" t="str">
        <f>IF(VLOOKUP($A66,Neuquén!$A$8:$O$291,5,FALSE)="","",VLOOKUP($A66,Neuquén!$A$8:$O$291,5,FALSE))</f>
        <v>HIDROCORTISONA500MGAMP</v>
      </c>
      <c r="F66" s="9" t="str">
        <f>IF(VLOOKUP($A66,Neuquén!$A$8:$O$291,7,FALSE)="","",VLOOKUP($A66,Neuquén!$A$8:$O$291,7,FALSE))</f>
        <v>Alta</v>
      </c>
      <c r="G66" s="9" t="str">
        <f>IF(VLOOKUP($A66,Neuquén!$A$8:$O$291,6,FALSE)="","",VLOOKUP($A66,Neuquén!$A$8:$O$291,6,FALSE))</f>
        <v>Coincidencia por validar</v>
      </c>
      <c r="H66" s="24" t="str">
        <f>IF(VLOOKUP($A66,'San Juan'!$A$8:$O$291,4,FALSE)="","",VLOOKUP($A66,'San Juan'!$A$8:$O$291,4,FALSE))</f>
        <v>MED96</v>
      </c>
      <c r="I66" s="9" t="str">
        <f>IF(VLOOKUP($A66,'San Juan'!$A$8:$O$291,5,FALSE)="","",VLOOKUP($A66,'San Juan'!$A$8:$O$291,5,FALSE))</f>
        <v>Hidrocortisona Fco amp polvo p/rest 500 mg</v>
      </c>
      <c r="J66" s="9" t="str">
        <f>IF(VLOOKUP($A66,'San Juan'!$A$8:$O$291,7,FALSE)="","",VLOOKUP($A66,'San Juan'!$A$8:$O$291,7,FALSE))</f>
        <v>Alta</v>
      </c>
      <c r="K66" s="9" t="str">
        <f>IF(VLOOKUP($A66,'San Juan'!$A$8:$O$291,6,FALSE)="","",VLOOKUP($A66,'San Juan'!$A$8:$O$291,6,FALSE))</f>
        <v>Coincidencia por validar</v>
      </c>
      <c r="L66" s="24" t="str">
        <f>IF(VLOOKUP($A66,Salta!$A$8:$O$291,4,FALSE)="","",VLOOKUP($A66,Salta!$A$8:$O$291,4,FALSE))</f>
        <v>391</v>
      </c>
      <c r="M66" s="9" t="str">
        <f>IF(VLOOKUP($A66,Salta!$A$8:$O$291,5,FALSE)="","",VLOOKUP($A66,Salta!$A$8:$O$291,5,FALSE))</f>
        <v>Hidrocortisona 500mg fco ampolla</v>
      </c>
      <c r="N66" s="9" t="str">
        <f>IF(VLOOKUP($A66,Salta!$A$8:$O$291,7,FALSE)="","",VLOOKUP($A66,Salta!$A$8:$O$291,7,FALSE))</f>
        <v>Alta</v>
      </c>
      <c r="O66" s="9" t="str">
        <f>IF(VLOOKUP($A66,Salta!$A$8:$O$291,6,FALSE)="","",VLOOKUP($A66,Salta!$A$8:$O$291,6,FALSE))</f>
        <v>Coincidencia</v>
      </c>
      <c r="P66" s="24" t="str">
        <f>IF(VLOOKUP($A66,Neuquén!$A$8:$O$291,15,FALSE)="Homologado",VLOOKUP($A66,Neuquén!$A$8:$O$291,10,FALSE),"")</f>
        <v/>
      </c>
      <c r="Q66" s="24" t="str">
        <f>IF(VLOOKUP($A66,'San Juan'!$A$8:$O$291,15,FALSE)="Homologado",VLOOKUP($A66,'San Juan'!$A$8:$O$291,10,FALSE),"")</f>
        <v/>
      </c>
      <c r="R66" s="24" t="str">
        <f>IF(VLOOKUP($A66,Salta!$A$8:$O$291,15,FALSE)="Homologado",VLOOKUP($A66,Salta!$A$8:$O$291,10,FALSE),"")</f>
        <v/>
      </c>
      <c r="S66" s="24" t="str">
        <f>IF(VLOOKUP($A66,'Master vs SAP'!$A$8:$O$291,4,FALSE)="","",VLOOKUP($A66,'Master vs SAP'!$A$8:$O$291,4,FALSE))</f>
        <v>1000010</v>
      </c>
      <c r="T66" s="9" t="str">
        <f>IF(VLOOKUP($A66,'Master vs SAP'!$A$8:$O$291,5,FALSE)="","",VLOOKUP($A66,'Master vs SAP'!$A$8:$O$291,5,FALSE))</f>
        <v>HIDROCORTISONA 500MG  AMPOLLA</v>
      </c>
      <c r="U66" s="9" t="str">
        <f>IF(VLOOKUP($A66,'Master vs SAP'!$A$8:$O$291,7,FALSE)="","",VLOOKUP($A66,'Master vs SAP'!$A$8:$O$291,7,FALSE))</f>
        <v>Alta</v>
      </c>
      <c r="V66" s="9" t="str">
        <f>IF(VLOOKUP($A66,'Master vs SAP'!$A$8:$O$291,6,FALSE)="","",VLOOKUP($A66,'Master vs SAP'!$A$8:$O$291,6,FALSE))</f>
        <v>Coincidencia</v>
      </c>
      <c r="W66" s="24" t="str">
        <f>IF(VLOOKUP($A66,'Master vs SAP'!$A$8:$O$291,15,FALSE)="Homologado",VLOOKUP($A66,'Master vs SAP'!$A$8:$O$291,10,FALSE),"")</f>
        <v/>
      </c>
    </row>
    <row r="67" spans="1:23" ht="61.95" customHeight="1">
      <c r="A67" s="9" t="s">
        <v>226</v>
      </c>
      <c r="B67" s="9" t="s">
        <v>108</v>
      </c>
      <c r="C67" s="9" t="s">
        <v>227</v>
      </c>
      <c r="D67" s="24" t="str">
        <f>IF(VLOOKUP($A67,Neuquén!$A$8:$O$291,4,FALSE)="","",VLOOKUP($A67,Neuquén!$A$8:$O$291,4,FALSE))</f>
        <v>61</v>
      </c>
      <c r="E67" s="9" t="str">
        <f>IF(VLOOKUP($A67,Neuquén!$A$8:$O$291,5,FALSE)="","",VLOOKUP($A67,Neuquén!$A$8:$O$291,5,FALSE))</f>
        <v>CORTEROIDBETAMETASONA</v>
      </c>
      <c r="F67" s="9" t="str">
        <f>IF(VLOOKUP($A67,Neuquén!$A$8:$O$291,7,FALSE)="","",VLOOKUP($A67,Neuquén!$A$8:$O$291,7,FALSE))</f>
        <v>Media</v>
      </c>
      <c r="G67" s="9" t="str">
        <f>IF(VLOOKUP($A67,Neuquén!$A$8:$O$291,6,FALSE)="","",VLOOKUP($A67,Neuquén!$A$8:$O$291,6,FALSE))</f>
        <v>Equivalencia a revisar</v>
      </c>
      <c r="H67" s="24" t="str">
        <f>IF(VLOOKUP($A67,'San Juan'!$A$8:$O$291,4,FALSE)="","",VLOOKUP($A67,'San Juan'!$A$8:$O$291,4,FALSE))</f>
        <v>DES044</v>
      </c>
      <c r="I67" s="9" t="str">
        <f>IF(VLOOKUP($A67,'San Juan'!$A$8:$O$291,5,FALSE)="","",VLOOKUP($A67,'San Juan'!$A$8:$O$291,5,FALSE))</f>
        <v>Dexametasona 1 amp=2ml</v>
      </c>
      <c r="J67" s="9" t="str">
        <f>IF(VLOOKUP($A67,'San Juan'!$A$8:$O$291,7,FALSE)="","",VLOOKUP($A67,'San Juan'!$A$8:$O$291,7,FALSE))</f>
        <v>Baja</v>
      </c>
      <c r="K67" s="9" t="str">
        <f>IF(VLOOKUP($A67,'San Juan'!$A$8:$O$291,6,FALSE)="","",VLOOKUP($A67,'San Juan'!$A$8:$O$291,6,FALSE))</f>
        <v>Producto distinto</v>
      </c>
      <c r="L67" s="24" t="str">
        <f>IF(VLOOKUP($A67,Salta!$A$8:$O$291,4,FALSE)="","",VLOOKUP($A67,Salta!$A$8:$O$291,4,FALSE))</f>
        <v>419</v>
      </c>
      <c r="M67" s="9" t="str">
        <f>IF(VLOOKUP($A67,Salta!$A$8:$O$291,5,FALSE)="","",VLOOKUP($A67,Salta!$A$8:$O$291,5,FALSE))</f>
        <v>Corteroid (betametasona fosfato/acetato) fco ampolla</v>
      </c>
      <c r="N67" s="9" t="str">
        <f>IF(VLOOKUP($A67,Salta!$A$8:$O$291,7,FALSE)="","",VLOOKUP($A67,Salta!$A$8:$O$291,7,FALSE))</f>
        <v>Media</v>
      </c>
      <c r="O67" s="9" t="str">
        <f>IF(VLOOKUP($A67,Salta!$A$8:$O$291,6,FALSE)="","",VLOOKUP($A67,Salta!$A$8:$O$291,6,FALSE))</f>
        <v>Revisar datos</v>
      </c>
      <c r="P67" s="24" t="str">
        <f>IF(VLOOKUP($A67,Neuquén!$A$8:$O$291,15,FALSE)="Homologado",VLOOKUP($A67,Neuquén!$A$8:$O$291,10,FALSE),"")</f>
        <v/>
      </c>
      <c r="Q67" s="24" t="str">
        <f>IF(VLOOKUP($A67,'San Juan'!$A$8:$O$291,15,FALSE)="Homologado",VLOOKUP($A67,'San Juan'!$A$8:$O$291,10,FALSE),"")</f>
        <v/>
      </c>
      <c r="R67" s="24" t="str">
        <f>IF(VLOOKUP($A67,Salta!$A$8:$O$291,15,FALSE)="Homologado",VLOOKUP($A67,Salta!$A$8:$O$291,10,FALSE),"")</f>
        <v/>
      </c>
      <c r="S67" s="24" t="str">
        <f>IF(VLOOKUP($A67,'Master vs SAP'!$A$8:$O$291,4,FALSE)="","",VLOOKUP($A67,'Master vs SAP'!$A$8:$O$291,4,FALSE))</f>
        <v>1001091</v>
      </c>
      <c r="T67" s="9" t="str">
        <f>IF(VLOOKUP($A67,'Master vs SAP'!$A$8:$O$291,5,FALSE)="","",VLOOKUP($A67,'Master vs SAP'!$A$8:$O$291,5,FALSE))</f>
        <v>CORTICAS RETARD 6MG 2ML AMP</v>
      </c>
      <c r="U67" s="9" t="str">
        <f>IF(VLOOKUP($A67,'Master vs SAP'!$A$8:$O$291,7,FALSE)="","",VLOOKUP($A67,'Master vs SAP'!$A$8:$O$291,7,FALSE))</f>
        <v>Media</v>
      </c>
      <c r="V67" s="9" t="str">
        <f>IF(VLOOKUP($A67,'Master vs SAP'!$A$8:$O$291,6,FALSE)="","",VLOOKUP($A67,'Master vs SAP'!$A$8:$O$291,6,FALSE))</f>
        <v>Revisar datos</v>
      </c>
      <c r="W67" s="24" t="str">
        <f>IF(VLOOKUP($A67,'Master vs SAP'!$A$8:$O$291,15,FALSE)="Homologado",VLOOKUP($A67,'Master vs SAP'!$A$8:$O$291,10,FALSE),"")</f>
        <v/>
      </c>
    </row>
    <row r="68" spans="1:23" ht="61.95" customHeight="1">
      <c r="A68" s="9" t="s">
        <v>228</v>
      </c>
      <c r="B68" s="9" t="s">
        <v>108</v>
      </c>
      <c r="C68" s="9" t="s">
        <v>229</v>
      </c>
      <c r="D68" s="24" t="str">
        <f>IF(VLOOKUP($A68,Neuquén!$A$8:$O$291,4,FALSE)="","",VLOOKUP($A68,Neuquén!$A$8:$O$291,4,FALSE))</f>
        <v>244</v>
      </c>
      <c r="E68" s="9" t="str">
        <f>IF(VLOOKUP($A68,Neuquén!$A$8:$O$291,5,FALSE)="","",VLOOKUP($A68,Neuquén!$A$8:$O$291,5,FALSE))</f>
        <v>DIFENHIDRAMINA10MGX1MLAMP</v>
      </c>
      <c r="F68" s="9" t="str">
        <f>IF(VLOOKUP($A68,Neuquén!$A$8:$O$291,7,FALSE)="","",VLOOKUP($A68,Neuquén!$A$8:$O$291,7,FALSE))</f>
        <v>Alta</v>
      </c>
      <c r="G68" s="9" t="str">
        <f>IF(VLOOKUP($A68,Neuquén!$A$8:$O$291,6,FALSE)="","",VLOOKUP($A68,Neuquén!$A$8:$O$291,6,FALSE))</f>
        <v>Coincidencia por validar</v>
      </c>
      <c r="H68" s="24" t="str">
        <f>IF(VLOOKUP($A68,'San Juan'!$A$8:$O$291,4,FALSE)="","",VLOOKUP($A68,'San Juan'!$A$8:$O$291,4,FALSE))</f>
        <v>MED65</v>
      </c>
      <c r="I68" s="9" t="str">
        <f>IF(VLOOKUP($A68,'San Juan'!$A$8:$O$291,5,FALSE)="","",VLOOKUP($A68,'San Juan'!$A$8:$O$291,5,FALSE))</f>
        <v>Difenhidramina 10mg Amp x 1 ml</v>
      </c>
      <c r="J68" s="9" t="str">
        <f>IF(VLOOKUP($A68,'San Juan'!$A$8:$O$291,7,FALSE)="","",VLOOKUP($A68,'San Juan'!$A$8:$O$291,7,FALSE))</f>
        <v>Alta</v>
      </c>
      <c r="K68" s="9" t="str">
        <f>IF(VLOOKUP($A68,'San Juan'!$A$8:$O$291,6,FALSE)="","",VLOOKUP($A68,'San Juan'!$A$8:$O$291,6,FALSE))</f>
        <v>Coincidencia por validar</v>
      </c>
      <c r="L68" s="24" t="str">
        <f>IF(VLOOKUP($A68,Salta!$A$8:$O$291,4,FALSE)="","",VLOOKUP($A68,Salta!$A$8:$O$291,4,FALSE))</f>
        <v>101</v>
      </c>
      <c r="M68" s="9" t="str">
        <f>IF(VLOOKUP($A68,Salta!$A$8:$O$291,5,FALSE)="","",VLOOKUP($A68,Salta!$A$8:$O$291,5,FALSE))</f>
        <v>Difenhidramina amp Ampolla x 10 mg</v>
      </c>
      <c r="N68" s="9" t="str">
        <f>IF(VLOOKUP($A68,Salta!$A$8:$O$291,7,FALSE)="","",VLOOKUP($A68,Salta!$A$8:$O$291,7,FALSE))</f>
        <v>Media</v>
      </c>
      <c r="O68" s="9" t="str">
        <f>IF(VLOOKUP($A68,Salta!$A$8:$O$291,6,FALSE)="","",VLOOKUP($A68,Salta!$A$8:$O$291,6,FALSE))</f>
        <v>Revisar datos</v>
      </c>
      <c r="P68" s="24" t="str">
        <f>IF(VLOOKUP($A68,Neuquén!$A$8:$O$291,15,FALSE)="Homologado",VLOOKUP($A68,Neuquén!$A$8:$O$291,10,FALSE),"")</f>
        <v/>
      </c>
      <c r="Q68" s="24" t="str">
        <f>IF(VLOOKUP($A68,'San Juan'!$A$8:$O$291,15,FALSE)="Homologado",VLOOKUP($A68,'San Juan'!$A$8:$O$291,10,FALSE),"")</f>
        <v/>
      </c>
      <c r="R68" s="24" t="str">
        <f>IF(VLOOKUP($A68,Salta!$A$8:$O$291,15,FALSE)="Homologado",VLOOKUP($A68,Salta!$A$8:$O$291,10,FALSE),"")</f>
        <v/>
      </c>
      <c r="S68" s="24" t="str">
        <f>IF(VLOOKUP($A68,'Master vs SAP'!$A$8:$O$291,4,FALSE)="","",VLOOKUP($A68,'Master vs SAP'!$A$8:$O$291,4,FALSE))</f>
        <v>1001233</v>
      </c>
      <c r="T68" s="9" t="str">
        <f>IF(VLOOKUP($A68,'Master vs SAP'!$A$8:$O$291,5,FALSE)="","",VLOOKUP($A68,'Master vs SAP'!$A$8:$O$291,5,FALSE))</f>
        <v>DIFENHIDRAMINA 10 MG X 1 ML AMP</v>
      </c>
      <c r="U68" s="9" t="str">
        <f>IF(VLOOKUP($A68,'Master vs SAP'!$A$8:$O$291,7,FALSE)="","",VLOOKUP($A68,'Master vs SAP'!$A$8:$O$291,7,FALSE))</f>
        <v>Alta</v>
      </c>
      <c r="V68" s="9" t="str">
        <f>IF(VLOOKUP($A68,'Master vs SAP'!$A$8:$O$291,6,FALSE)="","",VLOOKUP($A68,'Master vs SAP'!$A$8:$O$291,6,FALSE))</f>
        <v>Coincidencia</v>
      </c>
      <c r="W68" s="24" t="str">
        <f>IF(VLOOKUP($A68,'Master vs SAP'!$A$8:$O$291,15,FALSE)="Homologado",VLOOKUP($A68,'Master vs SAP'!$A$8:$O$291,10,FALSE),"")</f>
        <v/>
      </c>
    </row>
    <row r="69" spans="1:23" ht="61.95" customHeight="1">
      <c r="A69" s="9" t="s">
        <v>230</v>
      </c>
      <c r="B69" s="9" t="s">
        <v>108</v>
      </c>
      <c r="C69" s="9" t="s">
        <v>231</v>
      </c>
      <c r="D69" s="24" t="str">
        <f>IF(VLOOKUP($A69,Neuquén!$A$8:$O$291,4,FALSE)="","",VLOOKUP($A69,Neuquén!$A$8:$O$291,4,FALSE))</f>
        <v>154</v>
      </c>
      <c r="E69" s="9" t="str">
        <f>IF(VLOOKUP($A69,Neuquén!$A$8:$O$291,5,FALSE)="","",VLOOKUP($A69,Neuquén!$A$8:$O$291,5,FALSE))</f>
        <v>LORATADINAX10U</v>
      </c>
      <c r="F69" s="9" t="str">
        <f>IF(VLOOKUP($A69,Neuquén!$A$8:$O$291,7,FALSE)="","",VLOOKUP($A69,Neuquén!$A$8:$O$291,7,FALSE))</f>
        <v>Alta</v>
      </c>
      <c r="G69" s="9" t="str">
        <f>IF(VLOOKUP($A69,Neuquén!$A$8:$O$291,6,FALSE)="","",VLOOKUP($A69,Neuquén!$A$8:$O$291,6,FALSE))</f>
        <v>Coincidencia por validar</v>
      </c>
      <c r="H69" s="24" t="str">
        <f>IF(VLOOKUP($A69,'San Juan'!$A$8:$O$291,4,FALSE)="","",VLOOKUP($A69,'San Juan'!$A$8:$O$291,4,FALSE))</f>
        <v/>
      </c>
      <c r="I69" s="9" t="str">
        <f>IF(VLOOKUP($A69,'San Juan'!$A$8:$O$291,5,FALSE)="","",VLOOKUP($A69,'San Juan'!$A$8:$O$291,5,FALSE))</f>
        <v/>
      </c>
      <c r="J69" s="9" t="str">
        <f>IF(VLOOKUP($A69,'San Juan'!$A$8:$O$291,7,FALSE)="","",VLOOKUP($A69,'San Juan'!$A$8:$O$291,7,FALSE))</f>
        <v>Sin coincidencia</v>
      </c>
      <c r="K69" s="9" t="str">
        <f>IF(VLOOKUP($A69,'San Juan'!$A$8:$O$291,6,FALSE)="","",VLOOKUP($A69,'San Juan'!$A$8:$O$291,6,FALSE))</f>
        <v>Sin código encontrado</v>
      </c>
      <c r="L69" s="24" t="str">
        <f>IF(VLOOKUP($A69,Salta!$A$8:$O$291,4,FALSE)="","",VLOOKUP($A69,Salta!$A$8:$O$291,4,FALSE))</f>
        <v>173</v>
      </c>
      <c r="M69" s="9" t="str">
        <f>IF(VLOOKUP($A69,Salta!$A$8:$O$291,5,FALSE)="","",VLOOKUP($A69,Salta!$A$8:$O$291,5,FALSE))</f>
        <v>Loratadina Comprimidos 10mgr</v>
      </c>
      <c r="N69" s="9" t="str">
        <f>IF(VLOOKUP($A69,Salta!$A$8:$O$291,7,FALSE)="","",VLOOKUP($A69,Salta!$A$8:$O$291,7,FALSE))</f>
        <v>Alta</v>
      </c>
      <c r="O69" s="9" t="str">
        <f>IF(VLOOKUP($A69,Salta!$A$8:$O$291,6,FALSE)="","",VLOOKUP($A69,Salta!$A$8:$O$291,6,FALSE))</f>
        <v>Coincidencia</v>
      </c>
      <c r="P69" s="24" t="str">
        <f>IF(VLOOKUP($A69,Neuquén!$A$8:$O$291,15,FALSE)="Homologado",VLOOKUP($A69,Neuquén!$A$8:$O$291,10,FALSE),"")</f>
        <v/>
      </c>
      <c r="Q69" s="24" t="str">
        <f>IF(VLOOKUP($A69,'San Juan'!$A$8:$O$291,15,FALSE)="Homologado",VLOOKUP($A69,'San Juan'!$A$8:$O$291,10,FALSE),"")</f>
        <v/>
      </c>
      <c r="R69" s="24" t="str">
        <f>IF(VLOOKUP($A69,Salta!$A$8:$O$291,15,FALSE)="Homologado",VLOOKUP($A69,Salta!$A$8:$O$291,10,FALSE),"")</f>
        <v/>
      </c>
      <c r="S69" s="24" t="str">
        <f>IF(VLOOKUP($A69,'Master vs SAP'!$A$8:$O$291,4,FALSE)="","",VLOOKUP($A69,'Master vs SAP'!$A$8:$O$291,4,FALSE))</f>
        <v>1000144</v>
      </c>
      <c r="T69" s="9" t="str">
        <f>IF(VLOOKUP($A69,'Master vs SAP'!$A$8:$O$291,5,FALSE)="","",VLOOKUP($A69,'Master vs SAP'!$A$8:$O$291,5,FALSE))</f>
        <v>LORATADINA 10 MG COMP</v>
      </c>
      <c r="U69" s="9" t="str">
        <f>IF(VLOOKUP($A69,'Master vs SAP'!$A$8:$O$291,7,FALSE)="","",VLOOKUP($A69,'Master vs SAP'!$A$8:$O$291,7,FALSE))</f>
        <v>Alta</v>
      </c>
      <c r="V69" s="9" t="str">
        <f>IF(VLOOKUP($A69,'Master vs SAP'!$A$8:$O$291,6,FALSE)="","",VLOOKUP($A69,'Master vs SAP'!$A$8:$O$291,6,FALSE))</f>
        <v>Coincidencia</v>
      </c>
      <c r="W69" s="24" t="str">
        <f>IF(VLOOKUP($A69,'Master vs SAP'!$A$8:$O$291,15,FALSE)="Homologado",VLOOKUP($A69,'Master vs SAP'!$A$8:$O$291,10,FALSE),"")</f>
        <v/>
      </c>
    </row>
    <row r="70" spans="1:23" ht="61.95" customHeight="1">
      <c r="A70" s="9" t="s">
        <v>232</v>
      </c>
      <c r="B70" s="9" t="s">
        <v>108</v>
      </c>
      <c r="C70" s="9" t="s">
        <v>233</v>
      </c>
      <c r="D70" s="24" t="str">
        <f>IF(VLOOKUP($A70,Neuquén!$A$8:$O$291,4,FALSE)="","",VLOOKUP($A70,Neuquén!$A$8:$O$291,4,FALSE))</f>
        <v>310</v>
      </c>
      <c r="E70" s="9" t="str">
        <f>IF(VLOOKUP($A70,Neuquén!$A$8:$O$291,5,FALSE)="","",VLOOKUP($A70,Neuquén!$A$8:$O$291,5,FALSE))</f>
        <v>Dimenhidrinato50mg</v>
      </c>
      <c r="F70" s="9" t="str">
        <f>IF(VLOOKUP($A70,Neuquén!$A$8:$O$291,7,FALSE)="","",VLOOKUP($A70,Neuquén!$A$8:$O$291,7,FALSE))</f>
        <v>Alta</v>
      </c>
      <c r="G70" s="9" t="str">
        <f>IF(VLOOKUP($A70,Neuquén!$A$8:$O$291,6,FALSE)="","",VLOOKUP($A70,Neuquén!$A$8:$O$291,6,FALSE))</f>
        <v>Coincidencia por validar</v>
      </c>
      <c r="H70" s="24" t="str">
        <f>IF(VLOOKUP($A70,'San Juan'!$A$8:$O$291,4,FALSE)="","",VLOOKUP($A70,'San Juan'!$A$8:$O$291,4,FALSE))</f>
        <v/>
      </c>
      <c r="I70" s="9" t="str">
        <f>IF(VLOOKUP($A70,'San Juan'!$A$8:$O$291,5,FALSE)="","",VLOOKUP($A70,'San Juan'!$A$8:$O$291,5,FALSE))</f>
        <v/>
      </c>
      <c r="J70" s="9" t="str">
        <f>IF(VLOOKUP($A70,'San Juan'!$A$8:$O$291,7,FALSE)="","",VLOOKUP($A70,'San Juan'!$A$8:$O$291,7,FALSE))</f>
        <v>Sin coincidencia</v>
      </c>
      <c r="K70" s="9" t="str">
        <f>IF(VLOOKUP($A70,'San Juan'!$A$8:$O$291,6,FALSE)="","",VLOOKUP($A70,'San Juan'!$A$8:$O$291,6,FALSE))</f>
        <v>Sin código encontrado</v>
      </c>
      <c r="L70" s="24" t="str">
        <f>IF(VLOOKUP($A70,Salta!$A$8:$O$291,4,FALSE)="","",VLOOKUP($A70,Salta!$A$8:$O$291,4,FALSE))</f>
        <v>104</v>
      </c>
      <c r="M70" s="9" t="str">
        <f>IF(VLOOKUP($A70,Salta!$A$8:$O$291,5,FALSE)="","",VLOOKUP($A70,Salta!$A$8:$O$291,5,FALSE))</f>
        <v>Dimenhidrinato Comprimidos x 50mg</v>
      </c>
      <c r="N70" s="9" t="str">
        <f>IF(VLOOKUP($A70,Salta!$A$8:$O$291,7,FALSE)="","",VLOOKUP($A70,Salta!$A$8:$O$291,7,FALSE))</f>
        <v>Alta</v>
      </c>
      <c r="O70" s="9" t="str">
        <f>IF(VLOOKUP($A70,Salta!$A$8:$O$291,6,FALSE)="","",VLOOKUP($A70,Salta!$A$8:$O$291,6,FALSE))</f>
        <v>Coincidencia</v>
      </c>
      <c r="P70" s="24" t="str">
        <f>IF(VLOOKUP($A70,Neuquén!$A$8:$O$291,15,FALSE)="Homologado",VLOOKUP($A70,Neuquén!$A$8:$O$291,10,FALSE),"")</f>
        <v/>
      </c>
      <c r="Q70" s="24" t="str">
        <f>IF(VLOOKUP($A70,'San Juan'!$A$8:$O$291,15,FALSE)="Homologado",VLOOKUP($A70,'San Juan'!$A$8:$O$291,10,FALSE),"")</f>
        <v/>
      </c>
      <c r="R70" s="24" t="str">
        <f>IF(VLOOKUP($A70,Salta!$A$8:$O$291,15,FALSE)="Homologado",VLOOKUP($A70,Salta!$A$8:$O$291,10,FALSE),"")</f>
        <v/>
      </c>
      <c r="S70" s="24" t="str">
        <f>IF(VLOOKUP($A70,'Master vs SAP'!$A$8:$O$291,4,FALSE)="","",VLOOKUP($A70,'Master vs SAP'!$A$8:$O$291,4,FALSE))</f>
        <v>1000178</v>
      </c>
      <c r="T70" s="9" t="str">
        <f>IF(VLOOKUP($A70,'Master vs SAP'!$A$8:$O$291,5,FALSE)="","",VLOOKUP($A70,'Master vs SAP'!$A$8:$O$291,5,FALSE))</f>
        <v>DRAMAMINE COMPRIMIDO</v>
      </c>
      <c r="U70" s="9" t="str">
        <f>IF(VLOOKUP($A70,'Master vs SAP'!$A$8:$O$291,7,FALSE)="","",VLOOKUP($A70,'Master vs SAP'!$A$8:$O$291,7,FALSE))</f>
        <v>Alta</v>
      </c>
      <c r="V70" s="9" t="str">
        <f>IF(VLOOKUP($A70,'Master vs SAP'!$A$8:$O$291,6,FALSE)="","",VLOOKUP($A70,'Master vs SAP'!$A$8:$O$291,6,FALSE))</f>
        <v>Coincidencia</v>
      </c>
      <c r="W70" s="24" t="str">
        <f>IF(VLOOKUP($A70,'Master vs SAP'!$A$8:$O$291,15,FALSE)="Homologado",VLOOKUP($A70,'Master vs SAP'!$A$8:$O$291,10,FALSE),"")</f>
        <v/>
      </c>
    </row>
    <row r="71" spans="1:23" ht="61.95" customHeight="1">
      <c r="A71" s="9" t="s">
        <v>234</v>
      </c>
      <c r="B71" s="9" t="s">
        <v>108</v>
      </c>
      <c r="C71" s="9" t="s">
        <v>235</v>
      </c>
      <c r="D71" s="24" t="str">
        <f>IF(VLOOKUP($A71,Neuquén!$A$8:$O$291,4,FALSE)="","",VLOOKUP($A71,Neuquén!$A$8:$O$291,4,FALSE))</f>
        <v>503</v>
      </c>
      <c r="E71" s="9" t="str">
        <f>IF(VLOOKUP($A71,Neuquén!$A$8:$O$291,5,FALSE)="","",VLOOKUP($A71,Neuquén!$A$8:$O$291,5,FALSE))</f>
        <v>Difenhidramina+Calamina</v>
      </c>
      <c r="F71" s="9" t="str">
        <f>IF(VLOOKUP($A71,Neuquén!$A$8:$O$291,7,FALSE)="","",VLOOKUP($A71,Neuquén!$A$8:$O$291,7,FALSE))</f>
        <v>Alta</v>
      </c>
      <c r="G71" s="9" t="str">
        <f>IF(VLOOKUP($A71,Neuquén!$A$8:$O$291,6,FALSE)="","",VLOOKUP($A71,Neuquén!$A$8:$O$291,6,FALSE))</f>
        <v>Coincidencia por validar</v>
      </c>
      <c r="H71" s="24" t="str">
        <f>IF(VLOOKUP($A71,'San Juan'!$A$8:$O$291,4,FALSE)="","",VLOOKUP($A71,'San Juan'!$A$8:$O$291,4,FALSE))</f>
        <v/>
      </c>
      <c r="I71" s="9" t="str">
        <f>IF(VLOOKUP($A71,'San Juan'!$A$8:$O$291,5,FALSE)="","",VLOOKUP($A71,'San Juan'!$A$8:$O$291,5,FALSE))</f>
        <v/>
      </c>
      <c r="J71" s="9" t="str">
        <f>IF(VLOOKUP($A71,'San Juan'!$A$8:$O$291,7,FALSE)="","",VLOOKUP($A71,'San Juan'!$A$8:$O$291,7,FALSE))</f>
        <v>Sin coincidencia</v>
      </c>
      <c r="K71" s="9" t="str">
        <f>IF(VLOOKUP($A71,'San Juan'!$A$8:$O$291,6,FALSE)="","",VLOOKUP($A71,'San Juan'!$A$8:$O$291,6,FALSE))</f>
        <v>Sin código encontrado</v>
      </c>
      <c r="L71" s="24" t="str">
        <f>IF(VLOOKUP($A71,Salta!$A$8:$O$291,4,FALSE)="","",VLOOKUP($A71,Salta!$A$8:$O$291,4,FALSE))</f>
        <v/>
      </c>
      <c r="M71" s="9" t="str">
        <f>IF(VLOOKUP($A71,Salta!$A$8:$O$291,5,FALSE)="","",VLOOKUP($A71,Salta!$A$8:$O$291,5,FALSE))</f>
        <v/>
      </c>
      <c r="N71" s="9" t="str">
        <f>IF(VLOOKUP($A71,Salta!$A$8:$O$291,7,FALSE)="","",VLOOKUP($A71,Salta!$A$8:$O$291,7,FALSE))</f>
        <v>Sin coincidencia</v>
      </c>
      <c r="O71" s="9" t="str">
        <f>IF(VLOOKUP($A71,Salta!$A$8:$O$291,6,FALSE)="","",VLOOKUP($A71,Salta!$A$8:$O$291,6,FALSE))</f>
        <v>Sin coincidencia</v>
      </c>
      <c r="P71" s="24" t="str">
        <f>IF(VLOOKUP($A71,Neuquén!$A$8:$O$291,15,FALSE)="Homologado",VLOOKUP($A71,Neuquén!$A$8:$O$291,10,FALSE),"")</f>
        <v/>
      </c>
      <c r="Q71" s="24" t="str">
        <f>IF(VLOOKUP($A71,'San Juan'!$A$8:$O$291,15,FALSE)="Homologado",VLOOKUP($A71,'San Juan'!$A$8:$O$291,10,FALSE),"")</f>
        <v/>
      </c>
      <c r="R71" s="24" t="str">
        <f>IF(VLOOKUP($A71,Salta!$A$8:$O$291,15,FALSE)="Homologado",VLOOKUP($A71,Salta!$A$8:$O$291,10,FALSE),"")</f>
        <v/>
      </c>
      <c r="S71" s="24" t="str">
        <f>IF(VLOOKUP($A71,'Master vs SAP'!$A$8:$O$291,4,FALSE)="","",VLOOKUP($A71,'Master vs SAP'!$A$8:$O$291,4,FALSE))</f>
        <v>1000890</v>
      </c>
      <c r="T71" s="9" t="str">
        <f>IF(VLOOKUP($A71,'Master vs SAP'!$A$8:$O$291,5,FALSE)="","",VLOOKUP($A71,'Master vs SAP'!$A$8:$O$291,5,FALSE))</f>
        <v>CALADRYL 70CR 70G CREMA</v>
      </c>
      <c r="U71" s="9" t="str">
        <f>IF(VLOOKUP($A71,'Master vs SAP'!$A$8:$O$291,7,FALSE)="","",VLOOKUP($A71,'Master vs SAP'!$A$8:$O$291,7,FALSE))</f>
        <v>Alta</v>
      </c>
      <c r="V71" s="9" t="str">
        <f>IF(VLOOKUP($A71,'Master vs SAP'!$A$8:$O$291,6,FALSE)="","",VLOOKUP($A71,'Master vs SAP'!$A$8:$O$291,6,FALSE))</f>
        <v>Coincidencia</v>
      </c>
      <c r="W71" s="24" t="str">
        <f>IF(VLOOKUP($A71,'Master vs SAP'!$A$8:$O$291,15,FALSE)="Homologado",VLOOKUP($A71,'Master vs SAP'!$A$8:$O$291,10,FALSE),"")</f>
        <v/>
      </c>
    </row>
    <row r="72" spans="1:23" ht="61.95" customHeight="1">
      <c r="A72" s="9" t="s">
        <v>236</v>
      </c>
      <c r="B72" s="9" t="s">
        <v>108</v>
      </c>
      <c r="C72" s="9" t="s">
        <v>237</v>
      </c>
      <c r="D72" s="24" t="str">
        <f>IF(VLOOKUP($A72,Neuquén!$A$8:$O$291,4,FALSE)="","",VLOOKUP($A72,Neuquén!$A$8:$O$291,4,FALSE))</f>
        <v>161</v>
      </c>
      <c r="E72" s="9" t="str">
        <f>IF(VLOOKUP($A72,Neuquén!$A$8:$O$291,5,FALSE)="","",VLOOKUP($A72,Neuquén!$A$8:$O$291,5,FALSE))</f>
        <v>METROCLOPRAMIDA10MG</v>
      </c>
      <c r="F72" s="9" t="str">
        <f>IF(VLOOKUP($A72,Neuquén!$A$8:$O$291,7,FALSE)="","",VLOOKUP($A72,Neuquén!$A$8:$O$291,7,FALSE))</f>
        <v>Media</v>
      </c>
      <c r="G72" s="9" t="str">
        <f>IF(VLOOKUP($A72,Neuquén!$A$8:$O$291,6,FALSE)="","",VLOOKUP($A72,Neuquén!$A$8:$O$291,6,FALSE))</f>
        <v>Código compartido: revisar</v>
      </c>
      <c r="H72" s="24" t="str">
        <f>IF(VLOOKUP($A72,'San Juan'!$A$8:$O$291,4,FALSE)="","",VLOOKUP($A72,'San Juan'!$A$8:$O$291,4,FALSE))</f>
        <v>MED130</v>
      </c>
      <c r="I72" s="9" t="str">
        <f>IF(VLOOKUP($A72,'San Juan'!$A$8:$O$291,5,FALSE)="","",VLOOKUP($A72,'San Juan'!$A$8:$O$291,5,FALSE))</f>
        <v>Metoclopramida 10 mg Amp x 2 ml</v>
      </c>
      <c r="J72" s="9" t="str">
        <f>IF(VLOOKUP($A72,'San Juan'!$A$8:$O$291,7,FALSE)="","",VLOOKUP($A72,'San Juan'!$A$8:$O$291,7,FALSE))</f>
        <v>Alta</v>
      </c>
      <c r="K72" s="9" t="str">
        <f>IF(VLOOKUP($A72,'San Juan'!$A$8:$O$291,6,FALSE)="","",VLOOKUP($A72,'San Juan'!$A$8:$O$291,6,FALSE))</f>
        <v>Coincidencia por validar</v>
      </c>
      <c r="L72" s="24" t="str">
        <f>IF(VLOOKUP($A72,Salta!$A$8:$O$291,4,FALSE)="","",VLOOKUP($A72,Salta!$A$8:$O$291,4,FALSE))</f>
        <v>183</v>
      </c>
      <c r="M72" s="9" t="str">
        <f>IF(VLOOKUP($A72,Salta!$A$8:$O$291,5,FALSE)="","",VLOOKUP($A72,Salta!$A$8:$O$291,5,FALSE))</f>
        <v>Metoclopramida 1 amp=2ml x10mg</v>
      </c>
      <c r="N72" s="9" t="str">
        <f>IF(VLOOKUP($A72,Salta!$A$8:$O$291,7,FALSE)="","",VLOOKUP($A72,Salta!$A$8:$O$291,7,FALSE))</f>
        <v>Alta</v>
      </c>
      <c r="O72" s="9" t="str">
        <f>IF(VLOOKUP($A72,Salta!$A$8:$O$291,6,FALSE)="","",VLOOKUP($A72,Salta!$A$8:$O$291,6,FALSE))</f>
        <v>Coincidencia</v>
      </c>
      <c r="P72" s="24" t="str">
        <f>IF(VLOOKUP($A72,Neuquén!$A$8:$O$291,15,FALSE)="Homologado",VLOOKUP($A72,Neuquén!$A$8:$O$291,10,FALSE),"")</f>
        <v/>
      </c>
      <c r="Q72" s="24" t="str">
        <f>IF(VLOOKUP($A72,'San Juan'!$A$8:$O$291,15,FALSE)="Homologado",VLOOKUP($A72,'San Juan'!$A$8:$O$291,10,FALSE),"")</f>
        <v/>
      </c>
      <c r="R72" s="24" t="str">
        <f>IF(VLOOKUP($A72,Salta!$A$8:$O$291,15,FALSE)="Homologado",VLOOKUP($A72,Salta!$A$8:$O$291,10,FALSE),"")</f>
        <v/>
      </c>
      <c r="S72" s="24" t="str">
        <f>IF(VLOOKUP($A72,'Master vs SAP'!$A$8:$O$291,4,FALSE)="","",VLOOKUP($A72,'Master vs SAP'!$A$8:$O$291,4,FALSE))</f>
        <v>1000105</v>
      </c>
      <c r="T72" s="9" t="str">
        <f>IF(VLOOKUP($A72,'Master vs SAP'!$A$8:$O$291,5,FALSE)="","",VLOOKUP($A72,'Master vs SAP'!$A$8:$O$291,5,FALSE))</f>
        <v>METOCLOPRAMIDA 10MG/2ML AMPOLLA</v>
      </c>
      <c r="U72" s="9" t="str">
        <f>IF(VLOOKUP($A72,'Master vs SAP'!$A$8:$O$291,7,FALSE)="","",VLOOKUP($A72,'Master vs SAP'!$A$8:$O$291,7,FALSE))</f>
        <v>Alta</v>
      </c>
      <c r="V72" s="9" t="str">
        <f>IF(VLOOKUP($A72,'Master vs SAP'!$A$8:$O$291,6,FALSE)="","",VLOOKUP($A72,'Master vs SAP'!$A$8:$O$291,6,FALSE))</f>
        <v>Coincidencia</v>
      </c>
      <c r="W72" s="24" t="str">
        <f>IF(VLOOKUP($A72,'Master vs SAP'!$A$8:$O$291,15,FALSE)="Homologado",VLOOKUP($A72,'Master vs SAP'!$A$8:$O$291,10,FALSE),"")</f>
        <v/>
      </c>
    </row>
    <row r="73" spans="1:23" ht="61.95" customHeight="1">
      <c r="A73" s="9" t="s">
        <v>238</v>
      </c>
      <c r="B73" s="9" t="s">
        <v>108</v>
      </c>
      <c r="C73" s="9" t="s">
        <v>239</v>
      </c>
      <c r="D73" s="24" t="str">
        <f>IF(VLOOKUP($A73,Neuquén!$A$8:$O$291,4,FALSE)="","",VLOOKUP($A73,Neuquén!$A$8:$O$291,4,FALSE))</f>
        <v>161</v>
      </c>
      <c r="E73" s="9" t="str">
        <f>IF(VLOOKUP($A73,Neuquén!$A$8:$O$291,5,FALSE)="","",VLOOKUP($A73,Neuquén!$A$8:$O$291,5,FALSE))</f>
        <v>METROCLOPRAMIDA10MG</v>
      </c>
      <c r="F73" s="9" t="str">
        <f>IF(VLOOKUP($A73,Neuquén!$A$8:$O$291,7,FALSE)="","",VLOOKUP($A73,Neuquén!$A$8:$O$291,7,FALSE))</f>
        <v>Media</v>
      </c>
      <c r="G73" s="9" t="str">
        <f>IF(VLOOKUP($A73,Neuquén!$A$8:$O$291,6,FALSE)="","",VLOOKUP($A73,Neuquén!$A$8:$O$291,6,FALSE))</f>
        <v>Código compartido: revisar</v>
      </c>
      <c r="H73" s="24" t="str">
        <f>IF(VLOOKUP($A73,'San Juan'!$A$8:$O$291,4,FALSE)="","",VLOOKUP($A73,'San Juan'!$A$8:$O$291,4,FALSE))</f>
        <v>MED131</v>
      </c>
      <c r="I73" s="9" t="str">
        <f>IF(VLOOKUP($A73,'San Juan'!$A$8:$O$291,5,FALSE)="","",VLOOKUP($A73,'San Juan'!$A$8:$O$291,5,FALSE))</f>
        <v>Metoclopramida Comp x 10 mg</v>
      </c>
      <c r="J73" s="9" t="str">
        <f>IF(VLOOKUP($A73,'San Juan'!$A$8:$O$291,7,FALSE)="","",VLOOKUP($A73,'San Juan'!$A$8:$O$291,7,FALSE))</f>
        <v>Alta</v>
      </c>
      <c r="K73" s="9" t="str">
        <f>IF(VLOOKUP($A73,'San Juan'!$A$8:$O$291,6,FALSE)="","",VLOOKUP($A73,'San Juan'!$A$8:$O$291,6,FALSE))</f>
        <v>Coincidencia por validar</v>
      </c>
      <c r="L73" s="24" t="str">
        <f>IF(VLOOKUP($A73,Salta!$A$8:$O$291,4,FALSE)="","",VLOOKUP($A73,Salta!$A$8:$O$291,4,FALSE))</f>
        <v>184
260</v>
      </c>
      <c r="M73" s="9" t="str">
        <f>IF(VLOOKUP($A73,Salta!$A$8:$O$291,5,FALSE)="","",VLOOKUP($A73,Salta!$A$8:$O$291,5,FALSE))</f>
        <v>Metoclopramida Comp Comprimidos x 10mg
Metoclopramida subl. 10 mgs</v>
      </c>
      <c r="N73" s="9" t="str">
        <f>IF(VLOOKUP($A73,Salta!$A$8:$O$291,7,FALSE)="","",VLOOKUP($A73,Salta!$A$8:$O$291,7,FALSE))</f>
        <v>Media</v>
      </c>
      <c r="O73" s="9" t="str">
        <f>IF(VLOOKUP($A73,Salta!$A$8:$O$291,6,FALSE)="","",VLOOKUP($A73,Salta!$A$8:$O$291,6,FALSE))</f>
        <v>Revisar grupo</v>
      </c>
      <c r="P73" s="24" t="str">
        <f>IF(VLOOKUP($A73,Neuquén!$A$8:$O$291,15,FALSE)="Homologado",VLOOKUP($A73,Neuquén!$A$8:$O$291,10,FALSE),"")</f>
        <v/>
      </c>
      <c r="Q73" s="24" t="str">
        <f>IF(VLOOKUP($A73,'San Juan'!$A$8:$O$291,15,FALSE)="Homologado",VLOOKUP($A73,'San Juan'!$A$8:$O$291,10,FALSE),"")</f>
        <v/>
      </c>
      <c r="R73" s="24" t="str">
        <f>IF(VLOOKUP($A73,Salta!$A$8:$O$291,15,FALSE)="Homologado",VLOOKUP($A73,Salta!$A$8:$O$291,10,FALSE),"")</f>
        <v/>
      </c>
      <c r="S73" s="24" t="str">
        <f>IF(VLOOKUP($A73,'Master vs SAP'!$A$8:$O$291,4,FALSE)="","",VLOOKUP($A73,'Master vs SAP'!$A$8:$O$291,4,FALSE))</f>
        <v>1000122</v>
      </c>
      <c r="T73" s="9" t="str">
        <f>IF(VLOOKUP($A73,'Master vs SAP'!$A$8:$O$291,5,FALSE)="","",VLOOKUP($A73,'Master vs SAP'!$A$8:$O$291,5,FALSE))</f>
        <v>METOCLOPRAMIDA DE 10MG SL</v>
      </c>
      <c r="U73" s="9" t="str">
        <f>IF(VLOOKUP($A73,'Master vs SAP'!$A$8:$O$291,7,FALSE)="","",VLOOKUP($A73,'Master vs SAP'!$A$8:$O$291,7,FALSE))</f>
        <v>Alta</v>
      </c>
      <c r="V73" s="9" t="str">
        <f>IF(VLOOKUP($A73,'Master vs SAP'!$A$8:$O$291,6,FALSE)="","",VLOOKUP($A73,'Master vs SAP'!$A$8:$O$291,6,FALSE))</f>
        <v>Coincidencia</v>
      </c>
      <c r="W73" s="24" t="str">
        <f>IF(VLOOKUP($A73,'Master vs SAP'!$A$8:$O$291,15,FALSE)="Homologado",VLOOKUP($A73,'Master vs SAP'!$A$8:$O$291,10,FALSE),"")</f>
        <v/>
      </c>
    </row>
    <row r="74" spans="1:23" ht="61.95" customHeight="1">
      <c r="A74" s="9" t="s">
        <v>240</v>
      </c>
      <c r="B74" s="9" t="s">
        <v>108</v>
      </c>
      <c r="C74" s="9" t="s">
        <v>241</v>
      </c>
      <c r="D74" s="24" t="str">
        <f>IF(VLOOKUP($A74,Neuquén!$A$8:$O$291,4,FALSE)="","",VLOOKUP($A74,Neuquén!$A$8:$O$291,4,FALSE))</f>
        <v>37</v>
      </c>
      <c r="E74" s="9" t="str">
        <f>IF(VLOOKUP($A74,Neuquén!$A$8:$O$291,5,FALSE)="","",VLOOKUP($A74,Neuquén!$A$8:$O$291,5,FALSE))</f>
        <v>BUSCAPINA</v>
      </c>
      <c r="F74" s="9" t="str">
        <f>IF(VLOOKUP($A74,Neuquén!$A$8:$O$291,7,FALSE)="","",VLOOKUP($A74,Neuquén!$A$8:$O$291,7,FALSE))</f>
        <v>Media</v>
      </c>
      <c r="G74" s="9" t="str">
        <f>IF(VLOOKUP($A74,Neuquén!$A$8:$O$291,6,FALSE)="","",VLOOKUP($A74,Neuquén!$A$8:$O$291,6,FALSE))</f>
        <v>Código compartido: revisar</v>
      </c>
      <c r="H74" s="24" t="str">
        <f>IF(VLOOKUP($A74,'San Juan'!$A$8:$O$291,4,FALSE)="","",VLOOKUP($A74,'San Juan'!$A$8:$O$291,4,FALSE))</f>
        <v>MED100</v>
      </c>
      <c r="I74" s="9" t="str">
        <f>IF(VLOOKUP($A74,'San Juan'!$A$8:$O$291,5,FALSE)="","",VLOOKUP($A74,'San Juan'!$A$8:$O$291,5,FALSE))</f>
        <v>Hioscina x 20 mg Amp x 1 ml</v>
      </c>
      <c r="J74" s="9" t="str">
        <f>IF(VLOOKUP($A74,'San Juan'!$A$8:$O$291,7,FALSE)="","",VLOOKUP($A74,'San Juan'!$A$8:$O$291,7,FALSE))</f>
        <v>Media</v>
      </c>
      <c r="K74" s="9" t="str">
        <f>IF(VLOOKUP($A74,'San Juan'!$A$8:$O$291,6,FALSE)="","",VLOOKUP($A74,'San Juan'!$A$8:$O$291,6,FALSE))</f>
        <v>Código compartido: revisar</v>
      </c>
      <c r="L74" s="24" t="str">
        <f>IF(VLOOKUP($A74,Salta!$A$8:$O$291,4,FALSE)="","",VLOOKUP($A74,Salta!$A$8:$O$291,4,FALSE))</f>
        <v>385</v>
      </c>
      <c r="M74" s="9" t="str">
        <f>IF(VLOOKUP($A74,Salta!$A$8:$O$291,5,FALSE)="","",VLOOKUP($A74,Salta!$A$8:$O$291,5,FALSE))</f>
        <v>Hioscina 1 amp x 20mg</v>
      </c>
      <c r="N74" s="9" t="str">
        <f>IF(VLOOKUP($A74,Salta!$A$8:$O$291,7,FALSE)="","",VLOOKUP($A74,Salta!$A$8:$O$291,7,FALSE))</f>
        <v>Media</v>
      </c>
      <c r="O74" s="9" t="str">
        <f>IF(VLOOKUP($A74,Salta!$A$8:$O$291,6,FALSE)="","",VLOOKUP($A74,Salta!$A$8:$O$291,6,FALSE))</f>
        <v>Revisar datos</v>
      </c>
      <c r="P74" s="24" t="str">
        <f>IF(VLOOKUP($A74,Neuquén!$A$8:$O$291,15,FALSE)="Homologado",VLOOKUP($A74,Neuquén!$A$8:$O$291,10,FALSE),"")</f>
        <v/>
      </c>
      <c r="Q74" s="24" t="str">
        <f>IF(VLOOKUP($A74,'San Juan'!$A$8:$O$291,15,FALSE)="Homologado",VLOOKUP($A74,'San Juan'!$A$8:$O$291,10,FALSE),"")</f>
        <v/>
      </c>
      <c r="R74" s="24" t="str">
        <f>IF(VLOOKUP($A74,Salta!$A$8:$O$291,15,FALSE)="Homologado",VLOOKUP($A74,Salta!$A$8:$O$291,10,FALSE),"")</f>
        <v/>
      </c>
      <c r="S74" s="24" t="str">
        <f>IF(VLOOKUP($A74,'Master vs SAP'!$A$8:$O$291,4,FALSE)="","",VLOOKUP($A74,'Master vs SAP'!$A$8:$O$291,4,FALSE))</f>
        <v>1000059</v>
      </c>
      <c r="T74" s="9" t="str">
        <f>IF(VLOOKUP($A74,'Master vs SAP'!$A$8:$O$291,5,FALSE)="","",VLOOKUP($A74,'Master vs SAP'!$A$8:$O$291,5,FALSE))</f>
        <v>BUTIL BROMURO DE HIOSCINA 20MG AMPOLLA</v>
      </c>
      <c r="U74" s="9" t="str">
        <f>IF(VLOOKUP($A74,'Master vs SAP'!$A$8:$O$291,7,FALSE)="","",VLOOKUP($A74,'Master vs SAP'!$A$8:$O$291,7,FALSE))</f>
        <v>Alta</v>
      </c>
      <c r="V74" s="9" t="str">
        <f>IF(VLOOKUP($A74,'Master vs SAP'!$A$8:$O$291,6,FALSE)="","",VLOOKUP($A74,'Master vs SAP'!$A$8:$O$291,6,FALSE))</f>
        <v>Coincidencia</v>
      </c>
      <c r="W74" s="24" t="str">
        <f>IF(VLOOKUP($A74,'Master vs SAP'!$A$8:$O$291,15,FALSE)="Homologado",VLOOKUP($A74,'Master vs SAP'!$A$8:$O$291,10,FALSE),"")</f>
        <v/>
      </c>
    </row>
    <row r="75" spans="1:23" ht="61.95" customHeight="1">
      <c r="A75" s="9" t="s">
        <v>242</v>
      </c>
      <c r="B75" s="9" t="s">
        <v>108</v>
      </c>
      <c r="C75" s="9" t="s">
        <v>243</v>
      </c>
      <c r="D75" s="24" t="str">
        <f>IF(VLOOKUP($A75,Neuquén!$A$8:$O$291,4,FALSE)="","",VLOOKUP($A75,Neuquén!$A$8:$O$291,4,FALSE))</f>
        <v>37</v>
      </c>
      <c r="E75" s="9" t="str">
        <f>IF(VLOOKUP($A75,Neuquén!$A$8:$O$291,5,FALSE)="","",VLOOKUP($A75,Neuquén!$A$8:$O$291,5,FALSE))</f>
        <v>BUSCAPINA</v>
      </c>
      <c r="F75" s="9" t="str">
        <f>IF(VLOOKUP($A75,Neuquén!$A$8:$O$291,7,FALSE)="","",VLOOKUP($A75,Neuquén!$A$8:$O$291,7,FALSE))</f>
        <v>Media</v>
      </c>
      <c r="G75" s="9" t="str">
        <f>IF(VLOOKUP($A75,Neuquén!$A$8:$O$291,6,FALSE)="","",VLOOKUP($A75,Neuquén!$A$8:$O$291,6,FALSE))</f>
        <v>Código compartido: revisar</v>
      </c>
      <c r="H75" s="24" t="str">
        <f>IF(VLOOKUP($A75,'San Juan'!$A$8:$O$291,4,FALSE)="","",VLOOKUP($A75,'San Juan'!$A$8:$O$291,4,FALSE))</f>
        <v>MED100</v>
      </c>
      <c r="I75" s="9" t="str">
        <f>IF(VLOOKUP($A75,'San Juan'!$A$8:$O$291,5,FALSE)="","",VLOOKUP($A75,'San Juan'!$A$8:$O$291,5,FALSE))</f>
        <v>Hioscina x 20 mg Amp x 1 ml</v>
      </c>
      <c r="J75" s="9" t="str">
        <f>IF(VLOOKUP($A75,'San Juan'!$A$8:$O$291,7,FALSE)="","",VLOOKUP($A75,'San Juan'!$A$8:$O$291,7,FALSE))</f>
        <v>Baja</v>
      </c>
      <c r="K75" s="9" t="str">
        <f>IF(VLOOKUP($A75,'San Juan'!$A$8:$O$291,6,FALSE)="","",VLOOKUP($A75,'San Juan'!$A$8:$O$291,6,FALSE))</f>
        <v>Revisar presentación</v>
      </c>
      <c r="L75" s="24" t="str">
        <f>IF(VLOOKUP($A75,Salta!$A$8:$O$291,4,FALSE)="","",VLOOKUP($A75,Salta!$A$8:$O$291,4,FALSE))</f>
        <v>51</v>
      </c>
      <c r="M75" s="9" t="str">
        <f>IF(VLOOKUP($A75,Salta!$A$8:$O$291,5,FALSE)="","",VLOOKUP($A75,Salta!$A$8:$O$291,5,FALSE))</f>
        <v>Hioscina Comprimidos x 10 mg</v>
      </c>
      <c r="N75" s="9" t="str">
        <f>IF(VLOOKUP($A75,Salta!$A$8:$O$291,7,FALSE)="","",VLOOKUP($A75,Salta!$A$8:$O$291,7,FALSE))</f>
        <v>Media</v>
      </c>
      <c r="O75" s="9" t="str">
        <f>IF(VLOOKUP($A75,Salta!$A$8:$O$291,6,FALSE)="","",VLOOKUP($A75,Salta!$A$8:$O$291,6,FALSE))</f>
        <v>Revisar datos</v>
      </c>
      <c r="P75" s="24" t="str">
        <f>IF(VLOOKUP($A75,Neuquén!$A$8:$O$291,15,FALSE)="Homologado",VLOOKUP($A75,Neuquén!$A$8:$O$291,10,FALSE),"")</f>
        <v/>
      </c>
      <c r="Q75" s="24" t="str">
        <f>IF(VLOOKUP($A75,'San Juan'!$A$8:$O$291,15,FALSE)="Homologado",VLOOKUP($A75,'San Juan'!$A$8:$O$291,10,FALSE),"")</f>
        <v/>
      </c>
      <c r="R75" s="24" t="str">
        <f>IF(VLOOKUP($A75,Salta!$A$8:$O$291,15,FALSE)="Homologado",VLOOKUP($A75,Salta!$A$8:$O$291,10,FALSE),"")</f>
        <v/>
      </c>
      <c r="S75" s="24" t="str">
        <f>IF(VLOOKUP($A75,'Master vs SAP'!$A$8:$O$291,4,FALSE)="","",VLOOKUP($A75,'Master vs SAP'!$A$8:$O$291,4,FALSE))</f>
        <v>1005326</v>
      </c>
      <c r="T75" s="9" t="str">
        <f>IF(VLOOKUP($A75,'Master vs SAP'!$A$8:$O$291,5,FALSE)="","",VLOOKUP($A75,'Master vs SAP'!$A$8:$O$291,5,FALSE))</f>
        <v>BUTIL BROMURO DE HIOSCINA 10MG COMP</v>
      </c>
      <c r="U75" s="9" t="str">
        <f>IF(VLOOKUP($A75,'Master vs SAP'!$A$8:$O$291,7,FALSE)="","",VLOOKUP($A75,'Master vs SAP'!$A$8:$O$291,7,FALSE))</f>
        <v>Alta</v>
      </c>
      <c r="V75" s="9" t="str">
        <f>IF(VLOOKUP($A75,'Master vs SAP'!$A$8:$O$291,6,FALSE)="","",VLOOKUP($A75,'Master vs SAP'!$A$8:$O$291,6,FALSE))</f>
        <v>Coincidencia</v>
      </c>
      <c r="W75" s="24" t="str">
        <f>IF(VLOOKUP($A75,'Master vs SAP'!$A$8:$O$291,15,FALSE)="Homologado",VLOOKUP($A75,'Master vs SAP'!$A$8:$O$291,10,FALSE),"")</f>
        <v/>
      </c>
    </row>
    <row r="76" spans="1:23" ht="61.95" customHeight="1">
      <c r="A76" s="9" t="s">
        <v>244</v>
      </c>
      <c r="B76" s="9" t="s">
        <v>108</v>
      </c>
      <c r="C76" s="9" t="s">
        <v>245</v>
      </c>
      <c r="D76" s="24" t="str">
        <f>IF(VLOOKUP($A76,Neuquén!$A$8:$O$291,4,FALSE)="","",VLOOKUP($A76,Neuquén!$A$8:$O$291,4,FALSE))</f>
        <v>504</v>
      </c>
      <c r="E76" s="9" t="str">
        <f>IF(VLOOKUP($A76,Neuquén!$A$8:$O$291,5,FALSE)="","",VLOOKUP($A76,Neuquén!$A$8:$O$291,5,FALSE))</f>
        <v>Hioscina+Dipirona</v>
      </c>
      <c r="F76" s="9" t="str">
        <f>IF(VLOOKUP($A76,Neuquén!$A$8:$O$291,7,FALSE)="","",VLOOKUP($A76,Neuquén!$A$8:$O$291,7,FALSE))</f>
        <v>Alta</v>
      </c>
      <c r="G76" s="9" t="str">
        <f>IF(VLOOKUP($A76,Neuquén!$A$8:$O$291,6,FALSE)="","",VLOOKUP($A76,Neuquén!$A$8:$O$291,6,FALSE))</f>
        <v>Coincidencia por validar</v>
      </c>
      <c r="H76" s="24" t="str">
        <f>IF(VLOOKUP($A76,'San Juan'!$A$8:$O$291,4,FALSE)="","",VLOOKUP($A76,'San Juan'!$A$8:$O$291,4,FALSE))</f>
        <v>MED100</v>
      </c>
      <c r="I76" s="9" t="str">
        <f>IF(VLOOKUP($A76,'San Juan'!$A$8:$O$291,5,FALSE)="","",VLOOKUP($A76,'San Juan'!$A$8:$O$291,5,FALSE))</f>
        <v>Hioscina x 20 mg Amp x 1 ml</v>
      </c>
      <c r="J76" s="9" t="str">
        <f>IF(VLOOKUP($A76,'San Juan'!$A$8:$O$291,7,FALSE)="","",VLOOKUP($A76,'San Juan'!$A$8:$O$291,7,FALSE))</f>
        <v>Media</v>
      </c>
      <c r="K76" s="9" t="str">
        <f>IF(VLOOKUP($A76,'San Juan'!$A$8:$O$291,6,FALSE)="","",VLOOKUP($A76,'San Juan'!$A$8:$O$291,6,FALSE))</f>
        <v>Código compartido: revisar</v>
      </c>
      <c r="L76" s="24" t="str">
        <f>IF(VLOOKUP($A76,Salta!$A$8:$O$291,4,FALSE)="","",VLOOKUP($A76,Salta!$A$8:$O$291,4,FALSE))</f>
        <v>50</v>
      </c>
      <c r="M76" s="9" t="str">
        <f>IF(VLOOKUP($A76,Salta!$A$8:$O$291,5,FALSE)="","",VLOOKUP($A76,Salta!$A$8:$O$291,5,FALSE))</f>
        <v>Hioscina 20mg + Dipirona 2500mg. 1 amp</v>
      </c>
      <c r="N76" s="9" t="str">
        <f>IF(VLOOKUP($A76,Salta!$A$8:$O$291,7,FALSE)="","",VLOOKUP($A76,Salta!$A$8:$O$291,7,FALSE))</f>
        <v>Alta</v>
      </c>
      <c r="O76" s="9" t="str">
        <f>IF(VLOOKUP($A76,Salta!$A$8:$O$291,6,FALSE)="","",VLOOKUP($A76,Salta!$A$8:$O$291,6,FALSE))</f>
        <v>Coincidencia</v>
      </c>
      <c r="P76" s="24" t="str">
        <f>IF(VLOOKUP($A76,Neuquén!$A$8:$O$291,15,FALSE)="Homologado",VLOOKUP($A76,Neuquén!$A$8:$O$291,10,FALSE),"")</f>
        <v/>
      </c>
      <c r="Q76" s="24" t="str">
        <f>IF(VLOOKUP($A76,'San Juan'!$A$8:$O$291,15,FALSE)="Homologado",VLOOKUP($A76,'San Juan'!$A$8:$O$291,10,FALSE),"")</f>
        <v/>
      </c>
      <c r="R76" s="24" t="str">
        <f>IF(VLOOKUP($A76,Salta!$A$8:$O$291,15,FALSE)="Homologado",VLOOKUP($A76,Salta!$A$8:$O$291,10,FALSE),"")</f>
        <v/>
      </c>
      <c r="S76" s="24" t="str">
        <f>IF(VLOOKUP($A76,'Master vs SAP'!$A$8:$O$291,4,FALSE)="","",VLOOKUP($A76,'Master vs SAP'!$A$8:$O$291,4,FALSE))</f>
        <v>1000684
1000244</v>
      </c>
      <c r="T76" s="9" t="str">
        <f>IF(VLOOKUP($A76,'Master vs SAP'!$A$8:$O$291,5,FALSE)="","",VLOOKUP($A76,'Master vs SAP'!$A$8:$O$291,5,FALSE))</f>
        <v>HIOSCINA+DIPIRONA AMP X 5 ML IV/IM
Hioscina Butilbromuro 10 mg,Dipirona AMP</v>
      </c>
      <c r="U76" s="9" t="str">
        <f>IF(VLOOKUP($A76,'Master vs SAP'!$A$8:$O$291,7,FALSE)="","",VLOOKUP($A76,'Master vs SAP'!$A$8:$O$291,7,FALSE))</f>
        <v>Alta</v>
      </c>
      <c r="V76" s="9" t="str">
        <f>IF(VLOOKUP($A76,'Master vs SAP'!$A$8:$O$291,6,FALSE)="","",VLOOKUP($A76,'Master vs SAP'!$A$8:$O$291,6,FALSE))</f>
        <v>Coincidencia</v>
      </c>
      <c r="W76" s="24" t="str">
        <f>IF(VLOOKUP($A76,'Master vs SAP'!$A$8:$O$291,15,FALSE)="Homologado",VLOOKUP($A76,'Master vs SAP'!$A$8:$O$291,10,FALSE),"")</f>
        <v/>
      </c>
    </row>
    <row r="77" spans="1:23" ht="61.95" customHeight="1">
      <c r="A77" s="9" t="s">
        <v>246</v>
      </c>
      <c r="B77" s="9" t="s">
        <v>108</v>
      </c>
      <c r="C77" s="9" t="s">
        <v>247</v>
      </c>
      <c r="D77" s="24" t="str">
        <f>IF(VLOOKUP($A77,Neuquén!$A$8:$O$291,4,FALSE)="","",VLOOKUP($A77,Neuquén!$A$8:$O$291,4,FALSE))</f>
        <v>170</v>
      </c>
      <c r="E77" s="9" t="str">
        <f>IF(VLOOKUP($A77,Neuquén!$A$8:$O$291,5,FALSE)="","",VLOOKUP($A77,Neuquén!$A$8:$O$291,5,FALSE))</f>
        <v>OMEPRAZOL 20 MG COMP</v>
      </c>
      <c r="F77" s="9" t="str">
        <f>IF(VLOOKUP($A77,Neuquén!$A$8:$O$291,7,FALSE)="","",VLOOKUP($A77,Neuquén!$A$8:$O$291,7,FALSE))</f>
        <v>Baja</v>
      </c>
      <c r="G77" s="9" t="str">
        <f>IF(VLOOKUP($A77,Neuquén!$A$8:$O$291,6,FALSE)="","",VLOOKUP($A77,Neuquén!$A$8:$O$291,6,FALSE))</f>
        <v>Revisar presentación</v>
      </c>
      <c r="H77" s="24" t="str">
        <f>IF(VLOOKUP($A77,'San Juan'!$A$8:$O$291,4,FALSE)="","",VLOOKUP($A77,'San Juan'!$A$8:$O$291,4,FALSE))</f>
        <v>MED147</v>
      </c>
      <c r="I77" s="9" t="str">
        <f>IF(VLOOKUP($A77,'San Juan'!$A$8:$O$291,5,FALSE)="","",VLOOKUP($A77,'San Juan'!$A$8:$O$291,5,FALSE))</f>
        <v>Omeprazol 40 mg Fco amp polvo p/ rest</v>
      </c>
      <c r="J77" s="9" t="str">
        <f>IF(VLOOKUP($A77,'San Juan'!$A$8:$O$291,7,FALSE)="","",VLOOKUP($A77,'San Juan'!$A$8:$O$291,7,FALSE))</f>
        <v>Alta</v>
      </c>
      <c r="K77" s="9" t="str">
        <f>IF(VLOOKUP($A77,'San Juan'!$A$8:$O$291,6,FALSE)="","",VLOOKUP($A77,'San Juan'!$A$8:$O$291,6,FALSE))</f>
        <v>Coincidencia por validar</v>
      </c>
      <c r="L77" s="24" t="str">
        <f>IF(VLOOKUP($A77,Salta!$A$8:$O$291,4,FALSE)="","",VLOOKUP($A77,Salta!$A$8:$O$291,4,FALSE))</f>
        <v>191</v>
      </c>
      <c r="M77" s="9" t="str">
        <f>IF(VLOOKUP($A77,Salta!$A$8:$O$291,5,FALSE)="","",VLOOKUP($A77,Salta!$A$8:$O$291,5,FALSE))</f>
        <v>Omeprazol 1 fco amp polvo p/rest 40mg/ml</v>
      </c>
      <c r="N77" s="9" t="str">
        <f>IF(VLOOKUP($A77,Salta!$A$8:$O$291,7,FALSE)="","",VLOOKUP($A77,Salta!$A$8:$O$291,7,FALSE))</f>
        <v>Media</v>
      </c>
      <c r="O77" s="9" t="str">
        <f>IF(VLOOKUP($A77,Salta!$A$8:$O$291,6,FALSE)="","",VLOOKUP($A77,Salta!$A$8:$O$291,6,FALSE))</f>
        <v>Revisar datos</v>
      </c>
      <c r="P77" s="24" t="str">
        <f>IF(VLOOKUP($A77,Neuquén!$A$8:$O$291,15,FALSE)="Homologado",VLOOKUP($A77,Neuquén!$A$8:$O$291,10,FALSE),"")</f>
        <v/>
      </c>
      <c r="Q77" s="24" t="str">
        <f>IF(VLOOKUP($A77,'San Juan'!$A$8:$O$291,15,FALSE)="Homologado",VLOOKUP($A77,'San Juan'!$A$8:$O$291,10,FALSE),"")</f>
        <v/>
      </c>
      <c r="R77" s="24" t="str">
        <f>IF(VLOOKUP($A77,Salta!$A$8:$O$291,15,FALSE)="Homologado",VLOOKUP($A77,Salta!$A$8:$O$291,10,FALSE),"")</f>
        <v/>
      </c>
      <c r="S77" s="24" t="str">
        <f>IF(VLOOKUP($A77,'Master vs SAP'!$A$8:$O$291,4,FALSE)="","",VLOOKUP($A77,'Master vs SAP'!$A$8:$O$291,4,FALSE))</f>
        <v>1000524</v>
      </c>
      <c r="T77" s="9" t="str">
        <f>IF(VLOOKUP($A77,'Master vs SAP'!$A$8:$O$291,5,FALSE)="","",VLOOKUP($A77,'Master vs SAP'!$A$8:$O$291,5,FALSE))</f>
        <v>OMEPRAZOL DE 40 MG AMPOLLAS</v>
      </c>
      <c r="U77" s="9" t="str">
        <f>IF(VLOOKUP($A77,'Master vs SAP'!$A$8:$O$291,7,FALSE)="","",VLOOKUP($A77,'Master vs SAP'!$A$8:$O$291,7,FALSE))</f>
        <v>Media</v>
      </c>
      <c r="V77" s="9" t="str">
        <f>IF(VLOOKUP($A77,'Master vs SAP'!$A$8:$O$291,6,FALSE)="","",VLOOKUP($A77,'Master vs SAP'!$A$8:$O$291,6,FALSE))</f>
        <v>Revisar datos</v>
      </c>
      <c r="W77" s="24" t="str">
        <f>IF(VLOOKUP($A77,'Master vs SAP'!$A$8:$O$291,15,FALSE)="Homologado",VLOOKUP($A77,'Master vs SAP'!$A$8:$O$291,10,FALSE),"")</f>
        <v/>
      </c>
    </row>
    <row r="78" spans="1:23" ht="61.95" customHeight="1">
      <c r="A78" s="9" t="s">
        <v>248</v>
      </c>
      <c r="B78" s="9" t="s">
        <v>108</v>
      </c>
      <c r="C78" s="9" t="s">
        <v>249</v>
      </c>
      <c r="D78" s="24" t="str">
        <f>IF(VLOOKUP($A78,Neuquén!$A$8:$O$291,4,FALSE)="","",VLOOKUP($A78,Neuquén!$A$8:$O$291,4,FALSE))</f>
        <v>170</v>
      </c>
      <c r="E78" s="9" t="str">
        <f>IF(VLOOKUP($A78,Neuquén!$A$8:$O$291,5,FALSE)="","",VLOOKUP($A78,Neuquén!$A$8:$O$291,5,FALSE))</f>
        <v>OMEPRAZOL20MGCOMP</v>
      </c>
      <c r="F78" s="9" t="str">
        <f>IF(VLOOKUP($A78,Neuquén!$A$8:$O$291,7,FALSE)="","",VLOOKUP($A78,Neuquén!$A$8:$O$291,7,FALSE))</f>
        <v>Media</v>
      </c>
      <c r="G78" s="9" t="str">
        <f>IF(VLOOKUP($A78,Neuquén!$A$8:$O$291,6,FALSE)="","",VLOOKUP($A78,Neuquén!$A$8:$O$291,6,FALSE))</f>
        <v>Código compartido: revisar</v>
      </c>
      <c r="H78" s="24" t="str">
        <f>IF(VLOOKUP($A78,'San Juan'!$A$8:$O$291,4,FALSE)="","",VLOOKUP($A78,'San Juan'!$A$8:$O$291,4,FALSE))</f>
        <v>MED148</v>
      </c>
      <c r="I78" s="9" t="str">
        <f>IF(VLOOKUP($A78,'San Juan'!$A$8:$O$291,5,FALSE)="","",VLOOKUP($A78,'San Juan'!$A$8:$O$291,5,FALSE))</f>
        <v>Omeprazol Comp x 20 mg</v>
      </c>
      <c r="J78" s="9" t="str">
        <f>IF(VLOOKUP($A78,'San Juan'!$A$8:$O$291,7,FALSE)="","",VLOOKUP($A78,'San Juan'!$A$8:$O$291,7,FALSE))</f>
        <v>Alta</v>
      </c>
      <c r="K78" s="9" t="str">
        <f>IF(VLOOKUP($A78,'San Juan'!$A$8:$O$291,6,FALSE)="","",VLOOKUP($A78,'San Juan'!$A$8:$O$291,6,FALSE))</f>
        <v>Coincidencia por validar</v>
      </c>
      <c r="L78" s="24" t="str">
        <f>IF(VLOOKUP($A78,Salta!$A$8:$O$291,4,FALSE)="","",VLOOKUP($A78,Salta!$A$8:$O$291,4,FALSE))</f>
        <v>192</v>
      </c>
      <c r="M78" s="9" t="str">
        <f>IF(VLOOKUP($A78,Salta!$A$8:$O$291,5,FALSE)="","",VLOOKUP($A78,Salta!$A$8:$O$291,5,FALSE))</f>
        <v>Omeprazol comp Comprimidos x 20mg</v>
      </c>
      <c r="N78" s="9" t="str">
        <f>IF(VLOOKUP($A78,Salta!$A$8:$O$291,7,FALSE)="","",VLOOKUP($A78,Salta!$A$8:$O$291,7,FALSE))</f>
        <v>Alta</v>
      </c>
      <c r="O78" s="9" t="str">
        <f>IF(VLOOKUP($A78,Salta!$A$8:$O$291,6,FALSE)="","",VLOOKUP($A78,Salta!$A$8:$O$291,6,FALSE))</f>
        <v>Coincidencia</v>
      </c>
      <c r="P78" s="24" t="str">
        <f>IF(VLOOKUP($A78,Neuquén!$A$8:$O$291,15,FALSE)="Homologado",VLOOKUP($A78,Neuquén!$A$8:$O$291,10,FALSE),"")</f>
        <v/>
      </c>
      <c r="Q78" s="24" t="str">
        <f>IF(VLOOKUP($A78,'San Juan'!$A$8:$O$291,15,FALSE)="Homologado",VLOOKUP($A78,'San Juan'!$A$8:$O$291,10,FALSE),"")</f>
        <v/>
      </c>
      <c r="R78" s="24" t="str">
        <f>IF(VLOOKUP($A78,Salta!$A$8:$O$291,15,FALSE)="Homologado",VLOOKUP($A78,Salta!$A$8:$O$291,10,FALSE),"")</f>
        <v/>
      </c>
      <c r="S78" s="24" t="str">
        <f>IF(VLOOKUP($A78,'Master vs SAP'!$A$8:$O$291,4,FALSE)="","",VLOOKUP($A78,'Master vs SAP'!$A$8:$O$291,4,FALSE))</f>
        <v>1000133</v>
      </c>
      <c r="T78" s="9" t="str">
        <f>IF(VLOOKUP($A78,'Master vs SAP'!$A$8:$O$291,5,FALSE)="","",VLOOKUP($A78,'Master vs SAP'!$A$8:$O$291,5,FALSE))</f>
        <v>OMEPRAZOL DE 20MG COMPRIMIDOS</v>
      </c>
      <c r="U78" s="9" t="str">
        <f>IF(VLOOKUP($A78,'Master vs SAP'!$A$8:$O$291,7,FALSE)="","",VLOOKUP($A78,'Master vs SAP'!$A$8:$O$291,7,FALSE))</f>
        <v>Alta</v>
      </c>
      <c r="V78" s="9" t="str">
        <f>IF(VLOOKUP($A78,'Master vs SAP'!$A$8:$O$291,6,FALSE)="","",VLOOKUP($A78,'Master vs SAP'!$A$8:$O$291,6,FALSE))</f>
        <v>Coincidencia</v>
      </c>
      <c r="W78" s="24" t="str">
        <f>IF(VLOOKUP($A78,'Master vs SAP'!$A$8:$O$291,15,FALSE)="Homologado",VLOOKUP($A78,'Master vs SAP'!$A$8:$O$291,10,FALSE),"")</f>
        <v/>
      </c>
    </row>
    <row r="79" spans="1:23" ht="61.95" customHeight="1">
      <c r="A79" s="9" t="s">
        <v>250</v>
      </c>
      <c r="B79" s="9" t="s">
        <v>108</v>
      </c>
      <c r="C79" s="9" t="s">
        <v>251</v>
      </c>
      <c r="D79" s="24" t="str">
        <f>IF(VLOOKUP($A79,Neuquén!$A$8:$O$291,4,FALSE)="","",VLOOKUP($A79,Neuquén!$A$8:$O$291,4,FALSE))</f>
        <v>505</v>
      </c>
      <c r="E79" s="9" t="str">
        <f>IF(VLOOKUP($A79,Neuquén!$A$8:$O$291,5,FALSE)="","",VLOOKUP($A79,Neuquén!$A$8:$O$291,5,FALSE))</f>
        <v>Famotidina</v>
      </c>
      <c r="F79" s="9" t="str">
        <f>IF(VLOOKUP($A79,Neuquén!$A$8:$O$291,7,FALSE)="","",VLOOKUP($A79,Neuquén!$A$8:$O$291,7,FALSE))</f>
        <v>Alta</v>
      </c>
      <c r="G79" s="9" t="str">
        <f>IF(VLOOKUP($A79,Neuquén!$A$8:$O$291,6,FALSE)="","",VLOOKUP($A79,Neuquén!$A$8:$O$291,6,FALSE))</f>
        <v>Coincidencia por validar</v>
      </c>
      <c r="H79" s="24" t="str">
        <f>IF(VLOOKUP($A79,'San Juan'!$A$8:$O$291,4,FALSE)="","",VLOOKUP($A79,'San Juan'!$A$8:$O$291,4,FALSE))</f>
        <v>MED78</v>
      </c>
      <c r="I79" s="9" t="str">
        <f>IF(VLOOKUP($A79,'San Juan'!$A$8:$O$291,5,FALSE)="","",VLOOKUP($A79,'San Juan'!$A$8:$O$291,5,FALSE))</f>
        <v>Famotidina Comp x 20 mg</v>
      </c>
      <c r="J79" s="9" t="str">
        <f>IF(VLOOKUP($A79,'San Juan'!$A$8:$O$291,7,FALSE)="","",VLOOKUP($A79,'San Juan'!$A$8:$O$291,7,FALSE))</f>
        <v>Alta</v>
      </c>
      <c r="K79" s="9" t="str">
        <f>IF(VLOOKUP($A79,'San Juan'!$A$8:$O$291,6,FALSE)="","",VLOOKUP($A79,'San Juan'!$A$8:$O$291,6,FALSE))</f>
        <v>Coincidencia por validar</v>
      </c>
      <c r="L79" s="24" t="str">
        <f>IF(VLOOKUP($A79,Salta!$A$8:$O$291,4,FALSE)="","",VLOOKUP($A79,Salta!$A$8:$O$291,4,FALSE))</f>
        <v/>
      </c>
      <c r="M79" s="9" t="str">
        <f>IF(VLOOKUP($A79,Salta!$A$8:$O$291,5,FALSE)="","",VLOOKUP($A79,Salta!$A$8:$O$291,5,FALSE))</f>
        <v/>
      </c>
      <c r="N79" s="9" t="str">
        <f>IF(VLOOKUP($A79,Salta!$A$8:$O$291,7,FALSE)="","",VLOOKUP($A79,Salta!$A$8:$O$291,7,FALSE))</f>
        <v>Sin coincidencia</v>
      </c>
      <c r="O79" s="9" t="str">
        <f>IF(VLOOKUP($A79,Salta!$A$8:$O$291,6,FALSE)="","",VLOOKUP($A79,Salta!$A$8:$O$291,6,FALSE))</f>
        <v>Sin coincidencia</v>
      </c>
      <c r="P79" s="24" t="str">
        <f>IF(VLOOKUP($A79,Neuquén!$A$8:$O$291,15,FALSE)="Homologado",VLOOKUP($A79,Neuquén!$A$8:$O$291,10,FALSE),"")</f>
        <v/>
      </c>
      <c r="Q79" s="24" t="str">
        <f>IF(VLOOKUP($A79,'San Juan'!$A$8:$O$291,15,FALSE)="Homologado",VLOOKUP($A79,'San Juan'!$A$8:$O$291,10,FALSE),"")</f>
        <v/>
      </c>
      <c r="R79" s="24" t="str">
        <f>IF(VLOOKUP($A79,Salta!$A$8:$O$291,15,FALSE)="Homologado",VLOOKUP($A79,Salta!$A$8:$O$291,10,FALSE),"")</f>
        <v/>
      </c>
      <c r="S79" s="24" t="str">
        <f>IF(VLOOKUP($A79,'Master vs SAP'!$A$8:$O$291,4,FALSE)="","",VLOOKUP($A79,'Master vs SAP'!$A$8:$O$291,4,FALSE))</f>
        <v>1000667</v>
      </c>
      <c r="T79" s="9" t="str">
        <f>IF(VLOOKUP($A79,'Master vs SAP'!$A$8:$O$291,5,FALSE)="","",VLOOKUP($A79,'Master vs SAP'!$A$8:$O$291,5,FALSE))</f>
        <v>FAMOTIDINA 20MG COMP.</v>
      </c>
      <c r="U79" s="9" t="str">
        <f>IF(VLOOKUP($A79,'Master vs SAP'!$A$8:$O$291,7,FALSE)="","",VLOOKUP($A79,'Master vs SAP'!$A$8:$O$291,7,FALSE))</f>
        <v>Alta</v>
      </c>
      <c r="V79" s="9" t="str">
        <f>IF(VLOOKUP($A79,'Master vs SAP'!$A$8:$O$291,6,FALSE)="","",VLOOKUP($A79,'Master vs SAP'!$A$8:$O$291,6,FALSE))</f>
        <v>Coincidencia</v>
      </c>
      <c r="W79" s="24" t="str">
        <f>IF(VLOOKUP($A79,'Master vs SAP'!$A$8:$O$291,15,FALSE)="Homologado",VLOOKUP($A79,'Master vs SAP'!$A$8:$O$291,10,FALSE),"")</f>
        <v/>
      </c>
    </row>
    <row r="80" spans="1:23" ht="61.95" customHeight="1">
      <c r="A80" s="9" t="s">
        <v>252</v>
      </c>
      <c r="B80" s="9" t="s">
        <v>108</v>
      </c>
      <c r="C80" s="9" t="s">
        <v>253</v>
      </c>
      <c r="D80" s="24" t="str">
        <f>IF(VLOOKUP($A80,Neuquén!$A$8:$O$291,4,FALSE)="","",VLOOKUP($A80,Neuquén!$A$8:$O$291,4,FALSE))</f>
        <v>506</v>
      </c>
      <c r="E80" s="9" t="str">
        <f>IF(VLOOKUP($A80,Neuquén!$A$8:$O$291,5,FALSE)="","",VLOOKUP($A80,Neuquén!$A$8:$O$291,5,FALSE))</f>
        <v>Al/Mghidroxido</v>
      </c>
      <c r="F80" s="9" t="str">
        <f>IF(VLOOKUP($A80,Neuquén!$A$8:$O$291,7,FALSE)="","",VLOOKUP($A80,Neuquén!$A$8:$O$291,7,FALSE))</f>
        <v>Alta</v>
      </c>
      <c r="G80" s="9" t="str">
        <f>IF(VLOOKUP($A80,Neuquén!$A$8:$O$291,6,FALSE)="","",VLOOKUP($A80,Neuquén!$A$8:$O$291,6,FALSE))</f>
        <v>Coincidencia por validar</v>
      </c>
      <c r="H80" s="24" t="str">
        <f>IF(VLOOKUP($A80,'San Juan'!$A$8:$O$291,4,FALSE)="","",VLOOKUP($A80,'San Juan'!$A$8:$O$291,4,FALSE))</f>
        <v/>
      </c>
      <c r="I80" s="9" t="str">
        <f>IF(VLOOKUP($A80,'San Juan'!$A$8:$O$291,5,FALSE)="","",VLOOKUP($A80,'San Juan'!$A$8:$O$291,5,FALSE))</f>
        <v/>
      </c>
      <c r="J80" s="9" t="str">
        <f>IF(VLOOKUP($A80,'San Juan'!$A$8:$O$291,7,FALSE)="","",VLOOKUP($A80,'San Juan'!$A$8:$O$291,7,FALSE))</f>
        <v>Sin coincidencia</v>
      </c>
      <c r="K80" s="9" t="str">
        <f>IF(VLOOKUP($A80,'San Juan'!$A$8:$O$291,6,FALSE)="","",VLOOKUP($A80,'San Juan'!$A$8:$O$291,6,FALSE))</f>
        <v>Sin código encontrado</v>
      </c>
      <c r="L80" s="24" t="str">
        <f>IF(VLOOKUP($A80,Salta!$A$8:$O$291,4,FALSE)="","",VLOOKUP($A80,Salta!$A$8:$O$291,4,FALSE))</f>
        <v>144</v>
      </c>
      <c r="M80" s="9" t="str">
        <f>IF(VLOOKUP($A80,Salta!$A$8:$O$291,5,FALSE)="","",VLOOKUP($A80,Salta!$A$8:$O$291,5,FALSE))</f>
        <v>Mylanta masticable (Hidroxido Al + Hidróxido Mg)</v>
      </c>
      <c r="N80" s="9" t="str">
        <f>IF(VLOOKUP($A80,Salta!$A$8:$O$291,7,FALSE)="","",VLOOKUP($A80,Salta!$A$8:$O$291,7,FALSE))</f>
        <v>Alta</v>
      </c>
      <c r="O80" s="9" t="str">
        <f>IF(VLOOKUP($A80,Salta!$A$8:$O$291,6,FALSE)="","",VLOOKUP($A80,Salta!$A$8:$O$291,6,FALSE))</f>
        <v>Coincidencia</v>
      </c>
      <c r="P80" s="24" t="str">
        <f>IF(VLOOKUP($A80,Neuquén!$A$8:$O$291,15,FALSE)="Homologado",VLOOKUP($A80,Neuquén!$A$8:$O$291,10,FALSE),"")</f>
        <v/>
      </c>
      <c r="Q80" s="24" t="str">
        <f>IF(VLOOKUP($A80,'San Juan'!$A$8:$O$291,15,FALSE)="Homologado",VLOOKUP($A80,'San Juan'!$A$8:$O$291,10,FALSE),"")</f>
        <v/>
      </c>
      <c r="R80" s="24" t="str">
        <f>IF(VLOOKUP($A80,Salta!$A$8:$O$291,15,FALSE)="Homologado",VLOOKUP($A80,Salta!$A$8:$O$291,10,FALSE),"")</f>
        <v/>
      </c>
      <c r="S80" s="24" t="str">
        <f>IF(VLOOKUP($A80,'Master vs SAP'!$A$8:$O$291,4,FALSE)="","",VLOOKUP($A80,'Master vs SAP'!$A$8:$O$291,4,FALSE))</f>
        <v>1000183
1001267</v>
      </c>
      <c r="T80" s="9" t="str">
        <f>IF(VLOOKUP($A80,'Master vs SAP'!$A$8:$O$291,5,FALSE)="","",VLOOKUP($A80,'Master vs SAP'!$A$8:$O$291,5,FALSE))</f>
        <v>MYLANTA TABLETAS COMPRIMIDOS
AMYLANTA COMP MAST FRUTI X24</v>
      </c>
      <c r="U80" s="9" t="str">
        <f>IF(VLOOKUP($A80,'Master vs SAP'!$A$8:$O$291,7,FALSE)="","",VLOOKUP($A80,'Master vs SAP'!$A$8:$O$291,7,FALSE))</f>
        <v>Media</v>
      </c>
      <c r="V80" s="9" t="str">
        <f>IF(VLOOKUP($A80,'Master vs SAP'!$A$8:$O$291,6,FALSE)="","",VLOOKUP($A80,'Master vs SAP'!$A$8:$O$291,6,FALSE))</f>
        <v>Revisar datos</v>
      </c>
      <c r="W80" s="24" t="str">
        <f>IF(VLOOKUP($A80,'Master vs SAP'!$A$8:$O$291,15,FALSE)="Homologado",VLOOKUP($A80,'Master vs SAP'!$A$8:$O$291,10,FALSE),"")</f>
        <v/>
      </c>
    </row>
    <row r="81" spans="1:23" ht="61.95" customHeight="1">
      <c r="A81" s="9" t="s">
        <v>254</v>
      </c>
      <c r="B81" s="9" t="s">
        <v>108</v>
      </c>
      <c r="C81" s="9" t="s">
        <v>255</v>
      </c>
      <c r="D81" s="24" t="str">
        <f>IF(VLOOKUP($A81,Neuquén!$A$8:$O$291,4,FALSE)="","",VLOOKUP($A81,Neuquén!$A$8:$O$291,4,FALSE))</f>
        <v>152</v>
      </c>
      <c r="E81" s="9" t="str">
        <f>IF(VLOOKUP($A81,Neuquén!$A$8:$O$291,5,FALSE)="","",VLOOKUP($A81,Neuquén!$A$8:$O$291,5,FALSE))</f>
        <v>LOPERAMIDACOMP</v>
      </c>
      <c r="F81" s="9" t="str">
        <f>IF(VLOOKUP($A81,Neuquén!$A$8:$O$291,7,FALSE)="","",VLOOKUP($A81,Neuquén!$A$8:$O$291,7,FALSE))</f>
        <v>Media</v>
      </c>
      <c r="G81" s="9" t="str">
        <f>IF(VLOOKUP($A81,Neuquén!$A$8:$O$291,6,FALSE)="","",VLOOKUP($A81,Neuquén!$A$8:$O$291,6,FALSE))</f>
        <v>Equivalencia a revisar</v>
      </c>
      <c r="H81" s="24" t="str">
        <f>IF(VLOOKUP($A81,'San Juan'!$A$8:$O$291,4,FALSE)="","",VLOOKUP($A81,'San Juan'!$A$8:$O$291,4,FALSE))</f>
        <v/>
      </c>
      <c r="I81" s="9" t="str">
        <f>IF(VLOOKUP($A81,'San Juan'!$A$8:$O$291,5,FALSE)="","",VLOOKUP($A81,'San Juan'!$A$8:$O$291,5,FALSE))</f>
        <v/>
      </c>
      <c r="J81" s="9" t="str">
        <f>IF(VLOOKUP($A81,'San Juan'!$A$8:$O$291,7,FALSE)="","",VLOOKUP($A81,'San Juan'!$A$8:$O$291,7,FALSE))</f>
        <v>Sin coincidencia</v>
      </c>
      <c r="K81" s="9" t="str">
        <f>IF(VLOOKUP($A81,'San Juan'!$A$8:$O$291,6,FALSE)="","",VLOOKUP($A81,'San Juan'!$A$8:$O$291,6,FALSE))</f>
        <v>Sin código encontrado</v>
      </c>
      <c r="L81" s="24" t="str">
        <f>IF(VLOOKUP($A81,Salta!$A$8:$O$291,4,FALSE)="","",VLOOKUP($A81,Salta!$A$8:$O$291,4,FALSE))</f>
        <v>172</v>
      </c>
      <c r="M81" s="9" t="str">
        <f>IF(VLOOKUP($A81,Salta!$A$8:$O$291,5,FALSE)="","",VLOOKUP($A81,Salta!$A$8:$O$291,5,FALSE))</f>
        <v>Loperamida Comprimidos x 2mg</v>
      </c>
      <c r="N81" s="9" t="str">
        <f>IF(VLOOKUP($A81,Salta!$A$8:$O$291,7,FALSE)="","",VLOOKUP($A81,Salta!$A$8:$O$291,7,FALSE))</f>
        <v>Alta</v>
      </c>
      <c r="O81" s="9" t="str">
        <f>IF(VLOOKUP($A81,Salta!$A$8:$O$291,6,FALSE)="","",VLOOKUP($A81,Salta!$A$8:$O$291,6,FALSE))</f>
        <v>Coincidencia</v>
      </c>
      <c r="P81" s="24" t="str">
        <f>IF(VLOOKUP($A81,Neuquén!$A$8:$O$291,15,FALSE)="Homologado",VLOOKUP($A81,Neuquén!$A$8:$O$291,10,FALSE),"")</f>
        <v/>
      </c>
      <c r="Q81" s="24" t="str">
        <f>IF(VLOOKUP($A81,'San Juan'!$A$8:$O$291,15,FALSE)="Homologado",VLOOKUP($A81,'San Juan'!$A$8:$O$291,10,FALSE),"")</f>
        <v/>
      </c>
      <c r="R81" s="24" t="str">
        <f>IF(VLOOKUP($A81,Salta!$A$8:$O$291,15,FALSE)="Homologado",VLOOKUP($A81,Salta!$A$8:$O$291,10,FALSE),"")</f>
        <v/>
      </c>
      <c r="S81" s="24" t="str">
        <f>IF(VLOOKUP($A81,'Master vs SAP'!$A$8:$O$291,4,FALSE)="","",VLOOKUP($A81,'Master vs SAP'!$A$8:$O$291,4,FALSE))</f>
        <v>1000597</v>
      </c>
      <c r="T81" s="9" t="str">
        <f>IF(VLOOKUP($A81,'Master vs SAP'!$A$8:$O$291,5,FALSE)="","",VLOOKUP($A81,'Master vs SAP'!$A$8:$O$291,5,FALSE))</f>
        <v>LOPERAMIDA 2MG COMPRIMIDO</v>
      </c>
      <c r="U81" s="9" t="str">
        <f>IF(VLOOKUP($A81,'Master vs SAP'!$A$8:$O$291,7,FALSE)="","",VLOOKUP($A81,'Master vs SAP'!$A$8:$O$291,7,FALSE))</f>
        <v>Alta</v>
      </c>
      <c r="V81" s="9" t="str">
        <f>IF(VLOOKUP($A81,'Master vs SAP'!$A$8:$O$291,6,FALSE)="","",VLOOKUP($A81,'Master vs SAP'!$A$8:$O$291,6,FALSE))</f>
        <v>Coincidencia</v>
      </c>
      <c r="W81" s="24" t="str">
        <f>IF(VLOOKUP($A81,'Master vs SAP'!$A$8:$O$291,15,FALSE)="Homologado",VLOOKUP($A81,'Master vs SAP'!$A$8:$O$291,10,FALSE),"")</f>
        <v/>
      </c>
    </row>
    <row r="82" spans="1:23" ht="61.95" customHeight="1">
      <c r="A82" s="9" t="s">
        <v>256</v>
      </c>
      <c r="B82" s="9" t="s">
        <v>108</v>
      </c>
      <c r="C82" s="9" t="s">
        <v>257</v>
      </c>
      <c r="D82" s="24" t="str">
        <f>IF(VLOOKUP($A82,Neuquén!$A$8:$O$291,4,FALSE)="","",VLOOKUP($A82,Neuquén!$A$8:$O$291,4,FALSE))</f>
        <v>507</v>
      </c>
      <c r="E82" s="9" t="str">
        <f>IF(VLOOKUP($A82,Neuquén!$A$8:$O$291,5,FALSE)="","",VLOOKUP($A82,Neuquén!$A$8:$O$291,5,FALSE))</f>
        <v>Trimebutina+Simeticona</v>
      </c>
      <c r="F82" s="9" t="str">
        <f>IF(VLOOKUP($A82,Neuquén!$A$8:$O$291,7,FALSE)="","",VLOOKUP($A82,Neuquén!$A$8:$O$291,7,FALSE))</f>
        <v>Alta</v>
      </c>
      <c r="G82" s="9" t="str">
        <f>IF(VLOOKUP($A82,Neuquén!$A$8:$O$291,6,FALSE)="","",VLOOKUP($A82,Neuquén!$A$8:$O$291,6,FALSE))</f>
        <v>Coincidencia por validar</v>
      </c>
      <c r="H82" s="24" t="str">
        <f>IF(VLOOKUP($A82,'San Juan'!$A$8:$O$291,4,FALSE)="","",VLOOKUP($A82,'San Juan'!$A$8:$O$291,4,FALSE))</f>
        <v>DESC150</v>
      </c>
      <c r="I82" s="9" t="str">
        <f>IF(VLOOKUP($A82,'San Juan'!$A$8:$O$291,5,FALSE)="","",VLOOKUP($A82,'San Juan'!$A$8:$O$291,5,FALSE))</f>
        <v>Trimebutina / Simeticona comp</v>
      </c>
      <c r="J82" s="9" t="str">
        <f>IF(VLOOKUP($A82,'San Juan'!$A$8:$O$291,7,FALSE)="","",VLOOKUP($A82,'San Juan'!$A$8:$O$291,7,FALSE))</f>
        <v>Alta</v>
      </c>
      <c r="K82" s="9" t="str">
        <f>IF(VLOOKUP($A82,'San Juan'!$A$8:$O$291,6,FALSE)="","",VLOOKUP($A82,'San Juan'!$A$8:$O$291,6,FALSE))</f>
        <v>Coincidencia por validar</v>
      </c>
      <c r="L82" s="24" t="str">
        <f>IF(VLOOKUP($A82,Salta!$A$8:$O$291,4,FALSE)="","",VLOOKUP($A82,Salta!$A$8:$O$291,4,FALSE))</f>
        <v>241</v>
      </c>
      <c r="M82" s="9" t="str">
        <f>IF(VLOOKUP($A82,Salta!$A$8:$O$291,5,FALSE)="","",VLOOKUP($A82,Salta!$A$8:$O$291,5,FALSE))</f>
        <v>Trimebutina-Simeticona comprimido x200mg /120mg</v>
      </c>
      <c r="N82" s="9" t="str">
        <f>IF(VLOOKUP($A82,Salta!$A$8:$O$291,7,FALSE)="","",VLOOKUP($A82,Salta!$A$8:$O$291,7,FALSE))</f>
        <v>Alta</v>
      </c>
      <c r="O82" s="9" t="str">
        <f>IF(VLOOKUP($A82,Salta!$A$8:$O$291,6,FALSE)="","",VLOOKUP($A82,Salta!$A$8:$O$291,6,FALSE))</f>
        <v>Coincidencia</v>
      </c>
      <c r="P82" s="24" t="str">
        <f>IF(VLOOKUP($A82,Neuquén!$A$8:$O$291,15,FALSE)="Homologado",VLOOKUP($A82,Neuquén!$A$8:$O$291,10,FALSE),"")</f>
        <v/>
      </c>
      <c r="Q82" s="24" t="str">
        <f>IF(VLOOKUP($A82,'San Juan'!$A$8:$O$291,15,FALSE)="Homologado",VLOOKUP($A82,'San Juan'!$A$8:$O$291,10,FALSE),"")</f>
        <v/>
      </c>
      <c r="R82" s="24" t="str">
        <f>IF(VLOOKUP($A82,Salta!$A$8:$O$291,15,FALSE)="Homologado",VLOOKUP($A82,Salta!$A$8:$O$291,10,FALSE),"")</f>
        <v/>
      </c>
      <c r="S82" s="24" t="str">
        <f>IF(VLOOKUP($A82,'Master vs SAP'!$A$8:$O$291,4,FALSE)="","",VLOOKUP($A82,'Master vs SAP'!$A$8:$O$291,4,FALSE))</f>
        <v>1001039</v>
      </c>
      <c r="T82" s="9" t="str">
        <f>IF(VLOOKUP($A82,'Master vs SAP'!$A$8:$O$291,5,FALSE)="","",VLOOKUP($A82,'Master vs SAP'!$A$8:$O$291,5,FALSE))</f>
        <v>TRIMEBUTINA+SIMETICONA 200MG/120MG 30 CO</v>
      </c>
      <c r="U82" s="9" t="str">
        <f>IF(VLOOKUP($A82,'Master vs SAP'!$A$8:$O$291,7,FALSE)="","",VLOOKUP($A82,'Master vs SAP'!$A$8:$O$291,7,FALSE))</f>
        <v>Alta</v>
      </c>
      <c r="V82" s="9" t="str">
        <f>IF(VLOOKUP($A82,'Master vs SAP'!$A$8:$O$291,6,FALSE)="","",VLOOKUP($A82,'Master vs SAP'!$A$8:$O$291,6,FALSE))</f>
        <v>Coincidencia</v>
      </c>
      <c r="W82" s="24" t="str">
        <f>IF(VLOOKUP($A82,'Master vs SAP'!$A$8:$O$291,15,FALSE)="Homologado",VLOOKUP($A82,'Master vs SAP'!$A$8:$O$291,10,FALSE),"")</f>
        <v/>
      </c>
    </row>
    <row r="83" spans="1:23" ht="61.95" customHeight="1">
      <c r="A83" s="9" t="s">
        <v>258</v>
      </c>
      <c r="B83" s="9" t="s">
        <v>108</v>
      </c>
      <c r="C83" s="9" t="s">
        <v>259</v>
      </c>
      <c r="D83" s="24" t="str">
        <f>IF(VLOOKUP($A83,Neuquén!$A$8:$O$291,4,FALSE)="","",VLOOKUP($A83,Neuquén!$A$8:$O$291,4,FALSE))</f>
        <v>401</v>
      </c>
      <c r="E83" s="9" t="str">
        <f>IF(VLOOKUP($A83,Neuquén!$A$8:$O$291,5,FALSE)="","",VLOOKUP($A83,Neuquén!$A$8:$O$291,5,FALSE))</f>
        <v>SALESDEREHIDRATACIONORALX28GS</v>
      </c>
      <c r="F83" s="9" t="str">
        <f>IF(VLOOKUP($A83,Neuquén!$A$8:$O$291,7,FALSE)="","",VLOOKUP($A83,Neuquén!$A$8:$O$291,7,FALSE))</f>
        <v>Alta</v>
      </c>
      <c r="G83" s="9" t="str">
        <f>IF(VLOOKUP($A83,Neuquén!$A$8:$O$291,6,FALSE)="","",VLOOKUP($A83,Neuquén!$A$8:$O$291,6,FALSE))</f>
        <v>Coincidencia por validar</v>
      </c>
      <c r="H83" s="24" t="str">
        <f>IF(VLOOKUP($A83,'San Juan'!$A$8:$O$291,4,FALSE)="","",VLOOKUP($A83,'San Juan'!$A$8:$O$291,4,FALSE))</f>
        <v/>
      </c>
      <c r="I83" s="9" t="str">
        <f>IF(VLOOKUP($A83,'San Juan'!$A$8:$O$291,5,FALSE)="","",VLOOKUP($A83,'San Juan'!$A$8:$O$291,5,FALSE))</f>
        <v/>
      </c>
      <c r="J83" s="9" t="str">
        <f>IF(VLOOKUP($A83,'San Juan'!$A$8:$O$291,7,FALSE)="","",VLOOKUP($A83,'San Juan'!$A$8:$O$291,7,FALSE))</f>
        <v>Sin coincidencia</v>
      </c>
      <c r="K83" s="9" t="str">
        <f>IF(VLOOKUP($A83,'San Juan'!$A$8:$O$291,6,FALSE)="","",VLOOKUP($A83,'San Juan'!$A$8:$O$291,6,FALSE))</f>
        <v>Sin código encontrado</v>
      </c>
      <c r="L83" s="24" t="str">
        <f>IF(VLOOKUP($A83,Salta!$A$8:$O$291,4,FALSE)="","",VLOOKUP($A83,Salta!$A$8:$O$291,4,FALSE))</f>
        <v>215</v>
      </c>
      <c r="M83" s="9" t="str">
        <f>IF(VLOOKUP($A83,Salta!$A$8:$O$291,5,FALSE)="","",VLOOKUP($A83,Salta!$A$8:$O$291,5,FALSE))</f>
        <v>Sales de rehidratación Polvo oral</v>
      </c>
      <c r="N83" s="9" t="str">
        <f>IF(VLOOKUP($A83,Salta!$A$8:$O$291,7,FALSE)="","",VLOOKUP($A83,Salta!$A$8:$O$291,7,FALSE))</f>
        <v>Alta</v>
      </c>
      <c r="O83" s="9" t="str">
        <f>IF(VLOOKUP($A83,Salta!$A$8:$O$291,6,FALSE)="","",VLOOKUP($A83,Salta!$A$8:$O$291,6,FALSE))</f>
        <v>Coincidencia</v>
      </c>
      <c r="P83" s="24" t="str">
        <f>IF(VLOOKUP($A83,Neuquén!$A$8:$O$291,15,FALSE)="Homologado",VLOOKUP($A83,Neuquén!$A$8:$O$291,10,FALSE),"")</f>
        <v/>
      </c>
      <c r="Q83" s="24" t="str">
        <f>IF(VLOOKUP($A83,'San Juan'!$A$8:$O$291,15,FALSE)="Homologado",VLOOKUP($A83,'San Juan'!$A$8:$O$291,10,FALSE),"")</f>
        <v/>
      </c>
      <c r="R83" s="24" t="str">
        <f>IF(VLOOKUP($A83,Salta!$A$8:$O$291,15,FALSE)="Homologado",VLOOKUP($A83,Salta!$A$8:$O$291,10,FALSE),"")</f>
        <v/>
      </c>
      <c r="S83" s="24" t="str">
        <f>IF(VLOOKUP($A83,'Master vs SAP'!$A$8:$O$291,4,FALSE)="","",VLOOKUP($A83,'Master vs SAP'!$A$8:$O$291,4,FALSE))</f>
        <v>1001118</v>
      </c>
      <c r="T83" s="9" t="str">
        <f>IF(VLOOKUP($A83,'Master vs SAP'!$A$8:$O$291,5,FALSE)="","",VLOOKUP($A83,'Master vs SAP'!$A$8:$O$291,5,FALSE))</f>
        <v>SALES REHIDRATANTES SOBRE POLVO</v>
      </c>
      <c r="U83" s="9" t="str">
        <f>IF(VLOOKUP($A83,'Master vs SAP'!$A$8:$O$291,7,FALSE)="","",VLOOKUP($A83,'Master vs SAP'!$A$8:$O$291,7,FALSE))</f>
        <v>Alta</v>
      </c>
      <c r="V83" s="9" t="str">
        <f>IF(VLOOKUP($A83,'Master vs SAP'!$A$8:$O$291,6,FALSE)="","",VLOOKUP($A83,'Master vs SAP'!$A$8:$O$291,6,FALSE))</f>
        <v>Coincidencia</v>
      </c>
      <c r="W83" s="24" t="str">
        <f>IF(VLOOKUP($A83,'Master vs SAP'!$A$8:$O$291,15,FALSE)="Homologado",VLOOKUP($A83,'Master vs SAP'!$A$8:$O$291,10,FALSE),"")</f>
        <v/>
      </c>
    </row>
    <row r="84" spans="1:23" ht="61.95" customHeight="1">
      <c r="A84" s="9" t="s">
        <v>260</v>
      </c>
      <c r="B84" s="9" t="s">
        <v>108</v>
      </c>
      <c r="C84" s="9" t="s">
        <v>261</v>
      </c>
      <c r="D84" s="24" t="str">
        <f>IF(VLOOKUP($A84,Neuquén!$A$8:$O$291,4,FALSE)="","",VLOOKUP($A84,Neuquén!$A$8:$O$291,4,FALSE))</f>
        <v>234</v>
      </c>
      <c r="E84" s="9" t="str">
        <f>IF(VLOOKUP($A84,Neuquén!$A$8:$O$291,5,FALSE)="","",VLOOKUP($A84,Neuquén!$A$8:$O$291,5,FALSE))</f>
        <v>VALIUM10MGDIASEPAM</v>
      </c>
      <c r="F84" s="9" t="str">
        <f>IF(VLOOKUP($A84,Neuquén!$A$8:$O$291,7,FALSE)="","",VLOOKUP($A84,Neuquén!$A$8:$O$291,7,FALSE))</f>
        <v>Media</v>
      </c>
      <c r="G84" s="9" t="str">
        <f>IF(VLOOKUP($A84,Neuquén!$A$8:$O$291,6,FALSE)="","",VLOOKUP($A84,Neuquén!$A$8:$O$291,6,FALSE))</f>
        <v>Equivalencia a revisar</v>
      </c>
      <c r="H84" s="24" t="str">
        <f>IF(VLOOKUP($A84,'San Juan'!$A$8:$O$291,4,FALSE)="","",VLOOKUP($A84,'San Juan'!$A$8:$O$291,4,FALSE))</f>
        <v>MED60</v>
      </c>
      <c r="I84" s="9" t="str">
        <f>IF(VLOOKUP($A84,'San Juan'!$A$8:$O$291,5,FALSE)="","",VLOOKUP($A84,'San Juan'!$A$8:$O$291,5,FALSE))</f>
        <v>Diazepam 10 mg (Ps) Amp x 2 ml</v>
      </c>
      <c r="J84" s="9" t="str">
        <f>IF(VLOOKUP($A84,'San Juan'!$A$8:$O$291,7,FALSE)="","",VLOOKUP($A84,'San Juan'!$A$8:$O$291,7,FALSE))</f>
        <v>Alta</v>
      </c>
      <c r="K84" s="9" t="str">
        <f>IF(VLOOKUP($A84,'San Juan'!$A$8:$O$291,6,FALSE)="","",VLOOKUP($A84,'San Juan'!$A$8:$O$291,6,FALSE))</f>
        <v>Coincidencia por validar</v>
      </c>
      <c r="L84" s="24" t="str">
        <f>IF(VLOOKUP($A84,Salta!$A$8:$O$291,4,FALSE)="","",VLOOKUP($A84,Salta!$A$8:$O$291,4,FALSE))</f>
        <v>95</v>
      </c>
      <c r="M84" s="9" t="str">
        <f>IF(VLOOKUP($A84,Salta!$A$8:$O$291,5,FALSE)="","",VLOOKUP($A84,Salta!$A$8:$O$291,5,FALSE))</f>
        <v>Diazepam 1 amp=2ml x10mg</v>
      </c>
      <c r="N84" s="9" t="str">
        <f>IF(VLOOKUP($A84,Salta!$A$8:$O$291,7,FALSE)="","",VLOOKUP($A84,Salta!$A$8:$O$291,7,FALSE))</f>
        <v>Alta</v>
      </c>
      <c r="O84" s="9" t="str">
        <f>IF(VLOOKUP($A84,Salta!$A$8:$O$291,6,FALSE)="","",VLOOKUP($A84,Salta!$A$8:$O$291,6,FALSE))</f>
        <v>Coincidencia</v>
      </c>
      <c r="P84" s="24" t="str">
        <f>IF(VLOOKUP($A84,Neuquén!$A$8:$O$291,15,FALSE)="Homologado",VLOOKUP($A84,Neuquén!$A$8:$O$291,10,FALSE),"")</f>
        <v/>
      </c>
      <c r="Q84" s="24" t="str">
        <f>IF(VLOOKUP($A84,'San Juan'!$A$8:$O$291,15,FALSE)="Homologado",VLOOKUP($A84,'San Juan'!$A$8:$O$291,10,FALSE),"")</f>
        <v/>
      </c>
      <c r="R84" s="24" t="str">
        <f>IF(VLOOKUP($A84,Salta!$A$8:$O$291,15,FALSE)="Homologado",VLOOKUP($A84,Salta!$A$8:$O$291,10,FALSE),"")</f>
        <v/>
      </c>
      <c r="S84" s="24" t="str">
        <f>IF(VLOOKUP($A84,'Master vs SAP'!$A$8:$O$291,4,FALSE)="","",VLOOKUP($A84,'Master vs SAP'!$A$8:$O$291,4,FALSE))</f>
        <v>1000021</v>
      </c>
      <c r="T84" s="9" t="str">
        <f>IF(VLOOKUP($A84,'Master vs SAP'!$A$8:$O$291,5,FALSE)="","",VLOOKUP($A84,'Master vs SAP'!$A$8:$O$291,5,FALSE))</f>
        <v>DIAZEPAM 10MG AMPOLLA DE 2ML INYECTABLE</v>
      </c>
      <c r="U84" s="9" t="str">
        <f>IF(VLOOKUP($A84,'Master vs SAP'!$A$8:$O$291,7,FALSE)="","",VLOOKUP($A84,'Master vs SAP'!$A$8:$O$291,7,FALSE))</f>
        <v>Alta</v>
      </c>
      <c r="V84" s="9" t="str">
        <f>IF(VLOOKUP($A84,'Master vs SAP'!$A$8:$O$291,6,FALSE)="","",VLOOKUP($A84,'Master vs SAP'!$A$8:$O$291,6,FALSE))</f>
        <v>Coincidencia</v>
      </c>
      <c r="W84" s="24" t="str">
        <f>IF(VLOOKUP($A84,'Master vs SAP'!$A$8:$O$291,15,FALSE)="Homologado",VLOOKUP($A84,'Master vs SAP'!$A$8:$O$291,10,FALSE),"")</f>
        <v/>
      </c>
    </row>
    <row r="85" spans="1:23" ht="61.95" customHeight="1">
      <c r="A85" s="9" t="s">
        <v>262</v>
      </c>
      <c r="B85" s="9" t="s">
        <v>108</v>
      </c>
      <c r="C85" s="9" t="s">
        <v>263</v>
      </c>
      <c r="D85" s="24" t="str">
        <f>IF(VLOOKUP($A85,Neuquén!$A$8:$O$291,4,FALSE)="","",VLOOKUP($A85,Neuquén!$A$8:$O$291,4,FALSE))</f>
        <v>249</v>
      </c>
      <c r="E85" s="9" t="str">
        <f>IF(VLOOKUP($A85,Neuquén!$A$8:$O$291,5,FALSE)="","",VLOOKUP($A85,Neuquén!$A$8:$O$291,5,FALSE))</f>
        <v>FENITOINAAMP</v>
      </c>
      <c r="F85" s="9" t="str">
        <f>IF(VLOOKUP($A85,Neuquén!$A$8:$O$291,7,FALSE)="","",VLOOKUP($A85,Neuquén!$A$8:$O$291,7,FALSE))</f>
        <v>Media</v>
      </c>
      <c r="G85" s="9" t="str">
        <f>IF(VLOOKUP($A85,Neuquén!$A$8:$O$291,6,FALSE)="","",VLOOKUP($A85,Neuquén!$A$8:$O$291,6,FALSE))</f>
        <v>Equivalencia a revisar</v>
      </c>
      <c r="H85" s="24" t="str">
        <f>IF(VLOOKUP($A85,'San Juan'!$A$8:$O$291,4,FALSE)="","",VLOOKUP($A85,'San Juan'!$A$8:$O$291,4,FALSE))</f>
        <v/>
      </c>
      <c r="I85" s="9" t="str">
        <f>IF(VLOOKUP($A85,'San Juan'!$A$8:$O$291,5,FALSE)="","",VLOOKUP($A85,'San Juan'!$A$8:$O$291,5,FALSE))</f>
        <v/>
      </c>
      <c r="J85" s="9" t="str">
        <f>IF(VLOOKUP($A85,'San Juan'!$A$8:$O$291,7,FALSE)="","",VLOOKUP($A85,'San Juan'!$A$8:$O$291,7,FALSE))</f>
        <v>Sin coincidencia</v>
      </c>
      <c r="K85" s="9" t="str">
        <f>IF(VLOOKUP($A85,'San Juan'!$A$8:$O$291,6,FALSE)="","",VLOOKUP($A85,'San Juan'!$A$8:$O$291,6,FALSE))</f>
        <v>Sin código encontrado</v>
      </c>
      <c r="L85" s="24" t="str">
        <f>IF(VLOOKUP($A85,Salta!$A$8:$O$291,4,FALSE)="","",VLOOKUP($A85,Salta!$A$8:$O$291,4,FALSE))</f>
        <v>103</v>
      </c>
      <c r="M85" s="9" t="str">
        <f>IF(VLOOKUP($A85,Salta!$A$8:$O$291,5,FALSE)="","",VLOOKUP($A85,Salta!$A$8:$O$291,5,FALSE))</f>
        <v>Fenitoina 1 amp=2ml x100mg</v>
      </c>
      <c r="N85" s="9" t="str">
        <f>IF(VLOOKUP($A85,Salta!$A$8:$O$291,7,FALSE)="","",VLOOKUP($A85,Salta!$A$8:$O$291,7,FALSE))</f>
        <v>Alta</v>
      </c>
      <c r="O85" s="9" t="str">
        <f>IF(VLOOKUP($A85,Salta!$A$8:$O$291,6,FALSE)="","",VLOOKUP($A85,Salta!$A$8:$O$291,6,FALSE))</f>
        <v>Coincidencia</v>
      </c>
      <c r="P85" s="24" t="str">
        <f>IF(VLOOKUP($A85,Neuquén!$A$8:$O$291,15,FALSE)="Homologado",VLOOKUP($A85,Neuquén!$A$8:$O$291,10,FALSE),"")</f>
        <v/>
      </c>
      <c r="Q85" s="24" t="str">
        <f>IF(VLOOKUP($A85,'San Juan'!$A$8:$O$291,15,FALSE)="Homologado",VLOOKUP($A85,'San Juan'!$A$8:$O$291,10,FALSE),"")</f>
        <v/>
      </c>
      <c r="R85" s="24" t="str">
        <f>IF(VLOOKUP($A85,Salta!$A$8:$O$291,15,FALSE)="Homologado",VLOOKUP($A85,Salta!$A$8:$O$291,10,FALSE),"")</f>
        <v/>
      </c>
      <c r="S85" s="24" t="str">
        <f>IF(VLOOKUP($A85,'Master vs SAP'!$A$8:$O$291,4,FALSE)="","",VLOOKUP($A85,'Master vs SAP'!$A$8:$O$291,4,FALSE))</f>
        <v>1000103</v>
      </c>
      <c r="T85" s="9" t="str">
        <f>IF(VLOOKUP($A85,'Master vs SAP'!$A$8:$O$291,5,FALSE)="","",VLOOKUP($A85,'Master vs SAP'!$A$8:$O$291,5,FALSE))</f>
        <v>FENITOINA 100MG /2ML AMPOLLA</v>
      </c>
      <c r="U85" s="9" t="str">
        <f>IF(VLOOKUP($A85,'Master vs SAP'!$A$8:$O$291,7,FALSE)="","",VLOOKUP($A85,'Master vs SAP'!$A$8:$O$291,7,FALSE))</f>
        <v>Alta</v>
      </c>
      <c r="V85" s="9" t="str">
        <f>IF(VLOOKUP($A85,'Master vs SAP'!$A$8:$O$291,6,FALSE)="","",VLOOKUP($A85,'Master vs SAP'!$A$8:$O$291,6,FALSE))</f>
        <v>Coincidencia</v>
      </c>
      <c r="W85" s="24" t="str">
        <f>IF(VLOOKUP($A85,'Master vs SAP'!$A$8:$O$291,15,FALSE)="Homologado",VLOOKUP($A85,'Master vs SAP'!$A$8:$O$291,10,FALSE),"")</f>
        <v/>
      </c>
    </row>
    <row r="86" spans="1:23" ht="61.95" customHeight="1">
      <c r="A86" s="9" t="s">
        <v>264</v>
      </c>
      <c r="B86" s="9" t="s">
        <v>108</v>
      </c>
      <c r="C86" s="9" t="s">
        <v>265</v>
      </c>
      <c r="D86" s="24" t="str">
        <f>IF(VLOOKUP($A86,Neuquén!$A$8:$O$291,4,FALSE)="","",VLOOKUP($A86,Neuquén!$A$8:$O$291,4,FALSE))</f>
        <v>329</v>
      </c>
      <c r="E86" s="9" t="str">
        <f>IF(VLOOKUP($A86,Neuquén!$A$8:$O$291,5,FALSE)="","",VLOOKUP($A86,Neuquén!$A$8:$O$291,5,FALSE))</f>
        <v>LORAZEPAMSUBLINGUALCOMP</v>
      </c>
      <c r="F86" s="9" t="str">
        <f>IF(VLOOKUP($A86,Neuquén!$A$8:$O$291,7,FALSE)="","",VLOOKUP($A86,Neuquén!$A$8:$O$291,7,FALSE))</f>
        <v>Baja</v>
      </c>
      <c r="G86" s="9" t="str">
        <f>IF(VLOOKUP($A86,Neuquén!$A$8:$O$291,6,FALSE)="","",VLOOKUP($A86,Neuquén!$A$8:$O$291,6,FALSE))</f>
        <v>Revisar presentación</v>
      </c>
      <c r="H86" s="24" t="str">
        <f>IF(VLOOKUP($A86,'San Juan'!$A$8:$O$291,4,FALSE)="","",VLOOKUP($A86,'San Juan'!$A$8:$O$291,4,FALSE))</f>
        <v/>
      </c>
      <c r="I86" s="9" t="str">
        <f>IF(VLOOKUP($A86,'San Juan'!$A$8:$O$291,5,FALSE)="","",VLOOKUP($A86,'San Juan'!$A$8:$O$291,5,FALSE))</f>
        <v/>
      </c>
      <c r="J86" s="9" t="str">
        <f>IF(VLOOKUP($A86,'San Juan'!$A$8:$O$291,7,FALSE)="","",VLOOKUP($A86,'San Juan'!$A$8:$O$291,7,FALSE))</f>
        <v>Sin coincidencia</v>
      </c>
      <c r="K86" s="9" t="str">
        <f>IF(VLOOKUP($A86,'San Juan'!$A$8:$O$291,6,FALSE)="","",VLOOKUP($A86,'San Juan'!$A$8:$O$291,6,FALSE))</f>
        <v>Sin código encontrado</v>
      </c>
      <c r="L86" s="24" t="str">
        <f>IF(VLOOKUP($A86,Salta!$A$8:$O$291,4,FALSE)="","",VLOOKUP($A86,Salta!$A$8:$O$291,4,FALSE))</f>
        <v/>
      </c>
      <c r="M86" s="9" t="str">
        <f>IF(VLOOKUP($A86,Salta!$A$8:$O$291,5,FALSE)="","",VLOOKUP($A86,Salta!$A$8:$O$291,5,FALSE))</f>
        <v/>
      </c>
      <c r="N86" s="9" t="str">
        <f>IF(VLOOKUP($A86,Salta!$A$8:$O$291,7,FALSE)="","",VLOOKUP($A86,Salta!$A$8:$O$291,7,FALSE))</f>
        <v>Sin coincidencia</v>
      </c>
      <c r="O86" s="9" t="str">
        <f>IF(VLOOKUP($A86,Salta!$A$8:$O$291,6,FALSE)="","",VLOOKUP($A86,Salta!$A$8:$O$291,6,FALSE))</f>
        <v>Sin coincidencia</v>
      </c>
      <c r="P86" s="24" t="str">
        <f>IF(VLOOKUP($A86,Neuquén!$A$8:$O$291,15,FALSE)="Homologado",VLOOKUP($A86,Neuquén!$A$8:$O$291,10,FALSE),"")</f>
        <v/>
      </c>
      <c r="Q86" s="24" t="str">
        <f>IF(VLOOKUP($A86,'San Juan'!$A$8:$O$291,15,FALSE)="Homologado",VLOOKUP($A86,'San Juan'!$A$8:$O$291,10,FALSE),"")</f>
        <v/>
      </c>
      <c r="R86" s="24" t="str">
        <f>IF(VLOOKUP($A86,Salta!$A$8:$O$291,15,FALSE)="Homologado",VLOOKUP($A86,Salta!$A$8:$O$291,10,FALSE),"")</f>
        <v/>
      </c>
      <c r="S86" s="24" t="str">
        <f>IF(VLOOKUP($A86,'Master vs SAP'!$A$8:$O$291,4,FALSE)="","",VLOOKUP($A86,'Master vs SAP'!$A$8:$O$291,4,FALSE))</f>
        <v>1000309</v>
      </c>
      <c r="T86" s="9" t="str">
        <f>IF(VLOOKUP($A86,'Master vs SAP'!$A$8:$O$291,5,FALSE)="","",VLOOKUP($A86,'Master vs SAP'!$A$8:$O$291,5,FALSE))</f>
        <v>LORAZEPAM AMP 4mg/1ml</v>
      </c>
      <c r="U86" s="9" t="str">
        <f>IF(VLOOKUP($A86,'Master vs SAP'!$A$8:$O$291,7,FALSE)="","",VLOOKUP($A86,'Master vs SAP'!$A$8:$O$291,7,FALSE))</f>
        <v>Alta</v>
      </c>
      <c r="V86" s="9" t="str">
        <f>IF(VLOOKUP($A86,'Master vs SAP'!$A$8:$O$291,6,FALSE)="","",VLOOKUP($A86,'Master vs SAP'!$A$8:$O$291,6,FALSE))</f>
        <v>Coincidencia</v>
      </c>
      <c r="W86" s="24" t="str">
        <f>IF(VLOOKUP($A86,'Master vs SAP'!$A$8:$O$291,15,FALSE)="Homologado",VLOOKUP($A86,'Master vs SAP'!$A$8:$O$291,10,FALSE),"")</f>
        <v/>
      </c>
    </row>
    <row r="87" spans="1:23" ht="61.95" customHeight="1">
      <c r="A87" s="9" t="s">
        <v>266</v>
      </c>
      <c r="B87" s="9" t="s">
        <v>108</v>
      </c>
      <c r="C87" s="9" t="s">
        <v>267</v>
      </c>
      <c r="D87" s="24" t="str">
        <f>IF(VLOOKUP($A87,Neuquén!$A$8:$O$291,4,FALSE)="","",VLOOKUP($A87,Neuquén!$A$8:$O$291,4,FALSE))</f>
        <v>329</v>
      </c>
      <c r="E87" s="9" t="str">
        <f>IF(VLOOKUP($A87,Neuquén!$A$8:$O$291,5,FALSE)="","",VLOOKUP($A87,Neuquén!$A$8:$O$291,5,FALSE))</f>
        <v>LORAZEPAMSUBLINGUALCOMP</v>
      </c>
      <c r="F87" s="9" t="str">
        <f>IF(VLOOKUP($A87,Neuquén!$A$8:$O$291,7,FALSE)="","",VLOOKUP($A87,Neuquén!$A$8:$O$291,7,FALSE))</f>
        <v>Media</v>
      </c>
      <c r="G87" s="9" t="str">
        <f>IF(VLOOKUP($A87,Neuquén!$A$8:$O$291,6,FALSE)="","",VLOOKUP($A87,Neuquén!$A$8:$O$291,6,FALSE))</f>
        <v>Código compartido: revisar</v>
      </c>
      <c r="H87" s="24" t="str">
        <f>IF(VLOOKUP($A87,'San Juan'!$A$8:$O$291,4,FALSE)="","",VLOOKUP($A87,'San Juan'!$A$8:$O$291,4,FALSE))</f>
        <v/>
      </c>
      <c r="I87" s="9" t="str">
        <f>IF(VLOOKUP($A87,'San Juan'!$A$8:$O$291,5,FALSE)="","",VLOOKUP($A87,'San Juan'!$A$8:$O$291,5,FALSE))</f>
        <v/>
      </c>
      <c r="J87" s="9" t="str">
        <f>IF(VLOOKUP($A87,'San Juan'!$A$8:$O$291,7,FALSE)="","",VLOOKUP($A87,'San Juan'!$A$8:$O$291,7,FALSE))</f>
        <v>Sin coincidencia</v>
      </c>
      <c r="K87" s="9" t="str">
        <f>IF(VLOOKUP($A87,'San Juan'!$A$8:$O$291,6,FALSE)="","",VLOOKUP($A87,'San Juan'!$A$8:$O$291,6,FALSE))</f>
        <v>Sin código encontrado</v>
      </c>
      <c r="L87" s="24" t="str">
        <f>IF(VLOOKUP($A87,Salta!$A$8:$O$291,4,FALSE)="","",VLOOKUP($A87,Salta!$A$8:$O$291,4,FALSE))</f>
        <v>175</v>
      </c>
      <c r="M87" s="9" t="str">
        <f>IF(VLOOKUP($A87,Salta!$A$8:$O$291,5,FALSE)="","",VLOOKUP($A87,Salta!$A$8:$O$291,5,FALSE))</f>
        <v>Lorazepam comprimidos 1mgr SL</v>
      </c>
      <c r="N87" s="9" t="str">
        <f>IF(VLOOKUP($A87,Salta!$A$8:$O$291,7,FALSE)="","",VLOOKUP($A87,Salta!$A$8:$O$291,7,FALSE))</f>
        <v>Alta</v>
      </c>
      <c r="O87" s="9" t="str">
        <f>IF(VLOOKUP($A87,Salta!$A$8:$O$291,6,FALSE)="","",VLOOKUP($A87,Salta!$A$8:$O$291,6,FALSE))</f>
        <v>Coincidencia</v>
      </c>
      <c r="P87" s="24" t="str">
        <f>IF(VLOOKUP($A87,Neuquén!$A$8:$O$291,15,FALSE)="Homologado",VLOOKUP($A87,Neuquén!$A$8:$O$291,10,FALSE),"")</f>
        <v/>
      </c>
      <c r="Q87" s="24" t="str">
        <f>IF(VLOOKUP($A87,'San Juan'!$A$8:$O$291,15,FALSE)="Homologado",VLOOKUP($A87,'San Juan'!$A$8:$O$291,10,FALSE),"")</f>
        <v/>
      </c>
      <c r="R87" s="24" t="str">
        <f>IF(VLOOKUP($A87,Salta!$A$8:$O$291,15,FALSE)="Homologado",VLOOKUP($A87,Salta!$A$8:$O$291,10,FALSE),"")</f>
        <v/>
      </c>
      <c r="S87" s="24" t="str">
        <f>IF(VLOOKUP($A87,'Master vs SAP'!$A$8:$O$291,4,FALSE)="","",VLOOKUP($A87,'Master vs SAP'!$A$8:$O$291,4,FALSE))</f>
        <v>1000090</v>
      </c>
      <c r="T87" s="9" t="str">
        <f>IF(VLOOKUP($A87,'Master vs SAP'!$A$8:$O$291,5,FALSE)="","",VLOOKUP($A87,'Master vs SAP'!$A$8:$O$291,5,FALSE))</f>
        <v>LORAZEPAM COMPRIMIDO SUBLINGUAL 1GR</v>
      </c>
      <c r="U87" s="9" t="str">
        <f>IF(VLOOKUP($A87,'Master vs SAP'!$A$8:$O$291,7,FALSE)="","",VLOOKUP($A87,'Master vs SAP'!$A$8:$O$291,7,FALSE))</f>
        <v>Baja</v>
      </c>
      <c r="V87" s="9" t="str">
        <f>IF(VLOOKUP($A87,'Master vs SAP'!$A$8:$O$291,6,FALSE)="","",VLOOKUP($A87,'Master vs SAP'!$A$8:$O$291,6,FALSE))</f>
        <v>Revisar datos</v>
      </c>
      <c r="W87" s="24" t="str">
        <f>IF(VLOOKUP($A87,'Master vs SAP'!$A$8:$O$291,15,FALSE)="Homologado",VLOOKUP($A87,'Master vs SAP'!$A$8:$O$291,10,FALSE),"")</f>
        <v/>
      </c>
    </row>
    <row r="88" spans="1:23" ht="61.95" customHeight="1">
      <c r="A88" s="9" t="s">
        <v>268</v>
      </c>
      <c r="B88" s="9" t="s">
        <v>108</v>
      </c>
      <c r="C88" s="9" t="s">
        <v>269</v>
      </c>
      <c r="D88" s="24" t="str">
        <f>IF(VLOOKUP($A88,Neuquén!$A$8:$O$291,4,FALSE)="","",VLOOKUP($A88,Neuquén!$A$8:$O$291,4,FALSE))</f>
        <v>325</v>
      </c>
      <c r="E88" s="9" t="str">
        <f>IF(VLOOKUP($A88,Neuquén!$A$8:$O$291,5,FALSE)="","",VLOOKUP($A88,Neuquén!$A$8:$O$291,5,FALSE))</f>
        <v>HALOPERIDOLAMP</v>
      </c>
      <c r="F88" s="9" t="str">
        <f>IF(VLOOKUP($A88,Neuquén!$A$8:$O$291,7,FALSE)="","",VLOOKUP($A88,Neuquén!$A$8:$O$291,7,FALSE))</f>
        <v>Media</v>
      </c>
      <c r="G88" s="9" t="str">
        <f>IF(VLOOKUP($A88,Neuquén!$A$8:$O$291,6,FALSE)="","",VLOOKUP($A88,Neuquén!$A$8:$O$291,6,FALSE))</f>
        <v>Equivalencia a revisar</v>
      </c>
      <c r="H88" s="24" t="str">
        <f>IF(VLOOKUP($A88,'San Juan'!$A$8:$O$291,4,FALSE)="","",VLOOKUP($A88,'San Juan'!$A$8:$O$291,4,FALSE))</f>
        <v/>
      </c>
      <c r="I88" s="9" t="str">
        <f>IF(VLOOKUP($A88,'San Juan'!$A$8:$O$291,5,FALSE)="","",VLOOKUP($A88,'San Juan'!$A$8:$O$291,5,FALSE))</f>
        <v/>
      </c>
      <c r="J88" s="9" t="str">
        <f>IF(VLOOKUP($A88,'San Juan'!$A$8:$O$291,7,FALSE)="","",VLOOKUP($A88,'San Juan'!$A$8:$O$291,7,FALSE))</f>
        <v>Sin coincidencia</v>
      </c>
      <c r="K88" s="9" t="str">
        <f>IF(VLOOKUP($A88,'San Juan'!$A$8:$O$291,6,FALSE)="","",VLOOKUP($A88,'San Juan'!$A$8:$O$291,6,FALSE))</f>
        <v>Sin código encontrado</v>
      </c>
      <c r="L88" s="24" t="str">
        <f>IF(VLOOKUP($A88,Salta!$A$8:$O$291,4,FALSE)="","",VLOOKUP($A88,Salta!$A$8:$O$291,4,FALSE))</f>
        <v>141</v>
      </c>
      <c r="M88" s="9" t="str">
        <f>IF(VLOOKUP($A88,Salta!$A$8:$O$291,5,FALSE)="","",VLOOKUP($A88,Salta!$A$8:$O$291,5,FALSE))</f>
        <v>Haloperidol 1 amp=1ml</v>
      </c>
      <c r="N88" s="9" t="str">
        <f>IF(VLOOKUP($A88,Salta!$A$8:$O$291,7,FALSE)="","",VLOOKUP($A88,Salta!$A$8:$O$291,7,FALSE))</f>
        <v>Media</v>
      </c>
      <c r="O88" s="9" t="str">
        <f>IF(VLOOKUP($A88,Salta!$A$8:$O$291,6,FALSE)="","",VLOOKUP($A88,Salta!$A$8:$O$291,6,FALSE))</f>
        <v>Revisar datos</v>
      </c>
      <c r="P88" s="24" t="str">
        <f>IF(VLOOKUP($A88,Neuquén!$A$8:$O$291,15,FALSE)="Homologado",VLOOKUP($A88,Neuquén!$A$8:$O$291,10,FALSE),"")</f>
        <v/>
      </c>
      <c r="Q88" s="24" t="str">
        <f>IF(VLOOKUP($A88,'San Juan'!$A$8:$O$291,15,FALSE)="Homologado",VLOOKUP($A88,'San Juan'!$A$8:$O$291,10,FALSE),"")</f>
        <v/>
      </c>
      <c r="R88" s="24" t="str">
        <f>IF(VLOOKUP($A88,Salta!$A$8:$O$291,15,FALSE)="Homologado",VLOOKUP($A88,Salta!$A$8:$O$291,10,FALSE),"")</f>
        <v/>
      </c>
      <c r="S88" s="24" t="str">
        <f>IF(VLOOKUP($A88,'Master vs SAP'!$A$8:$O$291,4,FALSE)="","",VLOOKUP($A88,'Master vs SAP'!$A$8:$O$291,4,FALSE))</f>
        <v>1000108</v>
      </c>
      <c r="T88" s="9" t="str">
        <f>IF(VLOOKUP($A88,'Master vs SAP'!$A$8:$O$291,5,FALSE)="","",VLOOKUP($A88,'Master vs SAP'!$A$8:$O$291,5,FALSE))</f>
        <v>HALOPERIDOL  5MG/1ML AMPOLLA</v>
      </c>
      <c r="U88" s="9" t="str">
        <f>IF(VLOOKUP($A88,'Master vs SAP'!$A$8:$O$291,7,FALSE)="","",VLOOKUP($A88,'Master vs SAP'!$A$8:$O$291,7,FALSE))</f>
        <v>Alta</v>
      </c>
      <c r="V88" s="9" t="str">
        <f>IF(VLOOKUP($A88,'Master vs SAP'!$A$8:$O$291,6,FALSE)="","",VLOOKUP($A88,'Master vs SAP'!$A$8:$O$291,6,FALSE))</f>
        <v>Coincidencia</v>
      </c>
      <c r="W88" s="24" t="str">
        <f>IF(VLOOKUP($A88,'Master vs SAP'!$A$8:$O$291,15,FALSE)="Homologado",VLOOKUP($A88,'Master vs SAP'!$A$8:$O$291,10,FALSE),"")</f>
        <v/>
      </c>
    </row>
    <row r="89" spans="1:23" ht="61.95" customHeight="1">
      <c r="A89" s="9" t="s">
        <v>270</v>
      </c>
      <c r="B89" s="9" t="s">
        <v>108</v>
      </c>
      <c r="C89" s="9" t="s">
        <v>271</v>
      </c>
      <c r="D89" s="24" t="str">
        <f>IF(VLOOKUP($A89,Neuquén!$A$8:$O$291,4,FALSE)="","",VLOOKUP($A89,Neuquén!$A$8:$O$291,4,FALSE))</f>
        <v>508</v>
      </c>
      <c r="E89" s="9" t="str">
        <f>IF(VLOOKUP($A89,Neuquén!$A$8:$O$291,5,FALSE)="","",VLOOKUP($A89,Neuquén!$A$8:$O$291,5,FALSE))</f>
        <v>ClonazepamAmp.</v>
      </c>
      <c r="F89" s="9" t="str">
        <f>IF(VLOOKUP($A89,Neuquén!$A$8:$O$291,7,FALSE)="","",VLOOKUP($A89,Neuquén!$A$8:$O$291,7,FALSE))</f>
        <v>Media</v>
      </c>
      <c r="G89" s="9" t="str">
        <f>IF(VLOOKUP($A89,Neuquén!$A$8:$O$291,6,FALSE)="","",VLOOKUP($A89,Neuquén!$A$8:$O$291,6,FALSE))</f>
        <v>Equivalencia a revisar</v>
      </c>
      <c r="H89" s="24" t="str">
        <f>IF(VLOOKUP($A89,'San Juan'!$A$8:$O$291,4,FALSE)="","",VLOOKUP($A89,'San Juan'!$A$8:$O$291,4,FALSE))</f>
        <v/>
      </c>
      <c r="I89" s="9" t="str">
        <f>IF(VLOOKUP($A89,'San Juan'!$A$8:$O$291,5,FALSE)="","",VLOOKUP($A89,'San Juan'!$A$8:$O$291,5,FALSE))</f>
        <v/>
      </c>
      <c r="J89" s="9" t="str">
        <f>IF(VLOOKUP($A89,'San Juan'!$A$8:$O$291,7,FALSE)="","",VLOOKUP($A89,'San Juan'!$A$8:$O$291,7,FALSE))</f>
        <v>Sin coincidencia</v>
      </c>
      <c r="K89" s="9" t="str">
        <f>IF(VLOOKUP($A89,'San Juan'!$A$8:$O$291,6,FALSE)="","",VLOOKUP($A89,'San Juan'!$A$8:$O$291,6,FALSE))</f>
        <v>Sin código encontrado</v>
      </c>
      <c r="L89" s="24" t="str">
        <f>IF(VLOOKUP($A89,Salta!$A$8:$O$291,4,FALSE)="","",VLOOKUP($A89,Salta!$A$8:$O$291,4,FALSE))</f>
        <v>75</v>
      </c>
      <c r="M89" s="9" t="str">
        <f>IF(VLOOKUP($A89,Salta!$A$8:$O$291,5,FALSE)="","",VLOOKUP($A89,Salta!$A$8:$O$291,5,FALSE))</f>
        <v>Clonazepam comprimidos 2mg</v>
      </c>
      <c r="N89" s="9" t="str">
        <f>IF(VLOOKUP($A89,Salta!$A$8:$O$291,7,FALSE)="","",VLOOKUP($A89,Salta!$A$8:$O$291,7,FALSE))</f>
        <v>Alta</v>
      </c>
      <c r="O89" s="9" t="str">
        <f>IF(VLOOKUP($A89,Salta!$A$8:$O$291,6,FALSE)="","",VLOOKUP($A89,Salta!$A$8:$O$291,6,FALSE))</f>
        <v>Coincidencia</v>
      </c>
      <c r="P89" s="24" t="str">
        <f>IF(VLOOKUP($A89,Neuquén!$A$8:$O$291,15,FALSE)="Homologado",VLOOKUP($A89,Neuquén!$A$8:$O$291,10,FALSE),"")</f>
        <v/>
      </c>
      <c r="Q89" s="24" t="str">
        <f>IF(VLOOKUP($A89,'San Juan'!$A$8:$O$291,15,FALSE)="Homologado",VLOOKUP($A89,'San Juan'!$A$8:$O$291,10,FALSE),"")</f>
        <v/>
      </c>
      <c r="R89" s="24" t="str">
        <f>IF(VLOOKUP($A89,Salta!$A$8:$O$291,15,FALSE)="Homologado",VLOOKUP($A89,Salta!$A$8:$O$291,10,FALSE),"")</f>
        <v/>
      </c>
      <c r="S89" s="24" t="str">
        <f>IF(VLOOKUP($A89,'Master vs SAP'!$A$8:$O$291,4,FALSE)="","",VLOOKUP($A89,'Master vs SAP'!$A$8:$O$291,4,FALSE))</f>
        <v>1005103
1000543</v>
      </c>
      <c r="T89" s="9" t="str">
        <f>IF(VLOOKUP($A89,'Master vs SAP'!$A$8:$O$291,5,FALSE)="","",VLOOKUP($A89,'Master vs SAP'!$A$8:$O$291,5,FALSE))</f>
        <v>CLONAZEPAM 2MG COMPRIMIDO
CLONAZEPAM 2MG x 15 COMPRIMIDOS</v>
      </c>
      <c r="U89" s="9" t="str">
        <f>IF(VLOOKUP($A89,'Master vs SAP'!$A$8:$O$291,7,FALSE)="","",VLOOKUP($A89,'Master vs SAP'!$A$8:$O$291,7,FALSE))</f>
        <v>Alta</v>
      </c>
      <c r="V89" s="9" t="str">
        <f>IF(VLOOKUP($A89,'Master vs SAP'!$A$8:$O$291,6,FALSE)="","",VLOOKUP($A89,'Master vs SAP'!$A$8:$O$291,6,FALSE))</f>
        <v>Coincidencia</v>
      </c>
      <c r="W89" s="24" t="str">
        <f>IF(VLOOKUP($A89,'Master vs SAP'!$A$8:$O$291,15,FALSE)="Homologado",VLOOKUP($A89,'Master vs SAP'!$A$8:$O$291,10,FALSE),"")</f>
        <v/>
      </c>
    </row>
    <row r="90" spans="1:23" ht="61.95" customHeight="1">
      <c r="A90" s="9" t="s">
        <v>272</v>
      </c>
      <c r="B90" s="9" t="s">
        <v>108</v>
      </c>
      <c r="C90" s="9" t="s">
        <v>273</v>
      </c>
      <c r="D90" s="24" t="str">
        <f>IF(VLOOKUP($A90,Neuquén!$A$8:$O$291,4,FALSE)="","",VLOOKUP($A90,Neuquén!$A$8:$O$291,4,FALSE))</f>
        <v>306</v>
      </c>
      <c r="E90" s="9" t="str">
        <f>IF(VLOOKUP($A90,Neuquén!$A$8:$O$291,5,FALSE)="","",VLOOKUP($A90,Neuquén!$A$8:$O$291,5,FALSE))</f>
        <v>NALOXONAAMP</v>
      </c>
      <c r="F90" s="9" t="str">
        <f>IF(VLOOKUP($A90,Neuquén!$A$8:$O$291,7,FALSE)="","",VLOOKUP($A90,Neuquén!$A$8:$O$291,7,FALSE))</f>
        <v>Media</v>
      </c>
      <c r="G90" s="9" t="str">
        <f>IF(VLOOKUP($A90,Neuquén!$A$8:$O$291,6,FALSE)="","",VLOOKUP($A90,Neuquén!$A$8:$O$291,6,FALSE))</f>
        <v>Equivalencia a revisar</v>
      </c>
      <c r="H90" s="24" t="str">
        <f>IF(VLOOKUP($A90,'San Juan'!$A$8:$O$291,4,FALSE)="","",VLOOKUP($A90,'San Juan'!$A$8:$O$291,4,FALSE))</f>
        <v>MED141</v>
      </c>
      <c r="I90" s="9" t="str">
        <f>IF(VLOOKUP($A90,'San Juan'!$A$8:$O$291,5,FALSE)="","",VLOOKUP($A90,'San Juan'!$A$8:$O$291,5,FALSE))</f>
        <v>Naloxona 0,4mg Amp x 1 ml</v>
      </c>
      <c r="J90" s="9" t="str">
        <f>IF(VLOOKUP($A90,'San Juan'!$A$8:$O$291,7,FALSE)="","",VLOOKUP($A90,'San Juan'!$A$8:$O$291,7,FALSE))</f>
        <v>Alta</v>
      </c>
      <c r="K90" s="9" t="str">
        <f>IF(VLOOKUP($A90,'San Juan'!$A$8:$O$291,6,FALSE)="","",VLOOKUP($A90,'San Juan'!$A$8:$O$291,6,FALSE))</f>
        <v>Coincidencia por validar</v>
      </c>
      <c r="L90" s="24" t="str">
        <f>IF(VLOOKUP($A90,Salta!$A$8:$O$291,4,FALSE)="","",VLOOKUP($A90,Salta!$A$8:$O$291,4,FALSE))</f>
        <v>189</v>
      </c>
      <c r="M90" s="9" t="str">
        <f>IF(VLOOKUP($A90,Salta!$A$8:$O$291,5,FALSE)="","",VLOOKUP($A90,Salta!$A$8:$O$291,5,FALSE))</f>
        <v>Naloxona 1 amp=1ml x0,4mg</v>
      </c>
      <c r="N90" s="9" t="str">
        <f>IF(VLOOKUP($A90,Salta!$A$8:$O$291,7,FALSE)="","",VLOOKUP($A90,Salta!$A$8:$O$291,7,FALSE))</f>
        <v>Alta</v>
      </c>
      <c r="O90" s="9" t="str">
        <f>IF(VLOOKUP($A90,Salta!$A$8:$O$291,6,FALSE)="","",VLOOKUP($A90,Salta!$A$8:$O$291,6,FALSE))</f>
        <v>Coincidencia</v>
      </c>
      <c r="P90" s="24" t="str">
        <f>IF(VLOOKUP($A90,Neuquén!$A$8:$O$291,15,FALSE)="Homologado",VLOOKUP($A90,Neuquén!$A$8:$O$291,10,FALSE),"")</f>
        <v/>
      </c>
      <c r="Q90" s="24" t="str">
        <f>IF(VLOOKUP($A90,'San Juan'!$A$8:$O$291,15,FALSE)="Homologado",VLOOKUP($A90,'San Juan'!$A$8:$O$291,10,FALSE),"")</f>
        <v/>
      </c>
      <c r="R90" s="24" t="str">
        <f>IF(VLOOKUP($A90,Salta!$A$8:$O$291,15,FALSE)="Homologado",VLOOKUP($A90,Salta!$A$8:$O$291,10,FALSE),"")</f>
        <v/>
      </c>
      <c r="S90" s="24" t="str">
        <f>IF(VLOOKUP($A90,'Master vs SAP'!$A$8:$O$291,4,FALSE)="","",VLOOKUP($A90,'Master vs SAP'!$A$8:$O$291,4,FALSE))</f>
        <v>1000307</v>
      </c>
      <c r="T90" s="9" t="str">
        <f>IF(VLOOKUP($A90,'Master vs SAP'!$A$8:$O$291,5,FALSE)="","",VLOOKUP($A90,'Master vs SAP'!$A$8:$O$291,5,FALSE))</f>
        <v>NALOXONA AMPOLLA 0,4mg/1ml</v>
      </c>
      <c r="U90" s="9" t="str">
        <f>IF(VLOOKUP($A90,'Master vs SAP'!$A$8:$O$291,7,FALSE)="","",VLOOKUP($A90,'Master vs SAP'!$A$8:$O$291,7,FALSE))</f>
        <v>Alta</v>
      </c>
      <c r="V90" s="9" t="str">
        <f>IF(VLOOKUP($A90,'Master vs SAP'!$A$8:$O$291,6,FALSE)="","",VLOOKUP($A90,'Master vs SAP'!$A$8:$O$291,6,FALSE))</f>
        <v>Coincidencia</v>
      </c>
      <c r="W90" s="24" t="str">
        <f>IF(VLOOKUP($A90,'Master vs SAP'!$A$8:$O$291,15,FALSE)="Homologado",VLOOKUP($A90,'Master vs SAP'!$A$8:$O$291,10,FALSE),"")</f>
        <v/>
      </c>
    </row>
    <row r="91" spans="1:23" ht="61.95" customHeight="1">
      <c r="A91" s="9" t="s">
        <v>274</v>
      </c>
      <c r="B91" s="9" t="s">
        <v>108</v>
      </c>
      <c r="C91" s="9" t="s">
        <v>275</v>
      </c>
      <c r="D91" s="24" t="str">
        <f>IF(VLOOKUP($A91,Neuquén!$A$8:$O$291,4,FALSE)="","",VLOOKUP($A91,Neuquén!$A$8:$O$291,4,FALSE))</f>
        <v>321</v>
      </c>
      <c r="E91" s="9" t="str">
        <f>IF(VLOOKUP($A91,Neuquén!$A$8:$O$291,5,FALSE)="","",VLOOKUP($A91,Neuquén!$A$8:$O$291,5,FALSE))</f>
        <v>FLUMAZENILAMP</v>
      </c>
      <c r="F91" s="9" t="str">
        <f>IF(VLOOKUP($A91,Neuquén!$A$8:$O$291,7,FALSE)="","",VLOOKUP($A91,Neuquén!$A$8:$O$291,7,FALSE))</f>
        <v>Media</v>
      </c>
      <c r="G91" s="9" t="str">
        <f>IF(VLOOKUP($A91,Neuquén!$A$8:$O$291,6,FALSE)="","",VLOOKUP($A91,Neuquén!$A$8:$O$291,6,FALSE))</f>
        <v>Equivalencia a revisar</v>
      </c>
      <c r="H91" s="24" t="str">
        <f>IF(VLOOKUP($A91,'San Juan'!$A$8:$O$291,4,FALSE)="","",VLOOKUP($A91,'San Juan'!$A$8:$O$291,4,FALSE))</f>
        <v/>
      </c>
      <c r="I91" s="9" t="str">
        <f>IF(VLOOKUP($A91,'San Juan'!$A$8:$O$291,5,FALSE)="","",VLOOKUP($A91,'San Juan'!$A$8:$O$291,5,FALSE))</f>
        <v/>
      </c>
      <c r="J91" s="9" t="str">
        <f>IF(VLOOKUP($A91,'San Juan'!$A$8:$O$291,7,FALSE)="","",VLOOKUP($A91,'San Juan'!$A$8:$O$291,7,FALSE))</f>
        <v>Sin coincidencia</v>
      </c>
      <c r="K91" s="9" t="str">
        <f>IF(VLOOKUP($A91,'San Juan'!$A$8:$O$291,6,FALSE)="","",VLOOKUP($A91,'San Juan'!$A$8:$O$291,6,FALSE))</f>
        <v>Sin código encontrado</v>
      </c>
      <c r="L91" s="24" t="str">
        <f>IF(VLOOKUP($A91,Salta!$A$8:$O$291,4,FALSE)="","",VLOOKUP($A91,Salta!$A$8:$O$291,4,FALSE))</f>
        <v>123</v>
      </c>
      <c r="M91" s="9" t="str">
        <f>IF(VLOOKUP($A91,Salta!$A$8:$O$291,5,FALSE)="","",VLOOKUP($A91,Salta!$A$8:$O$291,5,FALSE))</f>
        <v>Flumazenil 1 amp=5ml x0,5ml</v>
      </c>
      <c r="N91" s="9" t="str">
        <f>IF(VLOOKUP($A91,Salta!$A$8:$O$291,7,FALSE)="","",VLOOKUP($A91,Salta!$A$8:$O$291,7,FALSE))</f>
        <v>Media</v>
      </c>
      <c r="O91" s="9" t="str">
        <f>IF(VLOOKUP($A91,Salta!$A$8:$O$291,6,FALSE)="","",VLOOKUP($A91,Salta!$A$8:$O$291,6,FALSE))</f>
        <v>Revisar datos</v>
      </c>
      <c r="P91" s="24" t="str">
        <f>IF(VLOOKUP($A91,Neuquén!$A$8:$O$291,15,FALSE)="Homologado",VLOOKUP($A91,Neuquén!$A$8:$O$291,10,FALSE),"")</f>
        <v/>
      </c>
      <c r="Q91" s="24" t="str">
        <f>IF(VLOOKUP($A91,'San Juan'!$A$8:$O$291,15,FALSE)="Homologado",VLOOKUP($A91,'San Juan'!$A$8:$O$291,10,FALSE),"")</f>
        <v/>
      </c>
      <c r="R91" s="24" t="str">
        <f>IF(VLOOKUP($A91,Salta!$A$8:$O$291,15,FALSE)="Homologado",VLOOKUP($A91,Salta!$A$8:$O$291,10,FALSE),"")</f>
        <v/>
      </c>
      <c r="S91" s="24" t="str">
        <f>IF(VLOOKUP($A91,'Master vs SAP'!$A$8:$O$291,4,FALSE)="","",VLOOKUP($A91,'Master vs SAP'!$A$8:$O$291,4,FALSE))</f>
        <v/>
      </c>
      <c r="T91" s="9" t="str">
        <f>IF(VLOOKUP($A91,'Master vs SAP'!$A$8:$O$291,5,FALSE)="","",VLOOKUP($A91,'Master vs SAP'!$A$8:$O$291,5,FALSE))</f>
        <v/>
      </c>
      <c r="U91" s="9" t="str">
        <f>IF(VLOOKUP($A91,'Master vs SAP'!$A$8:$O$291,7,FALSE)="","",VLOOKUP($A91,'Master vs SAP'!$A$8:$O$291,7,FALSE))</f>
        <v>Sin coincidencia</v>
      </c>
      <c r="V91" s="9" t="str">
        <f>IF(VLOOKUP($A91,'Master vs SAP'!$A$8:$O$291,6,FALSE)="","",VLOOKUP($A91,'Master vs SAP'!$A$8:$O$291,6,FALSE))</f>
        <v>Sin coincidencia</v>
      </c>
      <c r="W91" s="24" t="str">
        <f>IF(VLOOKUP($A91,'Master vs SAP'!$A$8:$O$291,15,FALSE)="Homologado",VLOOKUP($A91,'Master vs SAP'!$A$8:$O$291,10,FALSE),"")</f>
        <v/>
      </c>
    </row>
    <row r="92" spans="1:23" ht="61.95" customHeight="1">
      <c r="A92" s="9" t="s">
        <v>276</v>
      </c>
      <c r="B92" s="9" t="s">
        <v>108</v>
      </c>
      <c r="C92" s="9" t="s">
        <v>277</v>
      </c>
      <c r="D92" s="24" t="str">
        <f>IF(VLOOKUP($A92,Neuquén!$A$8:$O$291,4,FALSE)="","",VLOOKUP($A92,Neuquén!$A$8:$O$291,4,FALSE))</f>
        <v>47</v>
      </c>
      <c r="E92" s="9" t="str">
        <f>IF(VLOOKUP($A92,Neuquén!$A$8:$O$291,5,FALSE)="","",VLOOKUP($A92,Neuquén!$A$8:$O$291,5,FALSE))</f>
        <v>CARBÓNACTIVADO</v>
      </c>
      <c r="F92" s="9" t="str">
        <f>IF(VLOOKUP($A92,Neuquén!$A$8:$O$291,7,FALSE)="","",VLOOKUP($A92,Neuquén!$A$8:$O$291,7,FALSE))</f>
        <v>Media</v>
      </c>
      <c r="G92" s="9" t="str">
        <f>IF(VLOOKUP($A92,Neuquén!$A$8:$O$291,6,FALSE)="","",VLOOKUP($A92,Neuquén!$A$8:$O$291,6,FALSE))</f>
        <v>Equivalencia a revisar</v>
      </c>
      <c r="H92" s="24" t="str">
        <f>IF(VLOOKUP($A92,'San Juan'!$A$8:$O$291,4,FALSE)="","",VLOOKUP($A92,'San Juan'!$A$8:$O$291,4,FALSE))</f>
        <v/>
      </c>
      <c r="I92" s="9" t="str">
        <f>IF(VLOOKUP($A92,'San Juan'!$A$8:$O$291,5,FALSE)="","",VLOOKUP($A92,'San Juan'!$A$8:$O$291,5,FALSE))</f>
        <v/>
      </c>
      <c r="J92" s="9" t="str">
        <f>IF(VLOOKUP($A92,'San Juan'!$A$8:$O$291,7,FALSE)="","",VLOOKUP($A92,'San Juan'!$A$8:$O$291,7,FALSE))</f>
        <v>Sin coincidencia</v>
      </c>
      <c r="K92" s="9" t="str">
        <f>IF(VLOOKUP($A92,'San Juan'!$A$8:$O$291,6,FALSE)="","",VLOOKUP($A92,'San Juan'!$A$8:$O$291,6,FALSE))</f>
        <v>Sin código encontrado</v>
      </c>
      <c r="L92" s="24" t="str">
        <f>IF(VLOOKUP($A92,Salta!$A$8:$O$291,4,FALSE)="","",VLOOKUP($A92,Salta!$A$8:$O$291,4,FALSE))</f>
        <v>408</v>
      </c>
      <c r="M92" s="9" t="str">
        <f>IF(VLOOKUP($A92,Salta!$A$8:$O$291,5,FALSE)="","",VLOOKUP($A92,Salta!$A$8:$O$291,5,FALSE))</f>
        <v>Carbon activado</v>
      </c>
      <c r="N92" s="9" t="str">
        <f>IF(VLOOKUP($A92,Salta!$A$8:$O$291,7,FALSE)="","",VLOOKUP($A92,Salta!$A$8:$O$291,7,FALSE))</f>
        <v>Alta</v>
      </c>
      <c r="O92" s="9" t="str">
        <f>IF(VLOOKUP($A92,Salta!$A$8:$O$291,6,FALSE)="","",VLOOKUP($A92,Salta!$A$8:$O$291,6,FALSE))</f>
        <v>Coincidencia</v>
      </c>
      <c r="P92" s="24" t="str">
        <f>IF(VLOOKUP($A92,Neuquén!$A$8:$O$291,15,FALSE)="Homologado",VLOOKUP($A92,Neuquén!$A$8:$O$291,10,FALSE),"")</f>
        <v/>
      </c>
      <c r="Q92" s="24" t="str">
        <f>IF(VLOOKUP($A92,'San Juan'!$A$8:$O$291,15,FALSE)="Homologado",VLOOKUP($A92,'San Juan'!$A$8:$O$291,10,FALSE),"")</f>
        <v/>
      </c>
      <c r="R92" s="24" t="str">
        <f>IF(VLOOKUP($A92,Salta!$A$8:$O$291,15,FALSE)="Homologado",VLOOKUP($A92,Salta!$A$8:$O$291,10,FALSE),"")</f>
        <v/>
      </c>
      <c r="S92" s="24" t="str">
        <f>IF(VLOOKUP($A92,'Master vs SAP'!$A$8:$O$291,4,FALSE)="","",VLOOKUP($A92,'Master vs SAP'!$A$8:$O$291,4,FALSE))</f>
        <v/>
      </c>
      <c r="T92" s="9" t="str">
        <f>IF(VLOOKUP($A92,'Master vs SAP'!$A$8:$O$291,5,FALSE)="","",VLOOKUP($A92,'Master vs SAP'!$A$8:$O$291,5,FALSE))</f>
        <v/>
      </c>
      <c r="U92" s="9" t="str">
        <f>IF(VLOOKUP($A92,'Master vs SAP'!$A$8:$O$291,7,FALSE)="","",VLOOKUP($A92,'Master vs SAP'!$A$8:$O$291,7,FALSE))</f>
        <v>Sin coincidencia</v>
      </c>
      <c r="V92" s="9" t="str">
        <f>IF(VLOOKUP($A92,'Master vs SAP'!$A$8:$O$291,6,FALSE)="","",VLOOKUP($A92,'Master vs SAP'!$A$8:$O$291,6,FALSE))</f>
        <v>Sin coincidencia</v>
      </c>
      <c r="W92" s="24" t="str">
        <f>IF(VLOOKUP($A92,'Master vs SAP'!$A$8:$O$291,15,FALSE)="Homologado",VLOOKUP($A92,'Master vs SAP'!$A$8:$O$291,10,FALSE),"")</f>
        <v/>
      </c>
    </row>
    <row r="93" spans="1:23" ht="61.95" customHeight="1">
      <c r="A93" s="9" t="s">
        <v>278</v>
      </c>
      <c r="B93" s="9" t="s">
        <v>108</v>
      </c>
      <c r="C93" s="9" t="s">
        <v>279</v>
      </c>
      <c r="D93" s="24" t="str">
        <f>IF(VLOOKUP($A93,Neuquén!$A$8:$O$291,4,FALSE)="","",VLOOKUP($A93,Neuquén!$A$8:$O$291,4,FALSE))</f>
        <v>217</v>
      </c>
      <c r="E93" s="9" t="str">
        <f>IF(VLOOKUP($A93,Neuquén!$A$8:$O$291,5,FALSE)="","",VLOOKUP($A93,Neuquén!$A$8:$O$291,5,FALSE))</f>
        <v>SUEROANTIOFÍDICOPOLIVALENTE</v>
      </c>
      <c r="F93" s="9" t="str">
        <f>IF(VLOOKUP($A93,Neuquén!$A$8:$O$291,7,FALSE)="","",VLOOKUP($A93,Neuquén!$A$8:$O$291,7,FALSE))</f>
        <v>Alta</v>
      </c>
      <c r="G93" s="9" t="str">
        <f>IF(VLOOKUP($A93,Neuquén!$A$8:$O$291,6,FALSE)="","",VLOOKUP($A93,Neuquén!$A$8:$O$291,6,FALSE))</f>
        <v>Coincidencia por validar</v>
      </c>
      <c r="H93" s="24" t="str">
        <f>IF(VLOOKUP($A93,'San Juan'!$A$8:$O$291,4,FALSE)="","",VLOOKUP($A93,'San Juan'!$A$8:$O$291,4,FALSE))</f>
        <v/>
      </c>
      <c r="I93" s="9" t="str">
        <f>IF(VLOOKUP($A93,'San Juan'!$A$8:$O$291,5,FALSE)="","",VLOOKUP($A93,'San Juan'!$A$8:$O$291,5,FALSE))</f>
        <v/>
      </c>
      <c r="J93" s="9" t="str">
        <f>IF(VLOOKUP($A93,'San Juan'!$A$8:$O$291,7,FALSE)="","",VLOOKUP($A93,'San Juan'!$A$8:$O$291,7,FALSE))</f>
        <v>Sin coincidencia</v>
      </c>
      <c r="K93" s="9" t="str">
        <f>IF(VLOOKUP($A93,'San Juan'!$A$8:$O$291,6,FALSE)="","",VLOOKUP($A93,'San Juan'!$A$8:$O$291,6,FALSE))</f>
        <v>Sin código encontrado</v>
      </c>
      <c r="L93" s="24" t="str">
        <f>IF(VLOOKUP($A93,Salta!$A$8:$O$291,4,FALSE)="","",VLOOKUP($A93,Salta!$A$8:$O$291,4,FALSE))</f>
        <v/>
      </c>
      <c r="M93" s="9" t="str">
        <f>IF(VLOOKUP($A93,Salta!$A$8:$O$291,5,FALSE)="","",VLOOKUP($A93,Salta!$A$8:$O$291,5,FALSE))</f>
        <v/>
      </c>
      <c r="N93" s="9" t="str">
        <f>IF(VLOOKUP($A93,Salta!$A$8:$O$291,7,FALSE)="","",VLOOKUP($A93,Salta!$A$8:$O$291,7,FALSE))</f>
        <v>Sin coincidencia</v>
      </c>
      <c r="O93" s="9" t="str">
        <f>IF(VLOOKUP($A93,Salta!$A$8:$O$291,6,FALSE)="","",VLOOKUP($A93,Salta!$A$8:$O$291,6,FALSE))</f>
        <v>Sin coincidencia</v>
      </c>
      <c r="P93" s="24" t="str">
        <f>IF(VLOOKUP($A93,Neuquén!$A$8:$O$291,15,FALSE)="Homologado",VLOOKUP($A93,Neuquén!$A$8:$O$291,10,FALSE),"")</f>
        <v/>
      </c>
      <c r="Q93" s="24" t="str">
        <f>IF(VLOOKUP($A93,'San Juan'!$A$8:$O$291,15,FALSE)="Homologado",VLOOKUP($A93,'San Juan'!$A$8:$O$291,10,FALSE),"")</f>
        <v/>
      </c>
      <c r="R93" s="24" t="str">
        <f>IF(VLOOKUP($A93,Salta!$A$8:$O$291,15,FALSE)="Homologado",VLOOKUP($A93,Salta!$A$8:$O$291,10,FALSE),"")</f>
        <v/>
      </c>
      <c r="S93" s="24" t="str">
        <f>IF(VLOOKUP($A93,'Master vs SAP'!$A$8:$O$291,4,FALSE)="","",VLOOKUP($A93,'Master vs SAP'!$A$8:$O$291,4,FALSE))</f>
        <v>1000174</v>
      </c>
      <c r="T93" s="9" t="str">
        <f>IF(VLOOKUP($A93,'Master vs SAP'!$A$8:$O$291,5,FALSE)="","",VLOOKUP($A93,'Master vs SAP'!$A$8:$O$291,5,FALSE))</f>
        <v>SUERO ANTIOFIDICO AMP</v>
      </c>
      <c r="U93" s="9" t="str">
        <f>IF(VLOOKUP($A93,'Master vs SAP'!$A$8:$O$291,7,FALSE)="","",VLOOKUP($A93,'Master vs SAP'!$A$8:$O$291,7,FALSE))</f>
        <v>Media</v>
      </c>
      <c r="V93" s="9" t="str">
        <f>IF(VLOOKUP($A93,'Master vs SAP'!$A$8:$O$291,6,FALSE)="","",VLOOKUP($A93,'Master vs SAP'!$A$8:$O$291,6,FALSE))</f>
        <v>Revisar datos</v>
      </c>
      <c r="W93" s="24" t="str">
        <f>IF(VLOOKUP($A93,'Master vs SAP'!$A$8:$O$291,15,FALSE)="Homologado",VLOOKUP($A93,'Master vs SAP'!$A$8:$O$291,10,FALSE),"")</f>
        <v/>
      </c>
    </row>
    <row r="94" spans="1:23" ht="61.95" customHeight="1">
      <c r="A94" s="9" t="s">
        <v>280</v>
      </c>
      <c r="B94" s="9" t="s">
        <v>108</v>
      </c>
      <c r="C94" s="9" t="s">
        <v>281</v>
      </c>
      <c r="D94" s="24" t="str">
        <f>IF(VLOOKUP($A94,Neuquén!$A$8:$O$291,4,FALSE)="","",VLOOKUP($A94,Neuquén!$A$8:$O$291,4,FALSE))</f>
        <v>16</v>
      </c>
      <c r="E94" s="9" t="str">
        <f>IF(VLOOKUP($A94,Neuquén!$A$8:$O$291,5,FALSE)="","",VLOOKUP($A94,Neuquén!$A$8:$O$291,5,FALSE))</f>
        <v>AMOXICILINA+AC.CLAVULANICO</v>
      </c>
      <c r="F94" s="9" t="str">
        <f>IF(VLOOKUP($A94,Neuquén!$A$8:$O$291,7,FALSE)="","",VLOOKUP($A94,Neuquén!$A$8:$O$291,7,FALSE))</f>
        <v>Alta</v>
      </c>
      <c r="G94" s="9" t="str">
        <f>IF(VLOOKUP($A94,Neuquén!$A$8:$O$291,6,FALSE)="","",VLOOKUP($A94,Neuquén!$A$8:$O$291,6,FALSE))</f>
        <v>Coincidencia por validar</v>
      </c>
      <c r="H94" s="24" t="str">
        <f>IF(VLOOKUP($A94,'San Juan'!$A$8:$O$291,4,FALSE)="","",VLOOKUP($A94,'San Juan'!$A$8:$O$291,4,FALSE))</f>
        <v>MED14</v>
      </c>
      <c r="I94" s="9" t="str">
        <f>IF(VLOOKUP($A94,'San Juan'!$A$8:$O$291,5,FALSE)="","",VLOOKUP($A94,'San Juan'!$A$8:$O$291,5,FALSE))</f>
        <v>Amoxicilina + Clavulanato Comp x 1 mg</v>
      </c>
      <c r="J94" s="9" t="str">
        <f>IF(VLOOKUP($A94,'San Juan'!$A$8:$O$291,7,FALSE)="","",VLOOKUP($A94,'San Juan'!$A$8:$O$291,7,FALSE))</f>
        <v>Media</v>
      </c>
      <c r="K94" s="9" t="str">
        <f>IF(VLOOKUP($A94,'San Juan'!$A$8:$O$291,6,FALSE)="","",VLOOKUP($A94,'San Juan'!$A$8:$O$291,6,FALSE))</f>
        <v>Unidad o dosis a aclarar</v>
      </c>
      <c r="L94" s="24" t="str">
        <f>IF(VLOOKUP($A94,Salta!$A$8:$O$291,4,FALSE)="","",VLOOKUP($A94,Salta!$A$8:$O$291,4,FALSE))</f>
        <v>36</v>
      </c>
      <c r="M94" s="9" t="str">
        <f>IF(VLOOKUP($A94,Salta!$A$8:$O$291,5,FALSE)="","",VLOOKUP($A94,Salta!$A$8:$O$291,5,FALSE))</f>
        <v>Amoxicilina + Clavulanato Comprimidos X 1g</v>
      </c>
      <c r="N94" s="9" t="str">
        <f>IF(VLOOKUP($A94,Salta!$A$8:$O$291,7,FALSE)="","",VLOOKUP($A94,Salta!$A$8:$O$291,7,FALSE))</f>
        <v>Alta</v>
      </c>
      <c r="O94" s="9" t="str">
        <f>IF(VLOOKUP($A94,Salta!$A$8:$O$291,6,FALSE)="","",VLOOKUP($A94,Salta!$A$8:$O$291,6,FALSE))</f>
        <v>Coincidencia</v>
      </c>
      <c r="P94" s="24" t="str">
        <f>IF(VLOOKUP($A94,Neuquén!$A$8:$O$291,15,FALSE)="Homologado",VLOOKUP($A94,Neuquén!$A$8:$O$291,10,FALSE),"")</f>
        <v/>
      </c>
      <c r="Q94" s="24" t="str">
        <f>IF(VLOOKUP($A94,'San Juan'!$A$8:$O$291,15,FALSE)="Homologado",VLOOKUP($A94,'San Juan'!$A$8:$O$291,10,FALSE),"")</f>
        <v/>
      </c>
      <c r="R94" s="24" t="str">
        <f>IF(VLOOKUP($A94,Salta!$A$8:$O$291,15,FALSE)="Homologado",VLOOKUP($A94,Salta!$A$8:$O$291,10,FALSE),"")</f>
        <v/>
      </c>
      <c r="S94" s="24" t="str">
        <f>IF(VLOOKUP($A94,'Master vs SAP'!$A$8:$O$291,4,FALSE)="","",VLOOKUP($A94,'Master vs SAP'!$A$8:$O$291,4,FALSE))</f>
        <v>1000527
1000816</v>
      </c>
      <c r="T94" s="9" t="str">
        <f>IF(VLOOKUP($A94,'Master vs SAP'!$A$8:$O$291,5,FALSE)="","",VLOOKUP($A94,'Master vs SAP'!$A$8:$O$291,5,FALSE))</f>
        <v>AMOXIDAL CLAVULANICO 1 G
AMOXICILINA+AC.CLA 875MG/125MG x 14 COMP</v>
      </c>
      <c r="U94" s="9" t="str">
        <f>IF(VLOOKUP($A94,'Master vs SAP'!$A$8:$O$291,7,FALSE)="","",VLOOKUP($A94,'Master vs SAP'!$A$8:$O$291,7,FALSE))</f>
        <v>Media</v>
      </c>
      <c r="V94" s="9" t="str">
        <f>IF(VLOOKUP($A94,'Master vs SAP'!$A$8:$O$291,6,FALSE)="","",VLOOKUP($A94,'Master vs SAP'!$A$8:$O$291,6,FALSE))</f>
        <v>Revisar datos</v>
      </c>
      <c r="W94" s="24" t="str">
        <f>IF(VLOOKUP($A94,'Master vs SAP'!$A$8:$O$291,15,FALSE)="Homologado",VLOOKUP($A94,'Master vs SAP'!$A$8:$O$291,10,FALSE),"")</f>
        <v/>
      </c>
    </row>
    <row r="95" spans="1:23" ht="61.95" customHeight="1">
      <c r="A95" s="9" t="s">
        <v>282</v>
      </c>
      <c r="B95" s="9" t="s">
        <v>108</v>
      </c>
      <c r="C95" s="9" t="s">
        <v>283</v>
      </c>
      <c r="D95" s="24" t="str">
        <f>IF(VLOOKUP($A95,Neuquén!$A$8:$O$291,4,FALSE)="","",VLOOKUP($A95,Neuquén!$A$8:$O$291,4,FALSE))</f>
        <v>50</v>
      </c>
      <c r="E95" s="9" t="str">
        <f>IF(VLOOKUP($A95,Neuquén!$A$8:$O$291,5,FALSE)="","",VLOOKUP($A95,Neuquén!$A$8:$O$291,5,FALSE))</f>
        <v>CEFALEXINA</v>
      </c>
      <c r="F95" s="9" t="str">
        <f>IF(VLOOKUP($A95,Neuquén!$A$8:$O$291,7,FALSE)="","",VLOOKUP($A95,Neuquén!$A$8:$O$291,7,FALSE))</f>
        <v>Alta</v>
      </c>
      <c r="G95" s="9" t="str">
        <f>IF(VLOOKUP($A95,Neuquén!$A$8:$O$291,6,FALSE)="","",VLOOKUP($A95,Neuquén!$A$8:$O$291,6,FALSE))</f>
        <v>Coincidencia por validar</v>
      </c>
      <c r="H95" s="24" t="str">
        <f>IF(VLOOKUP($A95,'San Juan'!$A$8:$O$291,4,FALSE)="","",VLOOKUP($A95,'San Juan'!$A$8:$O$291,4,FALSE))</f>
        <v/>
      </c>
      <c r="I95" s="9" t="str">
        <f>IF(VLOOKUP($A95,'San Juan'!$A$8:$O$291,5,FALSE)="","",VLOOKUP($A95,'San Juan'!$A$8:$O$291,5,FALSE))</f>
        <v/>
      </c>
      <c r="J95" s="9" t="str">
        <f>IF(VLOOKUP($A95,'San Juan'!$A$8:$O$291,7,FALSE)="","",VLOOKUP($A95,'San Juan'!$A$8:$O$291,7,FALSE))</f>
        <v>Sin coincidencia</v>
      </c>
      <c r="K95" s="9" t="str">
        <f>IF(VLOOKUP($A95,'San Juan'!$A$8:$O$291,6,FALSE)="","",VLOOKUP($A95,'San Juan'!$A$8:$O$291,6,FALSE))</f>
        <v>Sin código encontrado</v>
      </c>
      <c r="L95" s="24" t="str">
        <f>IF(VLOOKUP($A95,Salta!$A$8:$O$291,4,FALSE)="","",VLOOKUP($A95,Salta!$A$8:$O$291,4,FALSE))</f>
        <v/>
      </c>
      <c r="M95" s="9" t="str">
        <f>IF(VLOOKUP($A95,Salta!$A$8:$O$291,5,FALSE)="","",VLOOKUP($A95,Salta!$A$8:$O$291,5,FALSE))</f>
        <v/>
      </c>
      <c r="N95" s="9" t="str">
        <f>IF(VLOOKUP($A95,Salta!$A$8:$O$291,7,FALSE)="","",VLOOKUP($A95,Salta!$A$8:$O$291,7,FALSE))</f>
        <v>Sin coincidencia</v>
      </c>
      <c r="O95" s="9" t="str">
        <f>IF(VLOOKUP($A95,Salta!$A$8:$O$291,6,FALSE)="","",VLOOKUP($A95,Salta!$A$8:$O$291,6,FALSE))</f>
        <v>Sin coincidencia</v>
      </c>
      <c r="P95" s="24" t="str">
        <f>IF(VLOOKUP($A95,Neuquén!$A$8:$O$291,15,FALSE)="Homologado",VLOOKUP($A95,Neuquén!$A$8:$O$291,10,FALSE),"")</f>
        <v/>
      </c>
      <c r="Q95" s="24" t="str">
        <f>IF(VLOOKUP($A95,'San Juan'!$A$8:$O$291,15,FALSE)="Homologado",VLOOKUP($A95,'San Juan'!$A$8:$O$291,10,FALSE),"")</f>
        <v/>
      </c>
      <c r="R95" s="24" t="str">
        <f>IF(VLOOKUP($A95,Salta!$A$8:$O$291,15,FALSE)="Homologado",VLOOKUP($A95,Salta!$A$8:$O$291,10,FALSE),"")</f>
        <v/>
      </c>
      <c r="S95" s="24" t="str">
        <f>IF(VLOOKUP($A95,'Master vs SAP'!$A$8:$O$291,4,FALSE)="","",VLOOKUP($A95,'Master vs SAP'!$A$8:$O$291,4,FALSE))</f>
        <v>1000480
1005092</v>
      </c>
      <c r="T95" s="9" t="str">
        <f>IF(VLOOKUP($A95,'Master vs SAP'!$A$8:$O$291,5,FALSE)="","",VLOOKUP($A95,'Master vs SAP'!$A$8:$O$291,5,FALSE))</f>
        <v>CEFALEXINA 500MG COMPRIMIDOS
BUTEFINA 500MG X 80COMP</v>
      </c>
      <c r="U95" s="9" t="str">
        <f>IF(VLOOKUP($A95,'Master vs SAP'!$A$8:$O$291,7,FALSE)="","",VLOOKUP($A95,'Master vs SAP'!$A$8:$O$291,7,FALSE))</f>
        <v>Alta</v>
      </c>
      <c r="V95" s="9" t="str">
        <f>IF(VLOOKUP($A95,'Master vs SAP'!$A$8:$O$291,6,FALSE)="","",VLOOKUP($A95,'Master vs SAP'!$A$8:$O$291,6,FALSE))</f>
        <v>Coincidencia</v>
      </c>
      <c r="W95" s="24" t="str">
        <f>IF(VLOOKUP($A95,'Master vs SAP'!$A$8:$O$291,15,FALSE)="Homologado",VLOOKUP($A95,'Master vs SAP'!$A$8:$O$291,10,FALSE),"")</f>
        <v/>
      </c>
    </row>
    <row r="96" spans="1:23" ht="61.95" customHeight="1">
      <c r="A96" s="9" t="s">
        <v>284</v>
      </c>
      <c r="B96" s="9" t="s">
        <v>108</v>
      </c>
      <c r="C96" s="9" t="s">
        <v>285</v>
      </c>
      <c r="D96" s="24" t="str">
        <f>IF(VLOOKUP($A96,Neuquén!$A$8:$O$291,4,FALSE)="","",VLOOKUP($A96,Neuquén!$A$8:$O$291,4,FALSE))</f>
        <v>28</v>
      </c>
      <c r="E96" s="9" t="str">
        <f>IF(VLOOKUP($A96,Neuquén!$A$8:$O$291,5,FALSE)="","",VLOOKUP($A96,Neuquén!$A$8:$O$291,5,FALSE))</f>
        <v>AZITROMICINA</v>
      </c>
      <c r="F96" s="9" t="str">
        <f>IF(VLOOKUP($A96,Neuquén!$A$8:$O$291,7,FALSE)="","",VLOOKUP($A96,Neuquén!$A$8:$O$291,7,FALSE))</f>
        <v>Alta</v>
      </c>
      <c r="G96" s="9" t="str">
        <f>IF(VLOOKUP($A96,Neuquén!$A$8:$O$291,6,FALSE)="","",VLOOKUP($A96,Neuquén!$A$8:$O$291,6,FALSE))</f>
        <v>Coincidencia por validar</v>
      </c>
      <c r="H96" s="24" t="str">
        <f>IF(VLOOKUP($A96,'San Juan'!$A$8:$O$291,4,FALSE)="","",VLOOKUP($A96,'San Juan'!$A$8:$O$291,4,FALSE))</f>
        <v/>
      </c>
      <c r="I96" s="9" t="str">
        <f>IF(VLOOKUP($A96,'San Juan'!$A$8:$O$291,5,FALSE)="","",VLOOKUP($A96,'San Juan'!$A$8:$O$291,5,FALSE))</f>
        <v/>
      </c>
      <c r="J96" s="9" t="str">
        <f>IF(VLOOKUP($A96,'San Juan'!$A$8:$O$291,7,FALSE)="","",VLOOKUP($A96,'San Juan'!$A$8:$O$291,7,FALSE))</f>
        <v>Sin coincidencia</v>
      </c>
      <c r="K96" s="9" t="str">
        <f>IF(VLOOKUP($A96,'San Juan'!$A$8:$O$291,6,FALSE)="","",VLOOKUP($A96,'San Juan'!$A$8:$O$291,6,FALSE))</f>
        <v>Sin código encontrado</v>
      </c>
      <c r="L96" s="24" t="str">
        <f>IF(VLOOKUP($A96,Salta!$A$8:$O$291,4,FALSE)="","",VLOOKUP($A96,Salta!$A$8:$O$291,4,FALSE))</f>
        <v>41</v>
      </c>
      <c r="M96" s="9" t="str">
        <f>IF(VLOOKUP($A96,Salta!$A$8:$O$291,5,FALSE)="","",VLOOKUP($A96,Salta!$A$8:$O$291,5,FALSE))</f>
        <v>Azitromicina Comprimidos x 500mg</v>
      </c>
      <c r="N96" s="9" t="str">
        <f>IF(VLOOKUP($A96,Salta!$A$8:$O$291,7,FALSE)="","",VLOOKUP($A96,Salta!$A$8:$O$291,7,FALSE))</f>
        <v>Alta</v>
      </c>
      <c r="O96" s="9" t="str">
        <f>IF(VLOOKUP($A96,Salta!$A$8:$O$291,6,FALSE)="","",VLOOKUP($A96,Salta!$A$8:$O$291,6,FALSE))</f>
        <v>Coincidencia</v>
      </c>
      <c r="P96" s="24" t="str">
        <f>IF(VLOOKUP($A96,Neuquén!$A$8:$O$291,15,FALSE)="Homologado",VLOOKUP($A96,Neuquén!$A$8:$O$291,10,FALSE),"")</f>
        <v/>
      </c>
      <c r="Q96" s="24" t="str">
        <f>IF(VLOOKUP($A96,'San Juan'!$A$8:$O$291,15,FALSE)="Homologado",VLOOKUP($A96,'San Juan'!$A$8:$O$291,10,FALSE),"")</f>
        <v/>
      </c>
      <c r="R96" s="24" t="str">
        <f>IF(VLOOKUP($A96,Salta!$A$8:$O$291,15,FALSE)="Homologado",VLOOKUP($A96,Salta!$A$8:$O$291,10,FALSE),"")</f>
        <v/>
      </c>
      <c r="S96" s="24" t="str">
        <f>IF(VLOOKUP($A96,'Master vs SAP'!$A$8:$O$291,4,FALSE)="","",VLOOKUP($A96,'Master vs SAP'!$A$8:$O$291,4,FALSE))</f>
        <v>1000486</v>
      </c>
      <c r="T96" s="9" t="str">
        <f>IF(VLOOKUP($A96,'Master vs SAP'!$A$8:$O$291,5,FALSE)="","",VLOOKUP($A96,'Master vs SAP'!$A$8:$O$291,5,FALSE))</f>
        <v>AZITROMICINA 500 MG COMP</v>
      </c>
      <c r="U96" s="9" t="str">
        <f>IF(VLOOKUP($A96,'Master vs SAP'!$A$8:$O$291,7,FALSE)="","",VLOOKUP($A96,'Master vs SAP'!$A$8:$O$291,7,FALSE))</f>
        <v>Alta</v>
      </c>
      <c r="V96" s="9" t="str">
        <f>IF(VLOOKUP($A96,'Master vs SAP'!$A$8:$O$291,6,FALSE)="","",VLOOKUP($A96,'Master vs SAP'!$A$8:$O$291,6,FALSE))</f>
        <v>Coincidencia</v>
      </c>
      <c r="W96" s="24" t="str">
        <f>IF(VLOOKUP($A96,'Master vs SAP'!$A$8:$O$291,15,FALSE)="Homologado",VLOOKUP($A96,'Master vs SAP'!$A$8:$O$291,10,FALSE),"")</f>
        <v/>
      </c>
    </row>
    <row r="97" spans="1:23" ht="61.95" customHeight="1">
      <c r="A97" s="9" t="s">
        <v>286</v>
      </c>
      <c r="B97" s="9" t="s">
        <v>108</v>
      </c>
      <c r="C97" s="9" t="s">
        <v>287</v>
      </c>
      <c r="D97" s="24" t="str">
        <f>IF(VLOOKUP($A97,Neuquén!$A$8:$O$291,4,FALSE)="","",VLOOKUP($A97,Neuquén!$A$8:$O$291,4,FALSE))</f>
        <v>55</v>
      </c>
      <c r="E97" s="9" t="str">
        <f>IF(VLOOKUP($A97,Neuquén!$A$8:$O$291,5,FALSE)="","",VLOOKUP($A97,Neuquén!$A$8:$O$291,5,FALSE))</f>
        <v>CIPROFLOXACINA</v>
      </c>
      <c r="F97" s="9" t="str">
        <f>IF(VLOOKUP($A97,Neuquén!$A$8:$O$291,7,FALSE)="","",VLOOKUP($A97,Neuquén!$A$8:$O$291,7,FALSE))</f>
        <v>Media</v>
      </c>
      <c r="G97" s="9" t="str">
        <f>IF(VLOOKUP($A97,Neuquén!$A$8:$O$291,6,FALSE)="","",VLOOKUP($A97,Neuquén!$A$8:$O$291,6,FALSE))</f>
        <v>Equivalencia a revisar</v>
      </c>
      <c r="H97" s="24" t="str">
        <f>IF(VLOOKUP($A97,'San Juan'!$A$8:$O$291,4,FALSE)="","",VLOOKUP($A97,'San Juan'!$A$8:$O$291,4,FALSE))</f>
        <v>MED37</v>
      </c>
      <c r="I97" s="9" t="str">
        <f>IF(VLOOKUP($A97,'San Juan'!$A$8:$O$291,5,FALSE)="","",VLOOKUP($A97,'San Juan'!$A$8:$O$291,5,FALSE))</f>
        <v>Ciprofloxacina Comp x 500 mg</v>
      </c>
      <c r="J97" s="9" t="str">
        <f>IF(VLOOKUP($A97,'San Juan'!$A$8:$O$291,7,FALSE)="","",VLOOKUP($A97,'San Juan'!$A$8:$O$291,7,FALSE))</f>
        <v>Alta</v>
      </c>
      <c r="K97" s="9" t="str">
        <f>IF(VLOOKUP($A97,'San Juan'!$A$8:$O$291,6,FALSE)="","",VLOOKUP($A97,'San Juan'!$A$8:$O$291,6,FALSE))</f>
        <v>Coincidencia por validar</v>
      </c>
      <c r="L97" s="24" t="str">
        <f>IF(VLOOKUP($A97,Salta!$A$8:$O$291,4,FALSE)="","",VLOOKUP($A97,Salta!$A$8:$O$291,4,FALSE))</f>
        <v>72</v>
      </c>
      <c r="M97" s="9" t="str">
        <f>IF(VLOOKUP($A97,Salta!$A$8:$O$291,5,FALSE)="","",VLOOKUP($A97,Salta!$A$8:$O$291,5,FALSE))</f>
        <v>Ciprofloxacina Comprimidos x 500mg</v>
      </c>
      <c r="N97" s="9" t="str">
        <f>IF(VLOOKUP($A97,Salta!$A$8:$O$291,7,FALSE)="","",VLOOKUP($A97,Salta!$A$8:$O$291,7,FALSE))</f>
        <v>Alta</v>
      </c>
      <c r="O97" s="9" t="str">
        <f>IF(VLOOKUP($A97,Salta!$A$8:$O$291,6,FALSE)="","",VLOOKUP($A97,Salta!$A$8:$O$291,6,FALSE))</f>
        <v>Coincidencia</v>
      </c>
      <c r="P97" s="24" t="str">
        <f>IF(VLOOKUP($A97,Neuquén!$A$8:$O$291,15,FALSE)="Homologado",VLOOKUP($A97,Neuquén!$A$8:$O$291,10,FALSE),"")</f>
        <v/>
      </c>
      <c r="Q97" s="24" t="str">
        <f>IF(VLOOKUP($A97,'San Juan'!$A$8:$O$291,15,FALSE)="Homologado",VLOOKUP($A97,'San Juan'!$A$8:$O$291,10,FALSE),"")</f>
        <v/>
      </c>
      <c r="R97" s="24" t="str">
        <f>IF(VLOOKUP($A97,Salta!$A$8:$O$291,15,FALSE)="Homologado",VLOOKUP($A97,Salta!$A$8:$O$291,10,FALSE),"")</f>
        <v/>
      </c>
      <c r="S97" s="24" t="str">
        <f>IF(VLOOKUP($A97,'Master vs SAP'!$A$8:$O$291,4,FALSE)="","",VLOOKUP($A97,'Master vs SAP'!$A$8:$O$291,4,FALSE))</f>
        <v>1000485
1000853</v>
      </c>
      <c r="T97" s="9" t="str">
        <f>IF(VLOOKUP($A97,'Master vs SAP'!$A$8:$O$291,5,FALSE)="","",VLOOKUP($A97,'Master vs SAP'!$A$8:$O$291,5,FALSE))</f>
        <v>CIPROFLOXACINA 500MG COMP
CIPROFLOXACINA 500MG x 20 COMPRIMIDOS</v>
      </c>
      <c r="U97" s="9" t="str">
        <f>IF(VLOOKUP($A97,'Master vs SAP'!$A$8:$O$291,7,FALSE)="","",VLOOKUP($A97,'Master vs SAP'!$A$8:$O$291,7,FALSE))</f>
        <v>Alta</v>
      </c>
      <c r="V97" s="9" t="str">
        <f>IF(VLOOKUP($A97,'Master vs SAP'!$A$8:$O$291,6,FALSE)="","",VLOOKUP($A97,'Master vs SAP'!$A$8:$O$291,6,FALSE))</f>
        <v>Coincidencia</v>
      </c>
      <c r="W97" s="24" t="str">
        <f>IF(VLOOKUP($A97,'Master vs SAP'!$A$8:$O$291,15,FALSE)="Homologado",VLOOKUP($A97,'Master vs SAP'!$A$8:$O$291,10,FALSE),"")</f>
        <v/>
      </c>
    </row>
    <row r="98" spans="1:23" ht="61.95" customHeight="1">
      <c r="A98" s="9" t="s">
        <v>288</v>
      </c>
      <c r="B98" s="9" t="s">
        <v>108</v>
      </c>
      <c r="C98" s="9" t="s">
        <v>289</v>
      </c>
      <c r="D98" s="24" t="str">
        <f>IF(VLOOKUP($A98,Neuquén!$A$8:$O$291,4,FALSE)="","",VLOOKUP($A98,Neuquén!$A$8:$O$291,4,FALSE))</f>
        <v>509</v>
      </c>
      <c r="E98" s="9" t="str">
        <f>IF(VLOOKUP($A98,Neuquén!$A$8:$O$291,5,FALSE)="","",VLOOKUP($A98,Neuquén!$A$8:$O$291,5,FALSE))</f>
        <v>Levofloxacina</v>
      </c>
      <c r="F98" s="9" t="str">
        <f>IF(VLOOKUP($A98,Neuquén!$A$8:$O$291,7,FALSE)="","",VLOOKUP($A98,Neuquén!$A$8:$O$291,7,FALSE))</f>
        <v>Alta</v>
      </c>
      <c r="G98" s="9" t="str">
        <f>IF(VLOOKUP($A98,Neuquén!$A$8:$O$291,6,FALSE)="","",VLOOKUP($A98,Neuquén!$A$8:$O$291,6,FALSE))</f>
        <v>Coincidencia por validar</v>
      </c>
      <c r="H98" s="24" t="str">
        <f>IF(VLOOKUP($A98,'San Juan'!$A$8:$O$291,4,FALSE)="","",VLOOKUP($A98,'San Juan'!$A$8:$O$291,4,FALSE))</f>
        <v>MED115</v>
      </c>
      <c r="I98" s="9" t="str">
        <f>IF(VLOOKUP($A98,'San Juan'!$A$8:$O$291,5,FALSE)="","",VLOOKUP($A98,'San Juan'!$A$8:$O$291,5,FALSE))</f>
        <v>Levofloxacina Comp x 500 mg</v>
      </c>
      <c r="J98" s="9" t="str">
        <f>IF(VLOOKUP($A98,'San Juan'!$A$8:$O$291,7,FALSE)="","",VLOOKUP($A98,'San Juan'!$A$8:$O$291,7,FALSE))</f>
        <v>Alta</v>
      </c>
      <c r="K98" s="9" t="str">
        <f>IF(VLOOKUP($A98,'San Juan'!$A$8:$O$291,6,FALSE)="","",VLOOKUP($A98,'San Juan'!$A$8:$O$291,6,FALSE))</f>
        <v>Coincidencia por validar</v>
      </c>
      <c r="L98" s="24" t="str">
        <f>IF(VLOOKUP($A98,Salta!$A$8:$O$291,4,FALSE)="","",VLOOKUP($A98,Salta!$A$8:$O$291,4,FALSE))</f>
        <v/>
      </c>
      <c r="M98" s="9" t="str">
        <f>IF(VLOOKUP($A98,Salta!$A$8:$O$291,5,FALSE)="","",VLOOKUP($A98,Salta!$A$8:$O$291,5,FALSE))</f>
        <v/>
      </c>
      <c r="N98" s="9" t="str">
        <f>IF(VLOOKUP($A98,Salta!$A$8:$O$291,7,FALSE)="","",VLOOKUP($A98,Salta!$A$8:$O$291,7,FALSE))</f>
        <v>Sin coincidencia</v>
      </c>
      <c r="O98" s="9" t="str">
        <f>IF(VLOOKUP($A98,Salta!$A$8:$O$291,6,FALSE)="","",VLOOKUP($A98,Salta!$A$8:$O$291,6,FALSE))</f>
        <v>Sin coincidencia</v>
      </c>
      <c r="P98" s="24" t="str">
        <f>IF(VLOOKUP($A98,Neuquén!$A$8:$O$291,15,FALSE)="Homologado",VLOOKUP($A98,Neuquén!$A$8:$O$291,10,FALSE),"")</f>
        <v/>
      </c>
      <c r="Q98" s="24" t="str">
        <f>IF(VLOOKUP($A98,'San Juan'!$A$8:$O$291,15,FALSE)="Homologado",VLOOKUP($A98,'San Juan'!$A$8:$O$291,10,FALSE),"")</f>
        <v/>
      </c>
      <c r="R98" s="24" t="str">
        <f>IF(VLOOKUP($A98,Salta!$A$8:$O$291,15,FALSE)="Homologado",VLOOKUP($A98,Salta!$A$8:$O$291,10,FALSE),"")</f>
        <v/>
      </c>
      <c r="S98" s="24" t="str">
        <f>IF(VLOOKUP($A98,'Master vs SAP'!$A$8:$O$291,4,FALSE)="","",VLOOKUP($A98,'Master vs SAP'!$A$8:$O$291,4,FALSE))</f>
        <v>1000565</v>
      </c>
      <c r="T98" s="9" t="str">
        <f>IF(VLOOKUP($A98,'Master vs SAP'!$A$8:$O$291,5,FALSE)="","",VLOOKUP($A98,'Master vs SAP'!$A$8:$O$291,5,FALSE))</f>
        <v>LEVOFLOXACINA 500MG</v>
      </c>
      <c r="U98" s="9" t="str">
        <f>IF(VLOOKUP($A98,'Master vs SAP'!$A$8:$O$291,7,FALSE)="","",VLOOKUP($A98,'Master vs SAP'!$A$8:$O$291,7,FALSE))</f>
        <v>Alta</v>
      </c>
      <c r="V98" s="9" t="str">
        <f>IF(VLOOKUP($A98,'Master vs SAP'!$A$8:$O$291,6,FALSE)="","",VLOOKUP($A98,'Master vs SAP'!$A$8:$O$291,6,FALSE))</f>
        <v>Coincidencia</v>
      </c>
      <c r="W98" s="24" t="str">
        <f>IF(VLOOKUP($A98,'Master vs SAP'!$A$8:$O$291,15,FALSE)="Homologado",VLOOKUP($A98,'Master vs SAP'!$A$8:$O$291,10,FALSE),"")</f>
        <v/>
      </c>
    </row>
    <row r="99" spans="1:23" ht="61.95" customHeight="1">
      <c r="A99" s="9" t="s">
        <v>290</v>
      </c>
      <c r="B99" s="9" t="s">
        <v>108</v>
      </c>
      <c r="C99" s="9" t="s">
        <v>291</v>
      </c>
      <c r="D99" s="24" t="str">
        <f>IF(VLOOKUP($A99,Neuquén!$A$8:$O$291,4,FALSE)="","",VLOOKUP($A99,Neuquén!$A$8:$O$291,4,FALSE))</f>
        <v>59</v>
      </c>
      <c r="E99" s="9" t="str">
        <f>IF(VLOOKUP($A99,Neuquén!$A$8:$O$291,5,FALSE)="","",VLOOKUP($A99,Neuquén!$A$8:$O$291,5,FALSE))</f>
        <v>CLARITRIMICINA</v>
      </c>
      <c r="F99" s="9" t="str">
        <f>IF(VLOOKUP($A99,Neuquén!$A$8:$O$291,7,FALSE)="","",VLOOKUP($A99,Neuquén!$A$8:$O$291,7,FALSE))</f>
        <v>Media</v>
      </c>
      <c r="G99" s="9" t="str">
        <f>IF(VLOOKUP($A99,Neuquén!$A$8:$O$291,6,FALSE)="","",VLOOKUP($A99,Neuquén!$A$8:$O$291,6,FALSE))</f>
        <v>Equivalencia a revisar</v>
      </c>
      <c r="H99" s="24" t="str">
        <f>IF(VLOOKUP($A99,'San Juan'!$A$8:$O$291,4,FALSE)="","",VLOOKUP($A99,'San Juan'!$A$8:$O$291,4,FALSE))</f>
        <v/>
      </c>
      <c r="I99" s="9" t="str">
        <f>IF(VLOOKUP($A99,'San Juan'!$A$8:$O$291,5,FALSE)="","",VLOOKUP($A99,'San Juan'!$A$8:$O$291,5,FALSE))</f>
        <v/>
      </c>
      <c r="J99" s="9" t="str">
        <f>IF(VLOOKUP($A99,'San Juan'!$A$8:$O$291,7,FALSE)="","",VLOOKUP($A99,'San Juan'!$A$8:$O$291,7,FALSE))</f>
        <v>Sin coincidencia</v>
      </c>
      <c r="K99" s="9" t="str">
        <f>IF(VLOOKUP($A99,'San Juan'!$A$8:$O$291,6,FALSE)="","",VLOOKUP($A99,'San Juan'!$A$8:$O$291,6,FALSE))</f>
        <v>Sin código encontrado</v>
      </c>
      <c r="L99" s="24" t="str">
        <f>IF(VLOOKUP($A99,Salta!$A$8:$O$291,4,FALSE)="","",VLOOKUP($A99,Salta!$A$8:$O$291,4,FALSE))</f>
        <v>73</v>
      </c>
      <c r="M99" s="9" t="str">
        <f>IF(VLOOKUP($A99,Salta!$A$8:$O$291,5,FALSE)="","",VLOOKUP($A99,Salta!$A$8:$O$291,5,FALSE))</f>
        <v>Claritromicina Comprimidos x 500mg</v>
      </c>
      <c r="N99" s="9" t="str">
        <f>IF(VLOOKUP($A99,Salta!$A$8:$O$291,7,FALSE)="","",VLOOKUP($A99,Salta!$A$8:$O$291,7,FALSE))</f>
        <v>Alta</v>
      </c>
      <c r="O99" s="9" t="str">
        <f>IF(VLOOKUP($A99,Salta!$A$8:$O$291,6,FALSE)="","",VLOOKUP($A99,Salta!$A$8:$O$291,6,FALSE))</f>
        <v>Coincidencia</v>
      </c>
      <c r="P99" s="24" t="str">
        <f>IF(VLOOKUP($A99,Neuquén!$A$8:$O$291,15,FALSE)="Homologado",VLOOKUP($A99,Neuquén!$A$8:$O$291,10,FALSE),"")</f>
        <v/>
      </c>
      <c r="Q99" s="24" t="str">
        <f>IF(VLOOKUP($A99,'San Juan'!$A$8:$O$291,15,FALSE)="Homologado",VLOOKUP($A99,'San Juan'!$A$8:$O$291,10,FALSE),"")</f>
        <v/>
      </c>
      <c r="R99" s="24" t="str">
        <f>IF(VLOOKUP($A99,Salta!$A$8:$O$291,15,FALSE)="Homologado",VLOOKUP($A99,Salta!$A$8:$O$291,10,FALSE),"")</f>
        <v/>
      </c>
      <c r="S99" s="24" t="str">
        <f>IF(VLOOKUP($A99,'Master vs SAP'!$A$8:$O$291,4,FALSE)="","",VLOOKUP($A99,'Master vs SAP'!$A$8:$O$291,4,FALSE))</f>
        <v>1000526</v>
      </c>
      <c r="T99" s="9" t="str">
        <f>IF(VLOOKUP($A99,'Master vs SAP'!$A$8:$O$291,5,FALSE)="","",VLOOKUP($A99,'Master vs SAP'!$A$8:$O$291,5,FALSE))</f>
        <v>CLARITROMICINA 500 COMPRIMIDOS</v>
      </c>
      <c r="U99" s="9" t="str">
        <f>IF(VLOOKUP($A99,'Master vs SAP'!$A$8:$O$291,7,FALSE)="","",VLOOKUP($A99,'Master vs SAP'!$A$8:$O$291,7,FALSE))</f>
        <v>Media</v>
      </c>
      <c r="V99" s="9" t="str">
        <f>IF(VLOOKUP($A99,'Master vs SAP'!$A$8:$O$291,6,FALSE)="","",VLOOKUP($A99,'Master vs SAP'!$A$8:$O$291,6,FALSE))</f>
        <v>Revisar datos</v>
      </c>
      <c r="W99" s="24" t="str">
        <f>IF(VLOOKUP($A99,'Master vs SAP'!$A$8:$O$291,15,FALSE)="Homologado",VLOOKUP($A99,'Master vs SAP'!$A$8:$O$291,10,FALSE),"")</f>
        <v/>
      </c>
    </row>
    <row r="100" spans="1:23" ht="61.95" customHeight="1">
      <c r="A100" s="9" t="s">
        <v>292</v>
      </c>
      <c r="B100" s="9" t="s">
        <v>108</v>
      </c>
      <c r="C100" s="9" t="s">
        <v>293</v>
      </c>
      <c r="D100" s="24" t="str">
        <f>IF(VLOOKUP($A100,Neuquén!$A$8:$O$291,4,FALSE)="","",VLOOKUP($A100,Neuquén!$A$8:$O$291,4,FALSE))</f>
        <v>511</v>
      </c>
      <c r="E100" s="9" t="str">
        <f>IF(VLOOKUP($A100,Neuquén!$A$8:$O$291,5,FALSE)="","",VLOOKUP($A100,Neuquén!$A$8:$O$291,5,FALSE))</f>
        <v>Clindamicina</v>
      </c>
      <c r="F100" s="9" t="str">
        <f>IF(VLOOKUP($A100,Neuquén!$A$8:$O$291,7,FALSE)="","",VLOOKUP($A100,Neuquén!$A$8:$O$291,7,FALSE))</f>
        <v>Alta</v>
      </c>
      <c r="G100" s="9" t="str">
        <f>IF(VLOOKUP($A100,Neuquén!$A$8:$O$291,6,FALSE)="","",VLOOKUP($A100,Neuquén!$A$8:$O$291,6,FALSE))</f>
        <v>Coincidencia por validar</v>
      </c>
      <c r="H100" s="24" t="str">
        <f>IF(VLOOKUP($A100,'San Juan'!$A$8:$O$291,4,FALSE)="","",VLOOKUP($A100,'San Juan'!$A$8:$O$291,4,FALSE))</f>
        <v>MED40</v>
      </c>
      <c r="I100" s="9" t="str">
        <f>IF(VLOOKUP($A100,'San Juan'!$A$8:$O$291,5,FALSE)="","",VLOOKUP($A100,'San Juan'!$A$8:$O$291,5,FALSE))</f>
        <v>Clindamicina 300 mg (FM) comp</v>
      </c>
      <c r="J100" s="9" t="str">
        <f>IF(VLOOKUP($A100,'San Juan'!$A$8:$O$291,7,FALSE)="","",VLOOKUP($A100,'San Juan'!$A$8:$O$291,7,FALSE))</f>
        <v>Alta</v>
      </c>
      <c r="K100" s="9" t="str">
        <f>IF(VLOOKUP($A100,'San Juan'!$A$8:$O$291,6,FALSE)="","",VLOOKUP($A100,'San Juan'!$A$8:$O$291,6,FALSE))</f>
        <v>Coincidencia por validar</v>
      </c>
      <c r="L100" s="24" t="str">
        <f>IF(VLOOKUP($A100,Salta!$A$8:$O$291,4,FALSE)="","",VLOOKUP($A100,Salta!$A$8:$O$291,4,FALSE))</f>
        <v>74</v>
      </c>
      <c r="M100" s="9" t="str">
        <f>IF(VLOOKUP($A100,Salta!$A$8:$O$291,5,FALSE)="","",VLOOKUP($A100,Salta!$A$8:$O$291,5,FALSE))</f>
        <v>Clindamicina capsulas</v>
      </c>
      <c r="N100" s="9" t="str">
        <f>IF(VLOOKUP($A100,Salta!$A$8:$O$291,7,FALSE)="","",VLOOKUP($A100,Salta!$A$8:$O$291,7,FALSE))</f>
        <v>Media</v>
      </c>
      <c r="O100" s="9" t="str">
        <f>IF(VLOOKUP($A100,Salta!$A$8:$O$291,6,FALSE)="","",VLOOKUP($A100,Salta!$A$8:$O$291,6,FALSE))</f>
        <v>Revisar datos</v>
      </c>
      <c r="P100" s="24" t="str">
        <f>IF(VLOOKUP($A100,Neuquén!$A$8:$O$291,15,FALSE)="Homologado",VLOOKUP($A100,Neuquén!$A$8:$O$291,10,FALSE),"")</f>
        <v/>
      </c>
      <c r="Q100" s="24" t="str">
        <f>IF(VLOOKUP($A100,'San Juan'!$A$8:$O$291,15,FALSE)="Homologado",VLOOKUP($A100,'San Juan'!$A$8:$O$291,10,FALSE),"")</f>
        <v/>
      </c>
      <c r="R100" s="24" t="str">
        <f>IF(VLOOKUP($A100,Salta!$A$8:$O$291,15,FALSE)="Homologado",VLOOKUP($A100,Salta!$A$8:$O$291,10,FALSE),"")</f>
        <v/>
      </c>
      <c r="S100" s="24" t="str">
        <f>IF(VLOOKUP($A100,'Master vs SAP'!$A$8:$O$291,4,FALSE)="","",VLOOKUP($A100,'Master vs SAP'!$A$8:$O$291,4,FALSE))</f>
        <v>1001249</v>
      </c>
      <c r="T100" s="9" t="str">
        <f>IF(VLOOKUP($A100,'Master vs SAP'!$A$8:$O$291,5,FALSE)="","",VLOOKUP($A100,'Master vs SAP'!$A$8:$O$291,5,FALSE))</f>
        <v>Clindamicina 300mgs caps</v>
      </c>
      <c r="U100" s="9" t="str">
        <f>IF(VLOOKUP($A100,'Master vs SAP'!$A$8:$O$291,7,FALSE)="","",VLOOKUP($A100,'Master vs SAP'!$A$8:$O$291,7,FALSE))</f>
        <v>Alta</v>
      </c>
      <c r="V100" s="9" t="str">
        <f>IF(VLOOKUP($A100,'Master vs SAP'!$A$8:$O$291,6,FALSE)="","",VLOOKUP($A100,'Master vs SAP'!$A$8:$O$291,6,FALSE))</f>
        <v>Coincidencia</v>
      </c>
      <c r="W100" s="24" t="str">
        <f>IF(VLOOKUP($A100,'Master vs SAP'!$A$8:$O$291,15,FALSE)="Homologado",VLOOKUP($A100,'Master vs SAP'!$A$8:$O$291,10,FALSE),"")</f>
        <v/>
      </c>
    </row>
    <row r="101" spans="1:23" ht="61.95" customHeight="1">
      <c r="A101" s="9" t="s">
        <v>294</v>
      </c>
      <c r="B101" s="9" t="s">
        <v>108</v>
      </c>
      <c r="C101" s="9" t="s">
        <v>295</v>
      </c>
      <c r="D101" s="24" t="str">
        <f>IF(VLOOKUP($A101,Neuquén!$A$8:$O$291,4,FALSE)="","",VLOOKUP($A101,Neuquén!$A$8:$O$291,4,FALSE))</f>
        <v>512</v>
      </c>
      <c r="E101" s="9" t="str">
        <f>IF(VLOOKUP($A101,Neuquén!$A$8:$O$291,5,FALSE)="","",VLOOKUP($A101,Neuquén!$A$8:$O$291,5,FALSE))</f>
        <v>Metronidazol</v>
      </c>
      <c r="F101" s="9" t="str">
        <f>IF(VLOOKUP($A101,Neuquén!$A$8:$O$291,7,FALSE)="","",VLOOKUP($A101,Neuquén!$A$8:$O$291,7,FALSE))</f>
        <v>Alta</v>
      </c>
      <c r="G101" s="9" t="str">
        <f>IF(VLOOKUP($A101,Neuquén!$A$8:$O$291,6,FALSE)="","",VLOOKUP($A101,Neuquén!$A$8:$O$291,6,FALSE))</f>
        <v>Coincidencia por validar</v>
      </c>
      <c r="H101" s="24" t="str">
        <f>IF(VLOOKUP($A101,'San Juan'!$A$8:$O$291,4,FALSE)="","",VLOOKUP($A101,'San Juan'!$A$8:$O$291,4,FALSE))</f>
        <v/>
      </c>
      <c r="I101" s="9" t="str">
        <f>IF(VLOOKUP($A101,'San Juan'!$A$8:$O$291,5,FALSE)="","",VLOOKUP($A101,'San Juan'!$A$8:$O$291,5,FALSE))</f>
        <v/>
      </c>
      <c r="J101" s="9" t="str">
        <f>IF(VLOOKUP($A101,'San Juan'!$A$8:$O$291,7,FALSE)="","",VLOOKUP($A101,'San Juan'!$A$8:$O$291,7,FALSE))</f>
        <v>Sin coincidencia</v>
      </c>
      <c r="K101" s="9" t="str">
        <f>IF(VLOOKUP($A101,'San Juan'!$A$8:$O$291,6,FALSE)="","",VLOOKUP($A101,'San Juan'!$A$8:$O$291,6,FALSE))</f>
        <v>Sin código encontrado</v>
      </c>
      <c r="L101" s="24" t="str">
        <f>IF(VLOOKUP($A101,Salta!$A$8:$O$291,4,FALSE)="","",VLOOKUP($A101,Salta!$A$8:$O$291,4,FALSE))</f>
        <v/>
      </c>
      <c r="M101" s="9" t="str">
        <f>IF(VLOOKUP($A101,Salta!$A$8:$O$291,5,FALSE)="","",VLOOKUP($A101,Salta!$A$8:$O$291,5,FALSE))</f>
        <v/>
      </c>
      <c r="N101" s="9" t="str">
        <f>IF(VLOOKUP($A101,Salta!$A$8:$O$291,7,FALSE)="","",VLOOKUP($A101,Salta!$A$8:$O$291,7,FALSE))</f>
        <v>Sin coincidencia</v>
      </c>
      <c r="O101" s="9" t="str">
        <f>IF(VLOOKUP($A101,Salta!$A$8:$O$291,6,FALSE)="","",VLOOKUP($A101,Salta!$A$8:$O$291,6,FALSE))</f>
        <v>Sin coincidencia</v>
      </c>
      <c r="P101" s="24" t="str">
        <f>IF(VLOOKUP($A101,Neuquén!$A$8:$O$291,15,FALSE)="Homologado",VLOOKUP($A101,Neuquén!$A$8:$O$291,10,FALSE),"")</f>
        <v/>
      </c>
      <c r="Q101" s="24" t="str">
        <f>IF(VLOOKUP($A101,'San Juan'!$A$8:$O$291,15,FALSE)="Homologado",VLOOKUP($A101,'San Juan'!$A$8:$O$291,10,FALSE),"")</f>
        <v/>
      </c>
      <c r="R101" s="24" t="str">
        <f>IF(VLOOKUP($A101,Salta!$A$8:$O$291,15,FALSE)="Homologado",VLOOKUP($A101,Salta!$A$8:$O$291,10,FALSE),"")</f>
        <v/>
      </c>
      <c r="S101" s="24" t="str">
        <f>IF(VLOOKUP($A101,'Master vs SAP'!$A$8:$O$291,4,FALSE)="","",VLOOKUP($A101,'Master vs SAP'!$A$8:$O$291,4,FALSE))</f>
        <v>1000779</v>
      </c>
      <c r="T101" s="9" t="str">
        <f>IF(VLOOKUP($A101,'Master vs SAP'!$A$8:$O$291,5,FALSE)="","",VLOOKUP($A101,'Master vs SAP'!$A$8:$O$291,5,FALSE))</f>
        <v>METRONIDAZOL COMP. 500mg</v>
      </c>
      <c r="U101" s="9" t="str">
        <f>IF(VLOOKUP($A101,'Master vs SAP'!$A$8:$O$291,7,FALSE)="","",VLOOKUP($A101,'Master vs SAP'!$A$8:$O$291,7,FALSE))</f>
        <v>Alta</v>
      </c>
      <c r="V101" s="9" t="str">
        <f>IF(VLOOKUP($A101,'Master vs SAP'!$A$8:$O$291,6,FALSE)="","",VLOOKUP($A101,'Master vs SAP'!$A$8:$O$291,6,FALSE))</f>
        <v>Coincidencia</v>
      </c>
      <c r="W101" s="24" t="str">
        <f>IF(VLOOKUP($A101,'Master vs SAP'!$A$8:$O$291,15,FALSE)="Homologado",VLOOKUP($A101,'Master vs SAP'!$A$8:$O$291,10,FALSE),"")</f>
        <v/>
      </c>
    </row>
    <row r="102" spans="1:23" ht="61.95" customHeight="1">
      <c r="A102" s="9" t="s">
        <v>296</v>
      </c>
      <c r="B102" s="9" t="s">
        <v>108</v>
      </c>
      <c r="C102" s="9" t="s">
        <v>297</v>
      </c>
      <c r="D102" s="24" t="str">
        <f>IF(VLOOKUP($A102,Neuquén!$A$8:$O$291,4,FALSE)="","",VLOOKUP($A102,Neuquén!$A$8:$O$291,4,FALSE))</f>
        <v>560</v>
      </c>
      <c r="E102" s="9" t="str">
        <f>IF(VLOOKUP($A102,Neuquén!$A$8:$O$291,5,FALSE)="","",VLOOKUP($A102,Neuquén!$A$8:$O$291,5,FALSE))</f>
        <v>Bactrin Forte</v>
      </c>
      <c r="F102" s="9" t="str">
        <f>IF(VLOOKUP($A102,Neuquén!$A$8:$O$291,7,FALSE)="","",VLOOKUP($A102,Neuquén!$A$8:$O$291,7,FALSE))</f>
        <v>Sin coincidencia</v>
      </c>
      <c r="G102" s="9" t="str">
        <f>IF(VLOOKUP($A102,Neuquén!$A$8:$O$291,6,FALSE)="","",VLOOKUP($A102,Neuquén!$A$8:$O$291,6,FALSE))</f>
        <v>Código sin equivalencia validada</v>
      </c>
      <c r="H102" s="24" t="str">
        <f>IF(VLOOKUP($A102,'San Juan'!$A$8:$O$291,4,FALSE)="","",VLOOKUP($A102,'San Juan'!$A$8:$O$291,4,FALSE))</f>
        <v/>
      </c>
      <c r="I102" s="9" t="str">
        <f>IF(VLOOKUP($A102,'San Juan'!$A$8:$O$291,5,FALSE)="","",VLOOKUP($A102,'San Juan'!$A$8:$O$291,5,FALSE))</f>
        <v/>
      </c>
      <c r="J102" s="9" t="str">
        <f>IF(VLOOKUP($A102,'San Juan'!$A$8:$O$291,7,FALSE)="","",VLOOKUP($A102,'San Juan'!$A$8:$O$291,7,FALSE))</f>
        <v>Sin coincidencia</v>
      </c>
      <c r="K102" s="9" t="str">
        <f>IF(VLOOKUP($A102,'San Juan'!$A$8:$O$291,6,FALSE)="","",VLOOKUP($A102,'San Juan'!$A$8:$O$291,6,FALSE))</f>
        <v>Sin código encontrado</v>
      </c>
      <c r="L102" s="24" t="str">
        <f>IF(VLOOKUP($A102,Salta!$A$8:$O$291,4,FALSE)="","",VLOOKUP($A102,Salta!$A$8:$O$291,4,FALSE))</f>
        <v>435</v>
      </c>
      <c r="M102" s="9" t="str">
        <f>IF(VLOOKUP($A102,Salta!$A$8:$O$291,5,FALSE)="","",VLOOKUP($A102,Salta!$A$8:$O$291,5,FALSE))</f>
        <v>Trimetoprina / sulfametoxazol, Comprimidos x 800 mg/160 mg</v>
      </c>
      <c r="N102" s="9" t="str">
        <f>IF(VLOOKUP($A102,Salta!$A$8:$O$291,7,FALSE)="","",VLOOKUP($A102,Salta!$A$8:$O$291,7,FALSE))</f>
        <v>Media</v>
      </c>
      <c r="O102" s="9" t="str">
        <f>IF(VLOOKUP($A102,Salta!$A$8:$O$291,6,FALSE)="","",VLOOKUP($A102,Salta!$A$8:$O$291,6,FALSE))</f>
        <v>Revisar datos</v>
      </c>
      <c r="P102" s="24" t="str">
        <f>IF(VLOOKUP($A102,Neuquén!$A$8:$O$291,15,FALSE)="Homologado",VLOOKUP($A102,Neuquén!$A$8:$O$291,10,FALSE),"")</f>
        <v/>
      </c>
      <c r="Q102" s="24" t="str">
        <f>IF(VLOOKUP($A102,'San Juan'!$A$8:$O$291,15,FALSE)="Homologado",VLOOKUP($A102,'San Juan'!$A$8:$O$291,10,FALSE),"")</f>
        <v/>
      </c>
      <c r="R102" s="24" t="str">
        <f>IF(VLOOKUP($A102,Salta!$A$8:$O$291,15,FALSE)="Homologado",VLOOKUP($A102,Salta!$A$8:$O$291,10,FALSE),"")</f>
        <v/>
      </c>
      <c r="S102" s="24" t="str">
        <f>IF(VLOOKUP($A102,'Master vs SAP'!$A$8:$O$291,4,FALSE)="","",VLOOKUP($A102,'Master vs SAP'!$A$8:$O$291,4,FALSE))</f>
        <v>1005227</v>
      </c>
      <c r="T102" s="9" t="str">
        <f>IF(VLOOKUP($A102,'Master vs SAP'!$A$8:$O$291,5,FALSE)="","",VLOOKUP($A102,'Master vs SAP'!$A$8:$O$291,5,FALSE))</f>
        <v>SULFAMETOXAZOL + TRIMETOPRIMA 800 + 160M</v>
      </c>
      <c r="U102" s="9" t="str">
        <f>IF(VLOOKUP($A102,'Master vs SAP'!$A$8:$O$291,7,FALSE)="","",VLOOKUP($A102,'Master vs SAP'!$A$8:$O$291,7,FALSE))</f>
        <v>Media</v>
      </c>
      <c r="V102" s="9" t="str">
        <f>IF(VLOOKUP($A102,'Master vs SAP'!$A$8:$O$291,6,FALSE)="","",VLOOKUP($A102,'Master vs SAP'!$A$8:$O$291,6,FALSE))</f>
        <v>Revisar datos</v>
      </c>
      <c r="W102" s="24" t="str">
        <f>IF(VLOOKUP($A102,'Master vs SAP'!$A$8:$O$291,15,FALSE)="Homologado",VLOOKUP($A102,'Master vs SAP'!$A$8:$O$291,10,FALSE),"")</f>
        <v/>
      </c>
    </row>
    <row r="103" spans="1:23" ht="61.95" customHeight="1">
      <c r="A103" s="9" t="s">
        <v>298</v>
      </c>
      <c r="B103" s="9" t="s">
        <v>108</v>
      </c>
      <c r="C103" s="9" t="s">
        <v>299</v>
      </c>
      <c r="D103" s="24" t="str">
        <f>IF(VLOOKUP($A103,Neuquén!$A$8:$O$291,4,FALSE)="","",VLOOKUP($A103,Neuquén!$A$8:$O$291,4,FALSE))</f>
        <v>513</v>
      </c>
      <c r="E103" s="9" t="str">
        <f>IF(VLOOKUP($A103,Neuquén!$A$8:$O$291,5,FALSE)="","",VLOOKUP($A103,Neuquén!$A$8:$O$291,5,FALSE))</f>
        <v>Ceftriaxona</v>
      </c>
      <c r="F103" s="9" t="str">
        <f>IF(VLOOKUP($A103,Neuquén!$A$8:$O$291,7,FALSE)="","",VLOOKUP($A103,Neuquén!$A$8:$O$291,7,FALSE))</f>
        <v>Alta</v>
      </c>
      <c r="G103" s="9" t="str">
        <f>IF(VLOOKUP($A103,Neuquén!$A$8:$O$291,6,FALSE)="","",VLOOKUP($A103,Neuquén!$A$8:$O$291,6,FALSE))</f>
        <v>Coincidencia por validar</v>
      </c>
      <c r="H103" s="24" t="str">
        <f>IF(VLOOKUP($A103,'San Juan'!$A$8:$O$291,4,FALSE)="","",VLOOKUP($A103,'San Juan'!$A$8:$O$291,4,FALSE))</f>
        <v/>
      </c>
      <c r="I103" s="9" t="str">
        <f>IF(VLOOKUP($A103,'San Juan'!$A$8:$O$291,5,FALSE)="","",VLOOKUP($A103,'San Juan'!$A$8:$O$291,5,FALSE))</f>
        <v/>
      </c>
      <c r="J103" s="9" t="str">
        <f>IF(VLOOKUP($A103,'San Juan'!$A$8:$O$291,7,FALSE)="","",VLOOKUP($A103,'San Juan'!$A$8:$O$291,7,FALSE))</f>
        <v>Sin coincidencia</v>
      </c>
      <c r="K103" s="9" t="str">
        <f>IF(VLOOKUP($A103,'San Juan'!$A$8:$O$291,6,FALSE)="","",VLOOKUP($A103,'San Juan'!$A$8:$O$291,6,FALSE))</f>
        <v>Sin código encontrado</v>
      </c>
      <c r="L103" s="24" t="str">
        <f>IF(VLOOKUP($A103,Salta!$A$8:$O$291,4,FALSE)="","",VLOOKUP($A103,Salta!$A$8:$O$291,4,FALSE))</f>
        <v>63</v>
      </c>
      <c r="M103" s="9" t="str">
        <f>IF(VLOOKUP($A103,Salta!$A$8:$O$291,5,FALSE)="","",VLOOKUP($A103,Salta!$A$8:$O$291,5,FALSE))</f>
        <v>Ceftriaxona fco ampolla</v>
      </c>
      <c r="N103" s="9" t="str">
        <f>IF(VLOOKUP($A103,Salta!$A$8:$O$291,7,FALSE)="","",VLOOKUP($A103,Salta!$A$8:$O$291,7,FALSE))</f>
        <v>Media</v>
      </c>
      <c r="O103" s="9" t="str">
        <f>IF(VLOOKUP($A103,Salta!$A$8:$O$291,6,FALSE)="","",VLOOKUP($A103,Salta!$A$8:$O$291,6,FALSE))</f>
        <v>Revisar datos</v>
      </c>
      <c r="P103" s="24" t="str">
        <f>IF(VLOOKUP($A103,Neuquén!$A$8:$O$291,15,FALSE)="Homologado",VLOOKUP($A103,Neuquén!$A$8:$O$291,10,FALSE),"")</f>
        <v/>
      </c>
      <c r="Q103" s="24" t="str">
        <f>IF(VLOOKUP($A103,'San Juan'!$A$8:$O$291,15,FALSE)="Homologado",VLOOKUP($A103,'San Juan'!$A$8:$O$291,10,FALSE),"")</f>
        <v/>
      </c>
      <c r="R103" s="24" t="str">
        <f>IF(VLOOKUP($A103,Salta!$A$8:$O$291,15,FALSE)="Homologado",VLOOKUP($A103,Salta!$A$8:$O$291,10,FALSE),"")</f>
        <v/>
      </c>
      <c r="S103" s="24" t="str">
        <f>IF(VLOOKUP($A103,'Master vs SAP'!$A$8:$O$291,4,FALSE)="","",VLOOKUP($A103,'Master vs SAP'!$A$8:$O$291,4,FALSE))</f>
        <v>1000663</v>
      </c>
      <c r="T103" s="9" t="str">
        <f>IF(VLOOKUP($A103,'Master vs SAP'!$A$8:$O$291,5,FALSE)="","",VLOOKUP($A103,'Master vs SAP'!$A$8:$O$291,5,FALSE))</f>
        <v>CEFTRIAXONA 1G FRA.AMPOLLA</v>
      </c>
      <c r="U103" s="9" t="str">
        <f>IF(VLOOKUP($A103,'Master vs SAP'!$A$8:$O$291,7,FALSE)="","",VLOOKUP($A103,'Master vs SAP'!$A$8:$O$291,7,FALSE))</f>
        <v>Alta</v>
      </c>
      <c r="V103" s="9" t="str">
        <f>IF(VLOOKUP($A103,'Master vs SAP'!$A$8:$O$291,6,FALSE)="","",VLOOKUP($A103,'Master vs SAP'!$A$8:$O$291,6,FALSE))</f>
        <v>Coincidencia</v>
      </c>
      <c r="W103" s="24" t="str">
        <f>IF(VLOOKUP($A103,'Master vs SAP'!$A$8:$O$291,15,FALSE)="Homologado",VLOOKUP($A103,'Master vs SAP'!$A$8:$O$291,10,FALSE),"")</f>
        <v/>
      </c>
    </row>
    <row r="104" spans="1:23" ht="61.95" customHeight="1">
      <c r="A104" s="9" t="s">
        <v>300</v>
      </c>
      <c r="B104" s="9" t="s">
        <v>108</v>
      </c>
      <c r="C104" s="9" t="s">
        <v>301</v>
      </c>
      <c r="D104" s="24" t="str">
        <f>IF(VLOOKUP($A104,Neuquén!$A$8:$O$291,4,FALSE)="","",VLOOKUP($A104,Neuquén!$A$8:$O$291,4,FALSE))</f>
        <v>559</v>
      </c>
      <c r="E104" s="9" t="str">
        <f>IF(VLOOKUP($A104,Neuquén!$A$8:$O$291,5,FALSE)="","",VLOOKUP($A104,Neuquén!$A$8:$O$291,5,FALSE))</f>
        <v>Ampicilina</v>
      </c>
      <c r="F104" s="9" t="str">
        <f>IF(VLOOKUP($A104,Neuquén!$A$8:$O$291,7,FALSE)="","",VLOOKUP($A104,Neuquén!$A$8:$O$291,7,FALSE))</f>
        <v>Sin coincidencia</v>
      </c>
      <c r="G104" s="9" t="str">
        <f>IF(VLOOKUP($A104,Neuquén!$A$8:$O$291,6,FALSE)="","",VLOOKUP($A104,Neuquén!$A$8:$O$291,6,FALSE))</f>
        <v>Código sin equivalencia validada</v>
      </c>
      <c r="H104" s="24" t="str">
        <f>IF(VLOOKUP($A104,'San Juan'!$A$8:$O$291,4,FALSE)="","",VLOOKUP($A104,'San Juan'!$A$8:$O$291,4,FALSE))</f>
        <v/>
      </c>
      <c r="I104" s="9" t="str">
        <f>IF(VLOOKUP($A104,'San Juan'!$A$8:$O$291,5,FALSE)="","",VLOOKUP($A104,'San Juan'!$A$8:$O$291,5,FALSE))</f>
        <v/>
      </c>
      <c r="J104" s="9" t="str">
        <f>IF(VLOOKUP($A104,'San Juan'!$A$8:$O$291,7,FALSE)="","",VLOOKUP($A104,'San Juan'!$A$8:$O$291,7,FALSE))</f>
        <v>Sin coincidencia</v>
      </c>
      <c r="K104" s="9" t="str">
        <f>IF(VLOOKUP($A104,'San Juan'!$A$8:$O$291,6,FALSE)="","",VLOOKUP($A104,'San Juan'!$A$8:$O$291,6,FALSE))</f>
        <v>Sin código encontrado</v>
      </c>
      <c r="L104" s="24" t="str">
        <f>IF(VLOOKUP($A104,Salta!$A$8:$O$291,4,FALSE)="","",VLOOKUP($A104,Salta!$A$8:$O$291,4,FALSE))</f>
        <v/>
      </c>
      <c r="M104" s="9" t="str">
        <f>IF(VLOOKUP($A104,Salta!$A$8:$O$291,5,FALSE)="","",VLOOKUP($A104,Salta!$A$8:$O$291,5,FALSE))</f>
        <v/>
      </c>
      <c r="N104" s="9" t="str">
        <f>IF(VLOOKUP($A104,Salta!$A$8:$O$291,7,FALSE)="","",VLOOKUP($A104,Salta!$A$8:$O$291,7,FALSE))</f>
        <v>Sin coincidencia</v>
      </c>
      <c r="O104" s="9" t="str">
        <f>IF(VLOOKUP($A104,Salta!$A$8:$O$291,6,FALSE)="","",VLOOKUP($A104,Salta!$A$8:$O$291,6,FALSE))</f>
        <v>Sin coincidencia</v>
      </c>
      <c r="P104" s="24" t="str">
        <f>IF(VLOOKUP($A104,Neuquén!$A$8:$O$291,15,FALSE)="Homologado",VLOOKUP($A104,Neuquén!$A$8:$O$291,10,FALSE),"")</f>
        <v/>
      </c>
      <c r="Q104" s="24" t="str">
        <f>IF(VLOOKUP($A104,'San Juan'!$A$8:$O$291,15,FALSE)="Homologado",VLOOKUP($A104,'San Juan'!$A$8:$O$291,10,FALSE),"")</f>
        <v/>
      </c>
      <c r="R104" s="24" t="str">
        <f>IF(VLOOKUP($A104,Salta!$A$8:$O$291,15,FALSE)="Homologado",VLOOKUP($A104,Salta!$A$8:$O$291,10,FALSE),"")</f>
        <v/>
      </c>
      <c r="S104" s="24" t="str">
        <f>IF(VLOOKUP($A104,'Master vs SAP'!$A$8:$O$291,4,FALSE)="","",VLOOKUP($A104,'Master vs SAP'!$A$8:$O$291,4,FALSE))</f>
        <v>1000626</v>
      </c>
      <c r="T104" s="9" t="str">
        <f>IF(VLOOKUP($A104,'Master vs SAP'!$A$8:$O$291,5,FALSE)="","",VLOOKUP($A104,'Master vs SAP'!$A$8:$O$291,5,FALSE))</f>
        <v>AMPICILINA 1GR SULBACTAN 500</v>
      </c>
      <c r="U104" s="9" t="str">
        <f>IF(VLOOKUP($A104,'Master vs SAP'!$A$8:$O$291,7,FALSE)="","",VLOOKUP($A104,'Master vs SAP'!$A$8:$O$291,7,FALSE))</f>
        <v>Media</v>
      </c>
      <c r="V104" s="9" t="str">
        <f>IF(VLOOKUP($A104,'Master vs SAP'!$A$8:$O$291,6,FALSE)="","",VLOOKUP($A104,'Master vs SAP'!$A$8:$O$291,6,FALSE))</f>
        <v>Revisar datos</v>
      </c>
      <c r="W104" s="24" t="str">
        <f>IF(VLOOKUP($A104,'Master vs SAP'!$A$8:$O$291,15,FALSE)="Homologado",VLOOKUP($A104,'Master vs SAP'!$A$8:$O$291,10,FALSE),"")</f>
        <v/>
      </c>
    </row>
    <row r="105" spans="1:23" ht="61.95" customHeight="1">
      <c r="A105" s="9" t="s">
        <v>302</v>
      </c>
      <c r="B105" s="9" t="s">
        <v>108</v>
      </c>
      <c r="C105" s="9" t="s">
        <v>303</v>
      </c>
      <c r="D105" s="24" t="str">
        <f>IF(VLOOKUP($A105,Neuquén!$A$8:$O$291,4,FALSE)="","",VLOOKUP($A105,Neuquén!$A$8:$O$291,4,FALSE))</f>
        <v>481</v>
      </c>
      <c r="E105" s="9" t="str">
        <f>IF(VLOOKUP($A105,Neuquén!$A$8:$O$291,5,FALSE)="","",VLOOKUP($A105,Neuquén!$A$8:$O$291,5,FALSE))</f>
        <v>PENICILINAG.2.4MILLONES</v>
      </c>
      <c r="F105" s="9" t="str">
        <f>IF(VLOOKUP($A105,Neuquén!$A$8:$O$291,7,FALSE)="","",VLOOKUP($A105,Neuquén!$A$8:$O$291,7,FALSE))</f>
        <v>Alta</v>
      </c>
      <c r="G105" s="9" t="str">
        <f>IF(VLOOKUP($A105,Neuquén!$A$8:$O$291,6,FALSE)="","",VLOOKUP($A105,Neuquén!$A$8:$O$291,6,FALSE))</f>
        <v>Coincidencia por validar</v>
      </c>
      <c r="H105" s="24" t="str">
        <f>IF(VLOOKUP($A105,'San Juan'!$A$8:$O$291,4,FALSE)="","",VLOOKUP($A105,'San Juan'!$A$8:$O$291,4,FALSE))</f>
        <v/>
      </c>
      <c r="I105" s="9" t="str">
        <f>IF(VLOOKUP($A105,'San Juan'!$A$8:$O$291,5,FALSE)="","",VLOOKUP($A105,'San Juan'!$A$8:$O$291,5,FALSE))</f>
        <v/>
      </c>
      <c r="J105" s="9" t="str">
        <f>IF(VLOOKUP($A105,'San Juan'!$A$8:$O$291,7,FALSE)="","",VLOOKUP($A105,'San Juan'!$A$8:$O$291,7,FALSE))</f>
        <v>Sin coincidencia</v>
      </c>
      <c r="K105" s="9" t="str">
        <f>IF(VLOOKUP($A105,'San Juan'!$A$8:$O$291,6,FALSE)="","",VLOOKUP($A105,'San Juan'!$A$8:$O$291,6,FALSE))</f>
        <v>Sin código encontrado</v>
      </c>
      <c r="L105" s="24" t="str">
        <f>IF(VLOOKUP($A105,Salta!$A$8:$O$291,4,FALSE)="","",VLOOKUP($A105,Salta!$A$8:$O$291,4,FALSE))</f>
        <v>200</v>
      </c>
      <c r="M105" s="9" t="str">
        <f>IF(VLOOKUP($A105,Salta!$A$8:$O$291,5,FALSE)="","",VLOOKUP($A105,Salta!$A$8:$O$291,5,FALSE))</f>
        <v>Penicilina Benzatinica fco ampolla 2400000UI</v>
      </c>
      <c r="N105" s="9" t="str">
        <f>IF(VLOOKUP($A105,Salta!$A$8:$O$291,7,FALSE)="","",VLOOKUP($A105,Salta!$A$8:$O$291,7,FALSE))</f>
        <v>Alta</v>
      </c>
      <c r="O105" s="9" t="str">
        <f>IF(VLOOKUP($A105,Salta!$A$8:$O$291,6,FALSE)="","",VLOOKUP($A105,Salta!$A$8:$O$291,6,FALSE))</f>
        <v>Coincidencia</v>
      </c>
      <c r="P105" s="24" t="str">
        <f>IF(VLOOKUP($A105,Neuquén!$A$8:$O$291,15,FALSE)="Homologado",VLOOKUP($A105,Neuquén!$A$8:$O$291,10,FALSE),"")</f>
        <v/>
      </c>
      <c r="Q105" s="24" t="str">
        <f>IF(VLOOKUP($A105,'San Juan'!$A$8:$O$291,15,FALSE)="Homologado",VLOOKUP($A105,'San Juan'!$A$8:$O$291,10,FALSE),"")</f>
        <v/>
      </c>
      <c r="R105" s="24" t="str">
        <f>IF(VLOOKUP($A105,Salta!$A$8:$O$291,15,FALSE)="Homologado",VLOOKUP($A105,Salta!$A$8:$O$291,10,FALSE),"")</f>
        <v/>
      </c>
      <c r="S105" s="24" t="str">
        <f>IF(VLOOKUP($A105,'Master vs SAP'!$A$8:$O$291,4,FALSE)="","",VLOOKUP($A105,'Master vs SAP'!$A$8:$O$291,4,FALSE))</f>
        <v>1000484</v>
      </c>
      <c r="T105" s="9" t="str">
        <f>IF(VLOOKUP($A105,'Master vs SAP'!$A$8:$O$291,5,FALSE)="","",VLOOKUP($A105,'Master vs SAP'!$A$8:$O$291,5,FALSE))</f>
        <v>PENICILINA G BENZATINICA 2.400.000 U.I</v>
      </c>
      <c r="U105" s="9" t="str">
        <f>IF(VLOOKUP($A105,'Master vs SAP'!$A$8:$O$291,7,FALSE)="","",VLOOKUP($A105,'Master vs SAP'!$A$8:$O$291,7,FALSE))</f>
        <v>Alta</v>
      </c>
      <c r="V105" s="9" t="str">
        <f>IF(VLOOKUP($A105,'Master vs SAP'!$A$8:$O$291,6,FALSE)="","",VLOOKUP($A105,'Master vs SAP'!$A$8:$O$291,6,FALSE))</f>
        <v>Coincidencia</v>
      </c>
      <c r="W105" s="24" t="str">
        <f>IF(VLOOKUP($A105,'Master vs SAP'!$A$8:$O$291,15,FALSE)="Homologado",VLOOKUP($A105,'Master vs SAP'!$A$8:$O$291,10,FALSE),"")</f>
        <v/>
      </c>
    </row>
    <row r="106" spans="1:23" ht="61.95" customHeight="1">
      <c r="A106" s="9" t="s">
        <v>304</v>
      </c>
      <c r="B106" s="9" t="s">
        <v>108</v>
      </c>
      <c r="C106" s="9" t="s">
        <v>305</v>
      </c>
      <c r="D106" s="24" t="str">
        <f>IF(VLOOKUP($A106,Neuquén!$A$8:$O$291,4,FALSE)="","",VLOOKUP($A106,Neuquén!$A$8:$O$291,4,FALSE))</f>
        <v>1</v>
      </c>
      <c r="E106" s="9" t="str">
        <f>IF(VLOOKUP($A106,Neuquén!$A$8:$O$291,5,FALSE)="","",VLOOKUP($A106,Neuquén!$A$8:$O$291,5,FALSE))</f>
        <v>ACICLOVIR 5%</v>
      </c>
      <c r="F106" s="9" t="str">
        <f>IF(VLOOKUP($A106,Neuquén!$A$8:$O$291,7,FALSE)="","",VLOOKUP($A106,Neuquén!$A$8:$O$291,7,FALSE))</f>
        <v>Baja</v>
      </c>
      <c r="G106" s="9" t="str">
        <f>IF(VLOOKUP($A106,Neuquén!$A$8:$O$291,6,FALSE)="","",VLOOKUP($A106,Neuquén!$A$8:$O$291,6,FALSE))</f>
        <v>Revisar presentación</v>
      </c>
      <c r="H106" s="24" t="str">
        <f>IF(VLOOKUP($A106,'San Juan'!$A$8:$O$291,4,FALSE)="","",VLOOKUP($A106,'San Juan'!$A$8:$O$291,4,FALSE))</f>
        <v/>
      </c>
      <c r="I106" s="9" t="str">
        <f>IF(VLOOKUP($A106,'San Juan'!$A$8:$O$291,5,FALSE)="","",VLOOKUP($A106,'San Juan'!$A$8:$O$291,5,FALSE))</f>
        <v/>
      </c>
      <c r="J106" s="9" t="str">
        <f>IF(VLOOKUP($A106,'San Juan'!$A$8:$O$291,7,FALSE)="","",VLOOKUP($A106,'San Juan'!$A$8:$O$291,7,FALSE))</f>
        <v>Sin coincidencia</v>
      </c>
      <c r="K106" s="9" t="str">
        <f>IF(VLOOKUP($A106,'San Juan'!$A$8:$O$291,6,FALSE)="","",VLOOKUP($A106,'San Juan'!$A$8:$O$291,6,FALSE))</f>
        <v>Sin código encontrado</v>
      </c>
      <c r="L106" s="24" t="str">
        <f>IF(VLOOKUP($A106,Salta!$A$8:$O$291,4,FALSE)="","",VLOOKUP($A106,Salta!$A$8:$O$291,4,FALSE))</f>
        <v>11</v>
      </c>
      <c r="M106" s="9" t="str">
        <f>IF(VLOOKUP($A106,Salta!$A$8:$O$291,5,FALSE)="","",VLOOKUP($A106,Salta!$A$8:$O$291,5,FALSE))</f>
        <v>Aciclovir oral 400 mg Comprimidos</v>
      </c>
      <c r="N106" s="9" t="str">
        <f>IF(VLOOKUP($A106,Salta!$A$8:$O$291,7,FALSE)="","",VLOOKUP($A106,Salta!$A$8:$O$291,7,FALSE))</f>
        <v>Alta</v>
      </c>
      <c r="O106" s="9" t="str">
        <f>IF(VLOOKUP($A106,Salta!$A$8:$O$291,6,FALSE)="","",VLOOKUP($A106,Salta!$A$8:$O$291,6,FALSE))</f>
        <v>Coincidencia</v>
      </c>
      <c r="P106" s="24" t="str">
        <f>IF(VLOOKUP($A106,Neuquén!$A$8:$O$291,15,FALSE)="Homologado",VLOOKUP($A106,Neuquén!$A$8:$O$291,10,FALSE),"")</f>
        <v/>
      </c>
      <c r="Q106" s="24" t="str">
        <f>IF(VLOOKUP($A106,'San Juan'!$A$8:$O$291,15,FALSE)="Homologado",VLOOKUP($A106,'San Juan'!$A$8:$O$291,10,FALSE),"")</f>
        <v/>
      </c>
      <c r="R106" s="24" t="str">
        <f>IF(VLOOKUP($A106,Salta!$A$8:$O$291,15,FALSE)="Homologado",VLOOKUP($A106,Salta!$A$8:$O$291,10,FALSE),"")</f>
        <v/>
      </c>
      <c r="S106" s="24" t="str">
        <f>IF(VLOOKUP($A106,'Master vs SAP'!$A$8:$O$291,4,FALSE)="","",VLOOKUP($A106,'Master vs SAP'!$A$8:$O$291,4,FALSE))</f>
        <v>1001250</v>
      </c>
      <c r="T106" s="9" t="str">
        <f>IF(VLOOKUP($A106,'Master vs SAP'!$A$8:$O$291,5,FALSE)="","",VLOOKUP($A106,'Master vs SAP'!$A$8:$O$291,5,FALSE))</f>
        <v>Aciclovir 400mg comp</v>
      </c>
      <c r="U106" s="9" t="str">
        <f>IF(VLOOKUP($A106,'Master vs SAP'!$A$8:$O$291,7,FALSE)="","",VLOOKUP($A106,'Master vs SAP'!$A$8:$O$291,7,FALSE))</f>
        <v>Alta</v>
      </c>
      <c r="V106" s="9" t="str">
        <f>IF(VLOOKUP($A106,'Master vs SAP'!$A$8:$O$291,6,FALSE)="","",VLOOKUP($A106,'Master vs SAP'!$A$8:$O$291,6,FALSE))</f>
        <v>Coincidencia</v>
      </c>
      <c r="W106" s="24" t="str">
        <f>IF(VLOOKUP($A106,'Master vs SAP'!$A$8:$O$291,15,FALSE)="Homologado",VLOOKUP($A106,'Master vs SAP'!$A$8:$O$291,10,FALSE),"")</f>
        <v/>
      </c>
    </row>
    <row r="107" spans="1:23" ht="61.95" customHeight="1">
      <c r="A107" s="9" t="s">
        <v>306</v>
      </c>
      <c r="B107" s="9" t="s">
        <v>108</v>
      </c>
      <c r="C107" s="9" t="s">
        <v>307</v>
      </c>
      <c r="D107" s="24" t="str">
        <f>IF(VLOOKUP($A107,Neuquén!$A$8:$O$291,4,FALSE)="","",VLOOKUP($A107,Neuquén!$A$8:$O$291,4,FALSE))</f>
        <v>116</v>
      </c>
      <c r="E107" s="9" t="str">
        <f>IF(VLOOKUP($A107,Neuquén!$A$8:$O$291,5,FALSE)="","",VLOOKUP($A107,Neuquén!$A$8:$O$291,5,FALSE))</f>
        <v>FUROSEMIDAAMP</v>
      </c>
      <c r="F107" s="9" t="str">
        <f>IF(VLOOKUP($A107,Neuquén!$A$8:$O$291,7,FALSE)="","",VLOOKUP($A107,Neuquén!$A$8:$O$291,7,FALSE))</f>
        <v>Media</v>
      </c>
      <c r="G107" s="9" t="str">
        <f>IF(VLOOKUP($A107,Neuquén!$A$8:$O$291,6,FALSE)="","",VLOOKUP($A107,Neuquén!$A$8:$O$291,6,FALSE))</f>
        <v>Equivalencia a revisar</v>
      </c>
      <c r="H107" s="24" t="str">
        <f>IF(VLOOKUP($A107,'San Juan'!$A$8:$O$291,4,FALSE)="","",VLOOKUP($A107,'San Juan'!$A$8:$O$291,4,FALSE))</f>
        <v>DES047</v>
      </c>
      <c r="I107" s="9" t="str">
        <f>IF(VLOOKUP($A107,'San Juan'!$A$8:$O$291,5,FALSE)="","",VLOOKUP($A107,'San Juan'!$A$8:$O$291,5,FALSE))</f>
        <v>Furosemida 1 amp=2ml</v>
      </c>
      <c r="J107" s="9" t="str">
        <f>IF(VLOOKUP($A107,'San Juan'!$A$8:$O$291,7,FALSE)="","",VLOOKUP($A107,'San Juan'!$A$8:$O$291,7,FALSE))</f>
        <v>Alta</v>
      </c>
      <c r="K107" s="9" t="str">
        <f>IF(VLOOKUP($A107,'San Juan'!$A$8:$O$291,6,FALSE)="","",VLOOKUP($A107,'San Juan'!$A$8:$O$291,6,FALSE))</f>
        <v>Coincidencia por validar</v>
      </c>
      <c r="L107" s="24" t="str">
        <f>IF(VLOOKUP($A107,Salta!$A$8:$O$291,4,FALSE)="","",VLOOKUP($A107,Salta!$A$8:$O$291,4,FALSE))</f>
        <v>125</v>
      </c>
      <c r="M107" s="9" t="str">
        <f>IF(VLOOKUP($A107,Salta!$A$8:$O$291,5,FALSE)="","",VLOOKUP($A107,Salta!$A$8:$O$291,5,FALSE))</f>
        <v>Furosemida 1 amp=2ml x 20mg</v>
      </c>
      <c r="N107" s="9" t="str">
        <f>IF(VLOOKUP($A107,Salta!$A$8:$O$291,7,FALSE)="","",VLOOKUP($A107,Salta!$A$8:$O$291,7,FALSE))</f>
        <v>Alta</v>
      </c>
      <c r="O107" s="9" t="str">
        <f>IF(VLOOKUP($A107,Salta!$A$8:$O$291,6,FALSE)="","",VLOOKUP($A107,Salta!$A$8:$O$291,6,FALSE))</f>
        <v>Coincidencia</v>
      </c>
      <c r="P107" s="24" t="str">
        <f>IF(VLOOKUP($A107,Neuquén!$A$8:$O$291,15,FALSE)="Homologado",VLOOKUP($A107,Neuquén!$A$8:$O$291,10,FALSE),"")</f>
        <v/>
      </c>
      <c r="Q107" s="24" t="str">
        <f>IF(VLOOKUP($A107,'San Juan'!$A$8:$O$291,15,FALSE)="Homologado",VLOOKUP($A107,'San Juan'!$A$8:$O$291,10,FALSE),"")</f>
        <v/>
      </c>
      <c r="R107" s="24" t="str">
        <f>IF(VLOOKUP($A107,Salta!$A$8:$O$291,15,FALSE)="Homologado",VLOOKUP($A107,Salta!$A$8:$O$291,10,FALSE),"")</f>
        <v/>
      </c>
      <c r="S107" s="24" t="str">
        <f>IF(VLOOKUP($A107,'Master vs SAP'!$A$8:$O$291,4,FALSE)="","",VLOOKUP($A107,'Master vs SAP'!$A$8:$O$291,4,FALSE))</f>
        <v>1000100</v>
      </c>
      <c r="T107" s="9" t="str">
        <f>IF(VLOOKUP($A107,'Master vs SAP'!$A$8:$O$291,5,FALSE)="","",VLOOKUP($A107,'Master vs SAP'!$A$8:$O$291,5,FALSE))</f>
        <v>FUROSEMIDA AMPOLLA DE 20 MG/2ML</v>
      </c>
      <c r="U107" s="9" t="str">
        <f>IF(VLOOKUP($A107,'Master vs SAP'!$A$8:$O$291,7,FALSE)="","",VLOOKUP($A107,'Master vs SAP'!$A$8:$O$291,7,FALSE))</f>
        <v>Alta</v>
      </c>
      <c r="V107" s="9" t="str">
        <f>IF(VLOOKUP($A107,'Master vs SAP'!$A$8:$O$291,6,FALSE)="","",VLOOKUP($A107,'Master vs SAP'!$A$8:$O$291,6,FALSE))</f>
        <v>Coincidencia</v>
      </c>
      <c r="W107" s="24" t="str">
        <f>IF(VLOOKUP($A107,'Master vs SAP'!$A$8:$O$291,15,FALSE)="Homologado",VLOOKUP($A107,'Master vs SAP'!$A$8:$O$291,10,FALSE),"")</f>
        <v/>
      </c>
    </row>
    <row r="108" spans="1:23" ht="61.95" customHeight="1">
      <c r="A108" s="9" t="s">
        <v>308</v>
      </c>
      <c r="B108" s="9" t="s">
        <v>108</v>
      </c>
      <c r="C108" s="9" t="s">
        <v>309</v>
      </c>
      <c r="D108" s="24" t="str">
        <f>IF(VLOOKUP($A108,Neuquén!$A$8:$O$291,4,FALSE)="","",VLOOKUP($A108,Neuquén!$A$8:$O$291,4,FALSE))</f>
        <v>514</v>
      </c>
      <c r="E108" s="9" t="str">
        <f>IF(VLOOKUP($A108,Neuquén!$A$8:$O$291,5,FALSE)="","",VLOOKUP($A108,Neuquén!$A$8:$O$291,5,FALSE))</f>
        <v>Acetazolamida</v>
      </c>
      <c r="F108" s="9" t="str">
        <f>IF(VLOOKUP($A108,Neuquén!$A$8:$O$291,7,FALSE)="","",VLOOKUP($A108,Neuquén!$A$8:$O$291,7,FALSE))</f>
        <v>Alta</v>
      </c>
      <c r="G108" s="9" t="str">
        <f>IF(VLOOKUP($A108,Neuquén!$A$8:$O$291,6,FALSE)="","",VLOOKUP($A108,Neuquén!$A$8:$O$291,6,FALSE))</f>
        <v>Coincidencia por validar</v>
      </c>
      <c r="H108" s="24" t="str">
        <f>IF(VLOOKUP($A108,'San Juan'!$A$8:$O$291,4,FALSE)="","",VLOOKUP($A108,'San Juan'!$A$8:$O$291,4,FALSE))</f>
        <v/>
      </c>
      <c r="I108" s="9" t="str">
        <f>IF(VLOOKUP($A108,'San Juan'!$A$8:$O$291,5,FALSE)="","",VLOOKUP($A108,'San Juan'!$A$8:$O$291,5,FALSE))</f>
        <v/>
      </c>
      <c r="J108" s="9" t="str">
        <f>IF(VLOOKUP($A108,'San Juan'!$A$8:$O$291,7,FALSE)="","",VLOOKUP($A108,'San Juan'!$A$8:$O$291,7,FALSE))</f>
        <v>Sin coincidencia</v>
      </c>
      <c r="K108" s="9" t="str">
        <f>IF(VLOOKUP($A108,'San Juan'!$A$8:$O$291,6,FALSE)="","",VLOOKUP($A108,'San Juan'!$A$8:$O$291,6,FALSE))</f>
        <v>Sin código encontrado</v>
      </c>
      <c r="L108" s="24" t="str">
        <f>IF(VLOOKUP($A108,Salta!$A$8:$O$291,4,FALSE)="","",VLOOKUP($A108,Salta!$A$8:$O$291,4,FALSE))</f>
        <v>9</v>
      </c>
      <c r="M108" s="9" t="str">
        <f>IF(VLOOKUP($A108,Salta!$A$8:$O$291,5,FALSE)="","",VLOOKUP($A108,Salta!$A$8:$O$291,5,FALSE))</f>
        <v>Acetazolamida Comprimidos x 250mg</v>
      </c>
      <c r="N108" s="9" t="str">
        <f>IF(VLOOKUP($A108,Salta!$A$8:$O$291,7,FALSE)="","",VLOOKUP($A108,Salta!$A$8:$O$291,7,FALSE))</f>
        <v>Alta</v>
      </c>
      <c r="O108" s="9" t="str">
        <f>IF(VLOOKUP($A108,Salta!$A$8:$O$291,6,FALSE)="","",VLOOKUP($A108,Salta!$A$8:$O$291,6,FALSE))</f>
        <v>Coincidencia</v>
      </c>
      <c r="P108" s="24" t="str">
        <f>IF(VLOOKUP($A108,Neuquén!$A$8:$O$291,15,FALSE)="Homologado",VLOOKUP($A108,Neuquén!$A$8:$O$291,10,FALSE),"")</f>
        <v/>
      </c>
      <c r="Q108" s="24" t="str">
        <f>IF(VLOOKUP($A108,'San Juan'!$A$8:$O$291,15,FALSE)="Homologado",VLOOKUP($A108,'San Juan'!$A$8:$O$291,10,FALSE),"")</f>
        <v/>
      </c>
      <c r="R108" s="24" t="str">
        <f>IF(VLOOKUP($A108,Salta!$A$8:$O$291,15,FALSE)="Homologado",VLOOKUP($A108,Salta!$A$8:$O$291,10,FALSE),"")</f>
        <v/>
      </c>
      <c r="S108" s="24" t="str">
        <f>IF(VLOOKUP($A108,'Master vs SAP'!$A$8:$O$291,4,FALSE)="","",VLOOKUP($A108,'Master vs SAP'!$A$8:$O$291,4,FALSE))</f>
        <v>1000471</v>
      </c>
      <c r="T108" s="9" t="str">
        <f>IF(VLOOKUP($A108,'Master vs SAP'!$A$8:$O$291,5,FALSE)="","",VLOOKUP($A108,'Master vs SAP'!$A$8:$O$291,5,FALSE))</f>
        <v>ACETAZOLAMIDA 250 MG</v>
      </c>
      <c r="U108" s="9" t="str">
        <f>IF(VLOOKUP($A108,'Master vs SAP'!$A$8:$O$291,7,FALSE)="","",VLOOKUP($A108,'Master vs SAP'!$A$8:$O$291,7,FALSE))</f>
        <v>Alta</v>
      </c>
      <c r="V108" s="9" t="str">
        <f>IF(VLOOKUP($A108,'Master vs SAP'!$A$8:$O$291,6,FALSE)="","",VLOOKUP($A108,'Master vs SAP'!$A$8:$O$291,6,FALSE))</f>
        <v>Coincidencia</v>
      </c>
      <c r="W108" s="24" t="str">
        <f>IF(VLOOKUP($A108,'Master vs SAP'!$A$8:$O$291,15,FALSE)="Homologado",VLOOKUP($A108,'Master vs SAP'!$A$8:$O$291,10,FALSE),"")</f>
        <v/>
      </c>
    </row>
    <row r="109" spans="1:23" ht="61.95" customHeight="1">
      <c r="A109" s="9" t="s">
        <v>310</v>
      </c>
      <c r="B109" s="9" t="s">
        <v>108</v>
      </c>
      <c r="C109" s="9" t="s">
        <v>311</v>
      </c>
      <c r="D109" s="24" t="str">
        <f>IF(VLOOKUP($A109,Neuquén!$A$8:$O$291,4,FALSE)="","",VLOOKUP($A109,Neuquén!$A$8:$O$291,4,FALSE))</f>
        <v>558</v>
      </c>
      <c r="E109" s="9" t="str">
        <f>IF(VLOOKUP($A109,Neuquén!$A$8:$O$291,5,FALSE)="","",VLOOKUP($A109,Neuquén!$A$8:$O$291,5,FALSE))</f>
        <v>Hidroclorotiazida 25 mg</v>
      </c>
      <c r="F109" s="9" t="str">
        <f>IF(VLOOKUP($A109,Neuquén!$A$8:$O$291,7,FALSE)="","",VLOOKUP($A109,Neuquén!$A$8:$O$291,7,FALSE))</f>
        <v>Sin coincidencia</v>
      </c>
      <c r="G109" s="9" t="str">
        <f>IF(VLOOKUP($A109,Neuquén!$A$8:$O$291,6,FALSE)="","",VLOOKUP($A109,Neuquén!$A$8:$O$291,6,FALSE))</f>
        <v>Código sin equivalencia validada</v>
      </c>
      <c r="H109" s="24" t="str">
        <f>IF(VLOOKUP($A109,'San Juan'!$A$8:$O$291,4,FALSE)="","",VLOOKUP($A109,'San Juan'!$A$8:$O$291,4,FALSE))</f>
        <v>MED95</v>
      </c>
      <c r="I109" s="9" t="str">
        <f>IF(VLOOKUP($A109,'San Juan'!$A$8:$O$291,5,FALSE)="","",VLOOKUP($A109,'San Juan'!$A$8:$O$291,5,FALSE))</f>
        <v>Hidroclorotiazida Comp x 50 mg</v>
      </c>
      <c r="J109" s="9" t="str">
        <f>IF(VLOOKUP($A109,'San Juan'!$A$8:$O$291,7,FALSE)="","",VLOOKUP($A109,'San Juan'!$A$8:$O$291,7,FALSE))</f>
        <v>Baja</v>
      </c>
      <c r="K109" s="9" t="str">
        <f>IF(VLOOKUP($A109,'San Juan'!$A$8:$O$291,6,FALSE)="","",VLOOKUP($A109,'San Juan'!$A$8:$O$291,6,FALSE))</f>
        <v>Revisar presentación</v>
      </c>
      <c r="L109" s="24" t="str">
        <f>IF(VLOOKUP($A109,Salta!$A$8:$O$291,4,FALSE)="","",VLOOKUP($A109,Salta!$A$8:$O$291,4,FALSE))</f>
        <v>142</v>
      </c>
      <c r="M109" s="9" t="str">
        <f>IF(VLOOKUP($A109,Salta!$A$8:$O$291,5,FALSE)="","",VLOOKUP($A109,Salta!$A$8:$O$291,5,FALSE))</f>
        <v>Hidroclorotiazida Comprimidosx 50mg</v>
      </c>
      <c r="N109" s="9" t="str">
        <f>IF(VLOOKUP($A109,Salta!$A$8:$O$291,7,FALSE)="","",VLOOKUP($A109,Salta!$A$8:$O$291,7,FALSE))</f>
        <v>Baja</v>
      </c>
      <c r="O109" s="9" t="str">
        <f>IF(VLOOKUP($A109,Salta!$A$8:$O$291,6,FALSE)="","",VLOOKUP($A109,Salta!$A$8:$O$291,6,FALSE))</f>
        <v>Revisar presentación</v>
      </c>
      <c r="P109" s="24" t="str">
        <f>IF(VLOOKUP($A109,Neuquén!$A$8:$O$291,15,FALSE)="Homologado",VLOOKUP($A109,Neuquén!$A$8:$O$291,10,FALSE),"")</f>
        <v/>
      </c>
      <c r="Q109" s="24" t="str">
        <f>IF(VLOOKUP($A109,'San Juan'!$A$8:$O$291,15,FALSE)="Homologado",VLOOKUP($A109,'San Juan'!$A$8:$O$291,10,FALSE),"")</f>
        <v/>
      </c>
      <c r="R109" s="24" t="str">
        <f>IF(VLOOKUP($A109,Salta!$A$8:$O$291,15,FALSE)="Homologado",VLOOKUP($A109,Salta!$A$8:$O$291,10,FALSE),"")</f>
        <v/>
      </c>
      <c r="S109" s="24" t="str">
        <f>IF(VLOOKUP($A109,'Master vs SAP'!$A$8:$O$291,4,FALSE)="","",VLOOKUP($A109,'Master vs SAP'!$A$8:$O$291,4,FALSE))</f>
        <v/>
      </c>
      <c r="T109" s="9" t="str">
        <f>IF(VLOOKUP($A109,'Master vs SAP'!$A$8:$O$291,5,FALSE)="","",VLOOKUP($A109,'Master vs SAP'!$A$8:$O$291,5,FALSE))</f>
        <v/>
      </c>
      <c r="U109" s="9" t="str">
        <f>IF(VLOOKUP($A109,'Master vs SAP'!$A$8:$O$291,7,FALSE)="","",VLOOKUP($A109,'Master vs SAP'!$A$8:$O$291,7,FALSE))</f>
        <v>Sin coincidencia</v>
      </c>
      <c r="V109" s="9" t="str">
        <f>IF(VLOOKUP($A109,'Master vs SAP'!$A$8:$O$291,6,FALSE)="","",VLOOKUP($A109,'Master vs SAP'!$A$8:$O$291,6,FALSE))</f>
        <v>Sin coincidencia</v>
      </c>
      <c r="W109" s="24" t="str">
        <f>IF(VLOOKUP($A109,'Master vs SAP'!$A$8:$O$291,15,FALSE)="Homologado",VLOOKUP($A109,'Master vs SAP'!$A$8:$O$291,10,FALSE),"")</f>
        <v/>
      </c>
    </row>
    <row r="110" spans="1:23" ht="61.95" customHeight="1">
      <c r="A110" s="9" t="s">
        <v>312</v>
      </c>
      <c r="B110" s="9" t="s">
        <v>108</v>
      </c>
      <c r="C110" s="9" t="s">
        <v>313</v>
      </c>
      <c r="D110" s="24" t="str">
        <f>IF(VLOOKUP($A110,Neuquén!$A$8:$O$291,4,FALSE)="","",VLOOKUP($A110,Neuquén!$A$8:$O$291,4,FALSE))</f>
        <v>515</v>
      </c>
      <c r="E110" s="9" t="str">
        <f>IF(VLOOKUP($A110,Neuquén!$A$8:$O$291,5,FALSE)="","",VLOOKUP($A110,Neuquén!$A$8:$O$291,5,FALSE))</f>
        <v>Manitol</v>
      </c>
      <c r="F110" s="9" t="str">
        <f>IF(VLOOKUP($A110,Neuquén!$A$8:$O$291,7,FALSE)="","",VLOOKUP($A110,Neuquén!$A$8:$O$291,7,FALSE))</f>
        <v>Media</v>
      </c>
      <c r="G110" s="9" t="str">
        <f>IF(VLOOKUP($A110,Neuquén!$A$8:$O$291,6,FALSE)="","",VLOOKUP($A110,Neuquén!$A$8:$O$291,6,FALSE))</f>
        <v>Equivalencia a revisar</v>
      </c>
      <c r="H110" s="24" t="str">
        <f>IF(VLOOKUP($A110,'San Juan'!$A$8:$O$291,4,FALSE)="","",VLOOKUP($A110,'San Juan'!$A$8:$O$291,4,FALSE))</f>
        <v/>
      </c>
      <c r="I110" s="9" t="str">
        <f>IF(VLOOKUP($A110,'San Juan'!$A$8:$O$291,5,FALSE)="","",VLOOKUP($A110,'San Juan'!$A$8:$O$291,5,FALSE))</f>
        <v/>
      </c>
      <c r="J110" s="9" t="str">
        <f>IF(VLOOKUP($A110,'San Juan'!$A$8:$O$291,7,FALSE)="","",VLOOKUP($A110,'San Juan'!$A$8:$O$291,7,FALSE))</f>
        <v>Sin coincidencia</v>
      </c>
      <c r="K110" s="9" t="str">
        <f>IF(VLOOKUP($A110,'San Juan'!$A$8:$O$291,6,FALSE)="","",VLOOKUP($A110,'San Juan'!$A$8:$O$291,6,FALSE))</f>
        <v>Sin código encontrado</v>
      </c>
      <c r="L110" s="24" t="str">
        <f>IF(VLOOKUP($A110,Salta!$A$8:$O$291,4,FALSE)="","",VLOOKUP($A110,Salta!$A$8:$O$291,4,FALSE))</f>
        <v/>
      </c>
      <c r="M110" s="9" t="str">
        <f>IF(VLOOKUP($A110,Salta!$A$8:$O$291,5,FALSE)="","",VLOOKUP($A110,Salta!$A$8:$O$291,5,FALSE))</f>
        <v/>
      </c>
      <c r="N110" s="9" t="str">
        <f>IF(VLOOKUP($A110,Salta!$A$8:$O$291,7,FALSE)="","",VLOOKUP($A110,Salta!$A$8:$O$291,7,FALSE))</f>
        <v>Sin coincidencia</v>
      </c>
      <c r="O110" s="9" t="str">
        <f>IF(VLOOKUP($A110,Salta!$A$8:$O$291,6,FALSE)="","",VLOOKUP($A110,Salta!$A$8:$O$291,6,FALSE))</f>
        <v>Sin coincidencia</v>
      </c>
      <c r="P110" s="24" t="str">
        <f>IF(VLOOKUP($A110,Neuquén!$A$8:$O$291,15,FALSE)="Homologado",VLOOKUP($A110,Neuquén!$A$8:$O$291,10,FALSE),"")</f>
        <v/>
      </c>
      <c r="Q110" s="24" t="str">
        <f>IF(VLOOKUP($A110,'San Juan'!$A$8:$O$291,15,FALSE)="Homologado",VLOOKUP($A110,'San Juan'!$A$8:$O$291,10,FALSE),"")</f>
        <v/>
      </c>
      <c r="R110" s="24" t="str">
        <f>IF(VLOOKUP($A110,Salta!$A$8:$O$291,15,FALSE)="Homologado",VLOOKUP($A110,Salta!$A$8:$O$291,10,FALSE),"")</f>
        <v/>
      </c>
      <c r="S110" s="24" t="str">
        <f>IF(VLOOKUP($A110,'Master vs SAP'!$A$8:$O$291,4,FALSE)="","",VLOOKUP($A110,'Master vs SAP'!$A$8:$O$291,4,FALSE))</f>
        <v>1000669</v>
      </c>
      <c r="T110" s="9" t="str">
        <f>IF(VLOOKUP($A110,'Master vs SAP'!$A$8:$O$291,5,FALSE)="","",VLOOKUP($A110,'Master vs SAP'!$A$8:$O$291,5,FALSE))</f>
        <v>MANITOL AL 15% x 500ML</v>
      </c>
      <c r="U110" s="9" t="str">
        <f>IF(VLOOKUP($A110,'Master vs SAP'!$A$8:$O$291,7,FALSE)="","",VLOOKUP($A110,'Master vs SAP'!$A$8:$O$291,7,FALSE))</f>
        <v>Alta</v>
      </c>
      <c r="V110" s="9" t="str">
        <f>IF(VLOOKUP($A110,'Master vs SAP'!$A$8:$O$291,6,FALSE)="","",VLOOKUP($A110,'Master vs SAP'!$A$8:$O$291,6,FALSE))</f>
        <v>Coincidencia</v>
      </c>
      <c r="W110" s="24" t="str">
        <f>IF(VLOOKUP($A110,'Master vs SAP'!$A$8:$O$291,15,FALSE)="Homologado",VLOOKUP($A110,'Master vs SAP'!$A$8:$O$291,10,FALSE),"")</f>
        <v/>
      </c>
    </row>
    <row r="111" spans="1:23" ht="61.95" customHeight="1">
      <c r="A111" s="9" t="s">
        <v>314</v>
      </c>
      <c r="B111" s="9" t="s">
        <v>108</v>
      </c>
      <c r="C111" s="9" t="s">
        <v>315</v>
      </c>
      <c r="D111" s="24" t="str">
        <f>IF(VLOOKUP($A111,Neuquén!$A$8:$O$291,4,FALSE)="","",VLOOKUP($A111,Neuquén!$A$8:$O$291,4,FALSE))</f>
        <v>212</v>
      </c>
      <c r="E111" s="9" t="str">
        <f>IF(VLOOKUP($A111,Neuquén!$A$8:$O$291,5,FALSE)="","",VLOOKUP($A111,Neuquén!$A$8:$O$291,5,FALSE))</f>
        <v>SOLUCIÓNFISIOLÓGICA</v>
      </c>
      <c r="F111" s="9" t="str">
        <f>IF(VLOOKUP($A111,Neuquén!$A$8:$O$291,7,FALSE)="","",VLOOKUP($A111,Neuquén!$A$8:$O$291,7,FALSE))</f>
        <v>Media</v>
      </c>
      <c r="G111" s="9" t="str">
        <f>IF(VLOOKUP($A111,Neuquén!$A$8:$O$291,6,FALSE)="","",VLOOKUP($A111,Neuquén!$A$8:$O$291,6,FALSE))</f>
        <v>Código compartido: revisar</v>
      </c>
      <c r="H111" s="24" t="str">
        <f>IF(VLOOKUP($A111,'San Juan'!$A$8:$O$291,4,FALSE)="","",VLOOKUP($A111,'San Juan'!$A$8:$O$291,4,FALSE))</f>
        <v>MED168</v>
      </c>
      <c r="I111" s="9" t="str">
        <f>IF(VLOOKUP($A111,'San Juan'!$A$8:$O$291,5,FALSE)="","",VLOOKUP($A111,'San Juan'!$A$8:$O$291,5,FALSE))</f>
        <v>Solucion fisiológica x 500 ml</v>
      </c>
      <c r="J111" s="9" t="str">
        <f>IF(VLOOKUP($A111,'San Juan'!$A$8:$O$291,7,FALSE)="","",VLOOKUP($A111,'San Juan'!$A$8:$O$291,7,FALSE))</f>
        <v>Media</v>
      </c>
      <c r="K111" s="9" t="str">
        <f>IF(VLOOKUP($A111,'San Juan'!$A$8:$O$291,6,FALSE)="","",VLOOKUP($A111,'San Juan'!$A$8:$O$291,6,FALSE))</f>
        <v>Código compartido: revisar</v>
      </c>
      <c r="L111" s="24" t="str">
        <f>IF(VLOOKUP($A111,Salta!$A$8:$O$291,4,FALSE)="","",VLOOKUP($A111,Salta!$A$8:$O$291,4,FALSE))</f>
        <v>218</v>
      </c>
      <c r="M111" s="9" t="str">
        <f>IF(VLOOKUP($A111,Salta!$A$8:$O$291,5,FALSE)="","",VLOOKUP($A111,Salta!$A$8:$O$291,5,FALSE))</f>
        <v>Solucion fisiológica 500ml Baxter 500ml</v>
      </c>
      <c r="N111" s="9" t="str">
        <f>IF(VLOOKUP($A111,Salta!$A$8:$O$291,7,FALSE)="","",VLOOKUP($A111,Salta!$A$8:$O$291,7,FALSE))</f>
        <v>Alta</v>
      </c>
      <c r="O111" s="9" t="str">
        <f>IF(VLOOKUP($A111,Salta!$A$8:$O$291,6,FALSE)="","",VLOOKUP($A111,Salta!$A$8:$O$291,6,FALSE))</f>
        <v>Coincidencia</v>
      </c>
      <c r="P111" s="24" t="str">
        <f>IF(VLOOKUP($A111,Neuquén!$A$8:$O$291,15,FALSE)="Homologado",VLOOKUP($A111,Neuquén!$A$8:$O$291,10,FALSE),"")</f>
        <v/>
      </c>
      <c r="Q111" s="24" t="str">
        <f>IF(VLOOKUP($A111,'San Juan'!$A$8:$O$291,15,FALSE)="Homologado",VLOOKUP($A111,'San Juan'!$A$8:$O$291,10,FALSE),"")</f>
        <v/>
      </c>
      <c r="R111" s="24" t="str">
        <f>IF(VLOOKUP($A111,Salta!$A$8:$O$291,15,FALSE)="Homologado",VLOOKUP($A111,Salta!$A$8:$O$291,10,FALSE),"")</f>
        <v/>
      </c>
      <c r="S111" s="24" t="str">
        <f>IF(VLOOKUP($A111,'Master vs SAP'!$A$8:$O$291,4,FALSE)="","",VLOOKUP($A111,'Master vs SAP'!$A$8:$O$291,4,FALSE))</f>
        <v>1000089
1005145</v>
      </c>
      <c r="T111" s="9" t="str">
        <f>IF(VLOOKUP($A111,'Master vs SAP'!$A$8:$O$291,5,FALSE)="","",VLOOKUP($A111,'Master vs SAP'!$A$8:$O$291,5,FALSE))</f>
        <v>SOLUCION FISIOLOGICA DE 500CC
CLORURO DE SODIO 0,9%/500ML</v>
      </c>
      <c r="U111" s="9" t="str">
        <f>IF(VLOOKUP($A111,'Master vs SAP'!$A$8:$O$291,7,FALSE)="","",VLOOKUP($A111,'Master vs SAP'!$A$8:$O$291,7,FALSE))</f>
        <v>Alta</v>
      </c>
      <c r="V111" s="9" t="str">
        <f>IF(VLOOKUP($A111,'Master vs SAP'!$A$8:$O$291,6,FALSE)="","",VLOOKUP($A111,'Master vs SAP'!$A$8:$O$291,6,FALSE))</f>
        <v>Coincidencia</v>
      </c>
      <c r="W111" s="24" t="str">
        <f>IF(VLOOKUP($A111,'Master vs SAP'!$A$8:$O$291,15,FALSE)="Homologado",VLOOKUP($A111,'Master vs SAP'!$A$8:$O$291,10,FALSE),"")</f>
        <v/>
      </c>
    </row>
    <row r="112" spans="1:23" ht="61.95" customHeight="1">
      <c r="A112" s="9" t="s">
        <v>316</v>
      </c>
      <c r="B112" s="9" t="s">
        <v>108</v>
      </c>
      <c r="C112" s="9" t="s">
        <v>317</v>
      </c>
      <c r="D112" s="24" t="str">
        <f>IF(VLOOKUP($A112,Neuquén!$A$8:$O$291,4,FALSE)="","",VLOOKUP($A112,Neuquén!$A$8:$O$291,4,FALSE))</f>
        <v>211</v>
      </c>
      <c r="E112" s="9" t="str">
        <f>IF(VLOOKUP($A112,Neuquén!$A$8:$O$291,5,FALSE)="","",VLOOKUP($A112,Neuquén!$A$8:$O$291,5,FALSE))</f>
        <v>SOLUCIONDEXTROSA</v>
      </c>
      <c r="F112" s="9" t="str">
        <f>IF(VLOOKUP($A112,Neuquén!$A$8:$O$291,7,FALSE)="","",VLOOKUP($A112,Neuquén!$A$8:$O$291,7,FALSE))</f>
        <v>Baja</v>
      </c>
      <c r="G112" s="9" t="str">
        <f>IF(VLOOKUP($A112,Neuquén!$A$8:$O$291,6,FALSE)="","",VLOOKUP($A112,Neuquén!$A$8:$O$291,6,FALSE))</f>
        <v>Equivalencia a revisar</v>
      </c>
      <c r="H112" s="24" t="str">
        <f>IF(VLOOKUP($A112,'San Juan'!$A$8:$O$291,4,FALSE)="","",VLOOKUP($A112,'San Juan'!$A$8:$O$291,4,FALSE))</f>
        <v>MED58</v>
      </c>
      <c r="I112" s="9" t="str">
        <f>IF(VLOOKUP($A112,'San Juan'!$A$8:$O$291,5,FALSE)="","",VLOOKUP($A112,'San Juan'!$A$8:$O$291,5,FALSE))</f>
        <v>Dextrosa al 5% x 500 ml sachet</v>
      </c>
      <c r="J112" s="9" t="str">
        <f>IF(VLOOKUP($A112,'San Juan'!$A$8:$O$291,7,FALSE)="","",VLOOKUP($A112,'San Juan'!$A$8:$O$291,7,FALSE))</f>
        <v>Media</v>
      </c>
      <c r="K112" s="9" t="str">
        <f>IF(VLOOKUP($A112,'San Juan'!$A$8:$O$291,6,FALSE)="","",VLOOKUP($A112,'San Juan'!$A$8:$O$291,6,FALSE))</f>
        <v>Código compartido: revisar</v>
      </c>
      <c r="L112" s="24" t="str">
        <f>IF(VLOOKUP($A112,Salta!$A$8:$O$291,4,FALSE)="","",VLOOKUP($A112,Salta!$A$8:$O$291,4,FALSE))</f>
        <v>94</v>
      </c>
      <c r="M112" s="9" t="str">
        <f>IF(VLOOKUP($A112,Salta!$A$8:$O$291,5,FALSE)="","",VLOOKUP($A112,Salta!$A$8:$O$291,5,FALSE))</f>
        <v>Dextrosa al 5% 500ml Baxter 500ml</v>
      </c>
      <c r="N112" s="9" t="str">
        <f>IF(VLOOKUP($A112,Salta!$A$8:$O$291,7,FALSE)="","",VLOOKUP($A112,Salta!$A$8:$O$291,7,FALSE))</f>
        <v>Alta</v>
      </c>
      <c r="O112" s="9" t="str">
        <f>IF(VLOOKUP($A112,Salta!$A$8:$O$291,6,FALSE)="","",VLOOKUP($A112,Salta!$A$8:$O$291,6,FALSE))</f>
        <v>Coincidencia</v>
      </c>
      <c r="P112" s="24" t="str">
        <f>IF(VLOOKUP($A112,Neuquén!$A$8:$O$291,15,FALSE)="Homologado",VLOOKUP($A112,Neuquén!$A$8:$O$291,10,FALSE),"")</f>
        <v/>
      </c>
      <c r="Q112" s="24" t="str">
        <f>IF(VLOOKUP($A112,'San Juan'!$A$8:$O$291,15,FALSE)="Homologado",VLOOKUP($A112,'San Juan'!$A$8:$O$291,10,FALSE),"")</f>
        <v/>
      </c>
      <c r="R112" s="24" t="str">
        <f>IF(VLOOKUP($A112,Salta!$A$8:$O$291,15,FALSE)="Homologado",VLOOKUP($A112,Salta!$A$8:$O$291,10,FALSE),"")</f>
        <v/>
      </c>
      <c r="S112" s="24" t="str">
        <f>IF(VLOOKUP($A112,'Master vs SAP'!$A$8:$O$291,4,FALSE)="","",VLOOKUP($A112,'Master vs SAP'!$A$8:$O$291,4,FALSE))</f>
        <v>1000033</v>
      </c>
      <c r="T112" s="9" t="str">
        <f>IF(VLOOKUP($A112,'Master vs SAP'!$A$8:$O$291,5,FALSE)="","",VLOOKUP($A112,'Master vs SAP'!$A$8:$O$291,5,FALSE))</f>
        <v>SOLUCIÓN DEXTROSA AL 5% DE 500 CC</v>
      </c>
      <c r="U112" s="9" t="str">
        <f>IF(VLOOKUP($A112,'Master vs SAP'!$A$8:$O$291,7,FALSE)="","",VLOOKUP($A112,'Master vs SAP'!$A$8:$O$291,7,FALSE))</f>
        <v>Alta</v>
      </c>
      <c r="V112" s="9" t="str">
        <f>IF(VLOOKUP($A112,'Master vs SAP'!$A$8:$O$291,6,FALSE)="","",VLOOKUP($A112,'Master vs SAP'!$A$8:$O$291,6,FALSE))</f>
        <v>Coincidencia</v>
      </c>
      <c r="W112" s="24" t="str">
        <f>IF(VLOOKUP($A112,'Master vs SAP'!$A$8:$O$291,15,FALSE)="Homologado",VLOOKUP($A112,'Master vs SAP'!$A$8:$O$291,10,FALSE),"")</f>
        <v/>
      </c>
    </row>
    <row r="113" spans="1:23" ht="61.95" customHeight="1">
      <c r="A113" s="9" t="s">
        <v>318</v>
      </c>
      <c r="B113" s="9" t="s">
        <v>108</v>
      </c>
      <c r="C113" s="9" t="s">
        <v>319</v>
      </c>
      <c r="D113" s="24" t="str">
        <f>IF(VLOOKUP($A113,Neuquén!$A$8:$O$291,4,FALSE)="","",VLOOKUP($A113,Neuquén!$A$8:$O$291,4,FALSE))</f>
        <v>216</v>
      </c>
      <c r="E113" s="9" t="str">
        <f>IF(VLOOKUP($A113,Neuquén!$A$8:$O$291,5,FALSE)="","",VLOOKUP($A113,Neuquén!$A$8:$O$291,5,FALSE))</f>
        <v>SOLUCIÓNRINGERLACTATO</v>
      </c>
      <c r="F113" s="9" t="str">
        <f>IF(VLOOKUP($A113,Neuquén!$A$8:$O$291,7,FALSE)="","",VLOOKUP($A113,Neuquén!$A$8:$O$291,7,FALSE))</f>
        <v>Media</v>
      </c>
      <c r="G113" s="9" t="str">
        <f>IF(VLOOKUP($A113,Neuquén!$A$8:$O$291,6,FALSE)="","",VLOOKUP($A113,Neuquén!$A$8:$O$291,6,FALSE))</f>
        <v>Equivalencia a revisar</v>
      </c>
      <c r="H113" s="24" t="str">
        <f>IF(VLOOKUP($A113,'San Juan'!$A$8:$O$291,4,FALSE)="","",VLOOKUP($A113,'San Juan'!$A$8:$O$291,4,FALSE))</f>
        <v>MED169</v>
      </c>
      <c r="I113" s="9" t="str">
        <f>IF(VLOOKUP($A113,'San Juan'!$A$8:$O$291,5,FALSE)="","",VLOOKUP($A113,'San Juan'!$A$8:$O$291,5,FALSE))</f>
        <v>Solución ringer lactato x 500 ml</v>
      </c>
      <c r="J113" s="9" t="str">
        <f>IF(VLOOKUP($A113,'San Juan'!$A$8:$O$291,7,FALSE)="","",VLOOKUP($A113,'San Juan'!$A$8:$O$291,7,FALSE))</f>
        <v>Alta</v>
      </c>
      <c r="K113" s="9" t="str">
        <f>IF(VLOOKUP($A113,'San Juan'!$A$8:$O$291,6,FALSE)="","",VLOOKUP($A113,'San Juan'!$A$8:$O$291,6,FALSE))</f>
        <v>Coincidencia por validar</v>
      </c>
      <c r="L113" s="24" t="str">
        <f>IF(VLOOKUP($A113,Salta!$A$8:$O$291,4,FALSE)="","",VLOOKUP($A113,Salta!$A$8:$O$291,4,FALSE))</f>
        <v>220</v>
      </c>
      <c r="M113" s="9" t="str">
        <f>IF(VLOOKUP($A113,Salta!$A$8:$O$291,5,FALSE)="","",VLOOKUP($A113,Salta!$A$8:$O$291,5,FALSE))</f>
        <v>Solución ringer lactato 500ml Baxter 500ml</v>
      </c>
      <c r="N113" s="9" t="str">
        <f>IF(VLOOKUP($A113,Salta!$A$8:$O$291,7,FALSE)="","",VLOOKUP($A113,Salta!$A$8:$O$291,7,FALSE))</f>
        <v>Alta</v>
      </c>
      <c r="O113" s="9" t="str">
        <f>IF(VLOOKUP($A113,Salta!$A$8:$O$291,6,FALSE)="","",VLOOKUP($A113,Salta!$A$8:$O$291,6,FALSE))</f>
        <v>Coincidencia</v>
      </c>
      <c r="P113" s="24" t="str">
        <f>IF(VLOOKUP($A113,Neuquén!$A$8:$O$291,15,FALSE)="Homologado",VLOOKUP($A113,Neuquén!$A$8:$O$291,10,FALSE),"")</f>
        <v/>
      </c>
      <c r="Q113" s="24" t="str">
        <f>IF(VLOOKUP($A113,'San Juan'!$A$8:$O$291,15,FALSE)="Homologado",VLOOKUP($A113,'San Juan'!$A$8:$O$291,10,FALSE),"")</f>
        <v/>
      </c>
      <c r="R113" s="24" t="str">
        <f>IF(VLOOKUP($A113,Salta!$A$8:$O$291,15,FALSE)="Homologado",VLOOKUP($A113,Salta!$A$8:$O$291,10,FALSE),"")</f>
        <v/>
      </c>
      <c r="S113" s="24" t="str">
        <f>IF(VLOOKUP($A113,'Master vs SAP'!$A$8:$O$291,4,FALSE)="","",VLOOKUP($A113,'Master vs SAP'!$A$8:$O$291,4,FALSE))</f>
        <v>1000035</v>
      </c>
      <c r="T113" s="9" t="str">
        <f>IF(VLOOKUP($A113,'Master vs SAP'!$A$8:$O$291,5,FALSE)="","",VLOOKUP($A113,'Master vs SAP'!$A$8:$O$291,5,FALSE))</f>
        <v>SOLUCIÓN RINGER LACTATO 500 ML</v>
      </c>
      <c r="U113" s="9" t="str">
        <f>IF(VLOOKUP($A113,'Master vs SAP'!$A$8:$O$291,7,FALSE)="","",VLOOKUP($A113,'Master vs SAP'!$A$8:$O$291,7,FALSE))</f>
        <v>Alta</v>
      </c>
      <c r="V113" s="9" t="str">
        <f>IF(VLOOKUP($A113,'Master vs SAP'!$A$8:$O$291,6,FALSE)="","",VLOOKUP($A113,'Master vs SAP'!$A$8:$O$291,6,FALSE))</f>
        <v>Coincidencia</v>
      </c>
      <c r="W113" s="24" t="str">
        <f>IF(VLOOKUP($A113,'Master vs SAP'!$A$8:$O$291,15,FALSE)="Homologado",VLOOKUP($A113,'Master vs SAP'!$A$8:$O$291,10,FALSE),"")</f>
        <v/>
      </c>
    </row>
    <row r="114" spans="1:23" ht="61.95" customHeight="1">
      <c r="A114" s="9" t="s">
        <v>320</v>
      </c>
      <c r="B114" s="9" t="s">
        <v>108</v>
      </c>
      <c r="C114" s="9" t="s">
        <v>321</v>
      </c>
      <c r="D114" s="24" t="str">
        <f>IF(VLOOKUP($A114,Neuquén!$A$8:$O$291,4,FALSE)="","",VLOOKUP($A114,Neuquén!$A$8:$O$291,4,FALSE))</f>
        <v>516</v>
      </c>
      <c r="E114" s="9" t="str">
        <f>IF(VLOOKUP($A114,Neuquén!$A$8:$O$291,5,FALSE)="","",VLOOKUP($A114,Neuquén!$A$8:$O$291,5,FALSE))</f>
        <v>Dextrosa25%Amp.</v>
      </c>
      <c r="F114" s="9" t="str">
        <f>IF(VLOOKUP($A114,Neuquén!$A$8:$O$291,7,FALSE)="","",VLOOKUP($A114,Neuquén!$A$8:$O$291,7,FALSE))</f>
        <v>Media</v>
      </c>
      <c r="G114" s="9" t="str">
        <f>IF(VLOOKUP($A114,Neuquén!$A$8:$O$291,6,FALSE)="","",VLOOKUP($A114,Neuquén!$A$8:$O$291,6,FALSE))</f>
        <v>Revisar presentación</v>
      </c>
      <c r="H114" s="24" t="str">
        <f>IF(VLOOKUP($A114,'San Juan'!$A$8:$O$291,4,FALSE)="","",VLOOKUP($A114,'San Juan'!$A$8:$O$291,4,FALSE))</f>
        <v>MED58</v>
      </c>
      <c r="I114" s="9" t="str">
        <f>IF(VLOOKUP($A114,'San Juan'!$A$8:$O$291,5,FALSE)="","",VLOOKUP($A114,'San Juan'!$A$8:$O$291,5,FALSE))</f>
        <v>Dextrosa al 5% x 500 ml sachet</v>
      </c>
      <c r="J114" s="9" t="str">
        <f>IF(VLOOKUP($A114,'San Juan'!$A$8:$O$291,7,FALSE)="","",VLOOKUP($A114,'San Juan'!$A$8:$O$291,7,FALSE))</f>
        <v>Baja</v>
      </c>
      <c r="K114" s="9" t="str">
        <f>IF(VLOOKUP($A114,'San Juan'!$A$8:$O$291,6,FALSE)="","",VLOOKUP($A114,'San Juan'!$A$8:$O$291,6,FALSE))</f>
        <v>Revisar presentación</v>
      </c>
      <c r="L114" s="24" t="str">
        <f>IF(VLOOKUP($A114,Salta!$A$8:$O$291,4,FALSE)="","",VLOOKUP($A114,Salta!$A$8:$O$291,4,FALSE))</f>
        <v>132</v>
      </c>
      <c r="M114" s="9" t="str">
        <f>IF(VLOOKUP($A114,Salta!$A$8:$O$291,5,FALSE)="","",VLOOKUP($A114,Salta!$A$8:$O$291,5,FALSE))</f>
        <v>Glucosado hipertónico al 25% 1 amp=10ml 250mg/1ml</v>
      </c>
      <c r="N114" s="9" t="str">
        <f>IF(VLOOKUP($A114,Salta!$A$8:$O$291,7,FALSE)="","",VLOOKUP($A114,Salta!$A$8:$O$291,7,FALSE))</f>
        <v>Media</v>
      </c>
      <c r="O114" s="9" t="str">
        <f>IF(VLOOKUP($A114,Salta!$A$8:$O$291,6,FALSE)="","",VLOOKUP($A114,Salta!$A$8:$O$291,6,FALSE))</f>
        <v>Revisar presentación</v>
      </c>
      <c r="P114" s="24" t="str">
        <f>IF(VLOOKUP($A114,Neuquén!$A$8:$O$291,15,FALSE)="Homologado",VLOOKUP($A114,Neuquén!$A$8:$O$291,10,FALSE),"")</f>
        <v/>
      </c>
      <c r="Q114" s="24" t="str">
        <f>IF(VLOOKUP($A114,'San Juan'!$A$8:$O$291,15,FALSE)="Homologado",VLOOKUP($A114,'San Juan'!$A$8:$O$291,10,FALSE),"")</f>
        <v/>
      </c>
      <c r="R114" s="24" t="str">
        <f>IF(VLOOKUP($A114,Salta!$A$8:$O$291,15,FALSE)="Homologado",VLOOKUP($A114,Salta!$A$8:$O$291,10,FALSE),"")</f>
        <v/>
      </c>
      <c r="S114" s="24" t="str">
        <f>IF(VLOOKUP($A114,'Master vs SAP'!$A$8:$O$291,4,FALSE)="","",VLOOKUP($A114,'Master vs SAP'!$A$8:$O$291,4,FALSE))</f>
        <v>1000288</v>
      </c>
      <c r="T114" s="9" t="str">
        <f>IF(VLOOKUP($A114,'Master vs SAP'!$A$8:$O$291,5,FALSE)="","",VLOOKUP($A114,'Master vs SAP'!$A$8:$O$291,5,FALSE))</f>
        <v>SOLUCIÓN DEXTROSA AL 25% 500 CC</v>
      </c>
      <c r="U114" s="9" t="str">
        <f>IF(VLOOKUP($A114,'Master vs SAP'!$A$8:$O$291,7,FALSE)="","",VLOOKUP($A114,'Master vs SAP'!$A$8:$O$291,7,FALSE))</f>
        <v>Alta</v>
      </c>
      <c r="V114" s="9" t="str">
        <f>IF(VLOOKUP($A114,'Master vs SAP'!$A$8:$O$291,6,FALSE)="","",VLOOKUP($A114,'Master vs SAP'!$A$8:$O$291,6,FALSE))</f>
        <v>Coincidencia</v>
      </c>
      <c r="W114" s="24" t="str">
        <f>IF(VLOOKUP($A114,'Master vs SAP'!$A$8:$O$291,15,FALSE)="Homologado",VLOOKUP($A114,'Master vs SAP'!$A$8:$O$291,10,FALSE),"")</f>
        <v/>
      </c>
    </row>
    <row r="115" spans="1:23" ht="61.95" customHeight="1">
      <c r="A115" s="9" t="s">
        <v>322</v>
      </c>
      <c r="B115" s="9" t="s">
        <v>108</v>
      </c>
      <c r="C115" s="9" t="s">
        <v>323</v>
      </c>
      <c r="D115" s="24" t="str">
        <f>IF(VLOOKUP($A115,Neuquén!$A$8:$O$291,4,FALSE)="","",VLOOKUP($A115,Neuquén!$A$8:$O$291,4,FALSE))</f>
        <v>516</v>
      </c>
      <c r="E115" s="9" t="str">
        <f>IF(VLOOKUP($A115,Neuquén!$A$8:$O$291,5,FALSE)="","",VLOOKUP($A115,Neuquén!$A$8:$O$291,5,FALSE))</f>
        <v>Dextrosa25%Amp.</v>
      </c>
      <c r="F115" s="9" t="str">
        <f>IF(VLOOKUP($A115,Neuquén!$A$8:$O$291,7,FALSE)="","",VLOOKUP($A115,Neuquén!$A$8:$O$291,7,FALSE))</f>
        <v>Media</v>
      </c>
      <c r="G115" s="9" t="str">
        <f>IF(VLOOKUP($A115,Neuquén!$A$8:$O$291,6,FALSE)="","",VLOOKUP($A115,Neuquén!$A$8:$O$291,6,FALSE))</f>
        <v>Código compartido: revisar</v>
      </c>
      <c r="H115" s="24" t="str">
        <f>IF(VLOOKUP($A115,'San Juan'!$A$8:$O$291,4,FALSE)="","",VLOOKUP($A115,'San Juan'!$A$8:$O$291,4,FALSE))</f>
        <v/>
      </c>
      <c r="I115" s="9" t="str">
        <f>IF(VLOOKUP($A115,'San Juan'!$A$8:$O$291,5,FALSE)="","",VLOOKUP($A115,'San Juan'!$A$8:$O$291,5,FALSE))</f>
        <v/>
      </c>
      <c r="J115" s="9" t="str">
        <f>IF(VLOOKUP($A115,'San Juan'!$A$8:$O$291,7,FALSE)="","",VLOOKUP($A115,'San Juan'!$A$8:$O$291,7,FALSE))</f>
        <v>Sin coincidencia</v>
      </c>
      <c r="K115" s="9" t="str">
        <f>IF(VLOOKUP($A115,'San Juan'!$A$8:$O$291,6,FALSE)="","",VLOOKUP($A115,'San Juan'!$A$8:$O$291,6,FALSE))</f>
        <v>Sin código encontrado</v>
      </c>
      <c r="L115" s="24" t="str">
        <f>IF(VLOOKUP($A115,Salta!$A$8:$O$291,4,FALSE)="","",VLOOKUP($A115,Salta!$A$8:$O$291,4,FALSE))</f>
        <v>132</v>
      </c>
      <c r="M115" s="9" t="str">
        <f>IF(VLOOKUP($A115,Salta!$A$8:$O$291,5,FALSE)="","",VLOOKUP($A115,Salta!$A$8:$O$291,5,FALSE))</f>
        <v>Glucosado hipertónico al 25% 1 amp=10ml 250mg/1ml</v>
      </c>
      <c r="N115" s="9" t="str">
        <f>IF(VLOOKUP($A115,Salta!$A$8:$O$291,7,FALSE)="","",VLOOKUP($A115,Salta!$A$8:$O$291,7,FALSE))</f>
        <v>Alta</v>
      </c>
      <c r="O115" s="9" t="str">
        <f>IF(VLOOKUP($A115,Salta!$A$8:$O$291,6,FALSE)="","",VLOOKUP($A115,Salta!$A$8:$O$291,6,FALSE))</f>
        <v>Coincidencia</v>
      </c>
      <c r="P115" s="24" t="str">
        <f>IF(VLOOKUP($A115,Neuquén!$A$8:$O$291,15,FALSE)="Homologado",VLOOKUP($A115,Neuquén!$A$8:$O$291,10,FALSE),"")</f>
        <v/>
      </c>
      <c r="Q115" s="24" t="str">
        <f>IF(VLOOKUP($A115,'San Juan'!$A$8:$O$291,15,FALSE)="Homologado",VLOOKUP($A115,'San Juan'!$A$8:$O$291,10,FALSE),"")</f>
        <v/>
      </c>
      <c r="R115" s="24" t="str">
        <f>IF(VLOOKUP($A115,Salta!$A$8:$O$291,15,FALSE)="Homologado",VLOOKUP($A115,Salta!$A$8:$O$291,10,FALSE),"")</f>
        <v/>
      </c>
      <c r="S115" s="24" t="str">
        <f>IF(VLOOKUP($A115,'Master vs SAP'!$A$8:$O$291,4,FALSE)="","",VLOOKUP($A115,'Master vs SAP'!$A$8:$O$291,4,FALSE))</f>
        <v>1000078</v>
      </c>
      <c r="T115" s="9" t="str">
        <f>IF(VLOOKUP($A115,'Master vs SAP'!$A$8:$O$291,5,FALSE)="","",VLOOKUP($A115,'Master vs SAP'!$A$8:$O$291,5,FALSE))</f>
        <v>SOLUCION GLUCOSADA HIPERTONICA 25% AMP</v>
      </c>
      <c r="U115" s="9" t="str">
        <f>IF(VLOOKUP($A115,'Master vs SAP'!$A$8:$O$291,7,FALSE)="","",VLOOKUP($A115,'Master vs SAP'!$A$8:$O$291,7,FALSE))</f>
        <v>Alta</v>
      </c>
      <c r="V115" s="9" t="str">
        <f>IF(VLOOKUP($A115,'Master vs SAP'!$A$8:$O$291,6,FALSE)="","",VLOOKUP($A115,'Master vs SAP'!$A$8:$O$291,6,FALSE))</f>
        <v>Coincidencia</v>
      </c>
      <c r="W115" s="24" t="str">
        <f>IF(VLOOKUP($A115,'Master vs SAP'!$A$8:$O$291,15,FALSE)="Homologado",VLOOKUP($A115,'Master vs SAP'!$A$8:$O$291,10,FALSE),"")</f>
        <v/>
      </c>
    </row>
    <row r="116" spans="1:23" ht="61.95" customHeight="1">
      <c r="A116" s="9" t="s">
        <v>324</v>
      </c>
      <c r="B116" s="9" t="s">
        <v>108</v>
      </c>
      <c r="C116" s="9" t="s">
        <v>325</v>
      </c>
      <c r="D116" s="24" t="str">
        <f>IF(VLOOKUP($A116,Neuquén!$A$8:$O$291,4,FALSE)="","",VLOOKUP($A116,Neuquén!$A$8:$O$291,4,FALSE))</f>
        <v>5</v>
      </c>
      <c r="E116" s="9" t="str">
        <f>IF(VLOOKUP($A116,Neuquén!$A$8:$O$291,5,FALSE)="","",VLOOKUP($A116,Neuquén!$A$8:$O$291,5,FALSE))</f>
        <v>AGUADESTILADAAMP</v>
      </c>
      <c r="F116" s="9" t="str">
        <f>IF(VLOOKUP($A116,Neuquén!$A$8:$O$291,7,FALSE)="","",VLOOKUP($A116,Neuquén!$A$8:$O$291,7,FALSE))</f>
        <v>Media</v>
      </c>
      <c r="G116" s="9" t="str">
        <f>IF(VLOOKUP($A116,Neuquén!$A$8:$O$291,6,FALSE)="","",VLOOKUP($A116,Neuquén!$A$8:$O$291,6,FALSE))</f>
        <v>Equivalencia a revisar</v>
      </c>
      <c r="H116" s="24" t="str">
        <f>IF(VLOOKUP($A116,'San Juan'!$A$8:$O$291,4,FALSE)="","",VLOOKUP($A116,'San Juan'!$A$8:$O$291,4,FALSE))</f>
        <v/>
      </c>
      <c r="I116" s="9" t="str">
        <f>IF(VLOOKUP($A116,'San Juan'!$A$8:$O$291,5,FALSE)="","",VLOOKUP($A116,'San Juan'!$A$8:$O$291,5,FALSE))</f>
        <v/>
      </c>
      <c r="J116" s="9" t="str">
        <f>IF(VLOOKUP($A116,'San Juan'!$A$8:$O$291,7,FALSE)="","",VLOOKUP($A116,'San Juan'!$A$8:$O$291,7,FALSE))</f>
        <v>Sin coincidencia</v>
      </c>
      <c r="K116" s="9" t="str">
        <f>IF(VLOOKUP($A116,'San Juan'!$A$8:$O$291,6,FALSE)="","",VLOOKUP($A116,'San Juan'!$A$8:$O$291,6,FALSE))</f>
        <v>Sin código encontrado</v>
      </c>
      <c r="L116" s="24" t="str">
        <f>IF(VLOOKUP($A116,Salta!$A$8:$O$291,4,FALSE)="","",VLOOKUP($A116,Salta!$A$8:$O$291,4,FALSE))</f>
        <v>17</v>
      </c>
      <c r="M116" s="9" t="str">
        <f>IF(VLOOKUP($A116,Salta!$A$8:$O$291,5,FALSE)="","",VLOOKUP($A116,Salta!$A$8:$O$291,5,FALSE))</f>
        <v>Agua para Inyectable 1 amp=10ml</v>
      </c>
      <c r="N116" s="9" t="str">
        <f>IF(VLOOKUP($A116,Salta!$A$8:$O$291,7,FALSE)="","",VLOOKUP($A116,Salta!$A$8:$O$291,7,FALSE))</f>
        <v>Media</v>
      </c>
      <c r="O116" s="9" t="str">
        <f>IF(VLOOKUP($A116,Salta!$A$8:$O$291,6,FALSE)="","",VLOOKUP($A116,Salta!$A$8:$O$291,6,FALSE))</f>
        <v>Revisar presentación</v>
      </c>
      <c r="P116" s="24" t="str">
        <f>IF(VLOOKUP($A116,Neuquén!$A$8:$O$291,15,FALSE)="Homologado",VLOOKUP($A116,Neuquén!$A$8:$O$291,10,FALSE),"")</f>
        <v/>
      </c>
      <c r="Q116" s="24" t="str">
        <f>IF(VLOOKUP($A116,'San Juan'!$A$8:$O$291,15,FALSE)="Homologado",VLOOKUP($A116,'San Juan'!$A$8:$O$291,10,FALSE),"")</f>
        <v/>
      </c>
      <c r="R116" s="24" t="str">
        <f>IF(VLOOKUP($A116,Salta!$A$8:$O$291,15,FALSE)="Homologado",VLOOKUP($A116,Salta!$A$8:$O$291,10,FALSE),"")</f>
        <v/>
      </c>
      <c r="S116" s="24" t="str">
        <f>IF(VLOOKUP($A116,'Master vs SAP'!$A$8:$O$291,4,FALSE)="","",VLOOKUP($A116,'Master vs SAP'!$A$8:$O$291,4,FALSE))</f>
        <v>1000016</v>
      </c>
      <c r="T116" s="9" t="str">
        <f>IF(VLOOKUP($A116,'Master vs SAP'!$A$8:$O$291,5,FALSE)="","",VLOOKUP($A116,'Master vs SAP'!$A$8:$O$291,5,FALSE))</f>
        <v>AGUA BIDESTILADA AMPOLLA POR 5ML</v>
      </c>
      <c r="U116" s="9" t="str">
        <f>IF(VLOOKUP($A116,'Master vs SAP'!$A$8:$O$291,7,FALSE)="","",VLOOKUP($A116,'Master vs SAP'!$A$8:$O$291,7,FALSE))</f>
        <v>Media</v>
      </c>
      <c r="V116" s="9" t="str">
        <f>IF(VLOOKUP($A116,'Master vs SAP'!$A$8:$O$291,6,FALSE)="","",VLOOKUP($A116,'Master vs SAP'!$A$8:$O$291,6,FALSE))</f>
        <v>Revisar datos</v>
      </c>
      <c r="W116" s="24" t="str">
        <f>IF(VLOOKUP($A116,'Master vs SAP'!$A$8:$O$291,15,FALSE)="Homologado",VLOOKUP($A116,'Master vs SAP'!$A$8:$O$291,10,FALSE),"")</f>
        <v/>
      </c>
    </row>
    <row r="117" spans="1:23" ht="61.95" customHeight="1">
      <c r="A117" s="9" t="s">
        <v>326</v>
      </c>
      <c r="B117" s="9" t="s">
        <v>108</v>
      </c>
      <c r="C117" s="9" t="s">
        <v>327</v>
      </c>
      <c r="D117" s="24" t="str">
        <f>IF(VLOOKUP($A117,Neuquén!$A$8:$O$291,4,FALSE)="","",VLOOKUP($A117,Neuquén!$A$8:$O$291,4,FALSE))</f>
        <v>389</v>
      </c>
      <c r="E117" s="9" t="str">
        <f>IF(VLOOKUP($A117,Neuquén!$A$8:$O$291,5,FALSE)="","",VLOOKUP($A117,Neuquén!$A$8:$O$291,5,FALSE))</f>
        <v>INSULINA HUMALOG MIX 25 100 U/ML X 3ML</v>
      </c>
      <c r="F117" s="9" t="str">
        <f>IF(VLOOKUP($A117,Neuquén!$A$8:$O$291,7,FALSE)="","",VLOOKUP($A117,Neuquén!$A$8:$O$291,7,FALSE))</f>
        <v>Baja</v>
      </c>
      <c r="G117" s="9" t="str">
        <f>IF(VLOOKUP($A117,Neuquén!$A$8:$O$291,6,FALSE)="","",VLOOKUP($A117,Neuquén!$A$8:$O$291,6,FALSE))</f>
        <v>Producto distinto</v>
      </c>
      <c r="H117" s="24" t="str">
        <f>IF(VLOOKUP($A117,'San Juan'!$A$8:$O$291,4,FALSE)="","",VLOOKUP($A117,'San Juan'!$A$8:$O$291,4,FALSE))</f>
        <v/>
      </c>
      <c r="I117" s="9" t="str">
        <f>IF(VLOOKUP($A117,'San Juan'!$A$8:$O$291,5,FALSE)="","",VLOOKUP($A117,'San Juan'!$A$8:$O$291,5,FALSE))</f>
        <v/>
      </c>
      <c r="J117" s="9" t="str">
        <f>IF(VLOOKUP($A117,'San Juan'!$A$8:$O$291,7,FALSE)="","",VLOOKUP($A117,'San Juan'!$A$8:$O$291,7,FALSE))</f>
        <v>Sin coincidencia</v>
      </c>
      <c r="K117" s="9" t="str">
        <f>IF(VLOOKUP($A117,'San Juan'!$A$8:$O$291,6,FALSE)="","",VLOOKUP($A117,'San Juan'!$A$8:$O$291,6,FALSE))</f>
        <v>Sin código encontrado</v>
      </c>
      <c r="L117" s="24" t="str">
        <f>IF(VLOOKUP($A117,Salta!$A$8:$O$291,4,FALSE)="","",VLOOKUP($A117,Salta!$A$8:$O$291,4,FALSE))</f>
        <v/>
      </c>
      <c r="M117" s="9" t="str">
        <f>IF(VLOOKUP($A117,Salta!$A$8:$O$291,5,FALSE)="","",VLOOKUP($A117,Salta!$A$8:$O$291,5,FALSE))</f>
        <v/>
      </c>
      <c r="N117" s="9" t="str">
        <f>IF(VLOOKUP($A117,Salta!$A$8:$O$291,7,FALSE)="","",VLOOKUP($A117,Salta!$A$8:$O$291,7,FALSE))</f>
        <v>Sin coincidencia</v>
      </c>
      <c r="O117" s="9" t="str">
        <f>IF(VLOOKUP($A117,Salta!$A$8:$O$291,6,FALSE)="","",VLOOKUP($A117,Salta!$A$8:$O$291,6,FALSE))</f>
        <v>Sin coincidencia</v>
      </c>
      <c r="P117" s="24" t="str">
        <f>IF(VLOOKUP($A117,Neuquén!$A$8:$O$291,15,FALSE)="Homologado",VLOOKUP($A117,Neuquén!$A$8:$O$291,10,FALSE),"")</f>
        <v/>
      </c>
      <c r="Q117" s="24" t="str">
        <f>IF(VLOOKUP($A117,'San Juan'!$A$8:$O$291,15,FALSE)="Homologado",VLOOKUP($A117,'San Juan'!$A$8:$O$291,10,FALSE),"")</f>
        <v/>
      </c>
      <c r="R117" s="24" t="str">
        <f>IF(VLOOKUP($A117,Salta!$A$8:$O$291,15,FALSE)="Homologado",VLOOKUP($A117,Salta!$A$8:$O$291,10,FALSE),"")</f>
        <v/>
      </c>
      <c r="S117" s="24" t="str">
        <f>IF(VLOOKUP($A117,'Master vs SAP'!$A$8:$O$291,4,FALSE)="","",VLOOKUP($A117,'Master vs SAP'!$A$8:$O$291,4,FALSE))</f>
        <v/>
      </c>
      <c r="T117" s="9" t="str">
        <f>IF(VLOOKUP($A117,'Master vs SAP'!$A$8:$O$291,5,FALSE)="","",VLOOKUP($A117,'Master vs SAP'!$A$8:$O$291,5,FALSE))</f>
        <v/>
      </c>
      <c r="U117" s="9" t="str">
        <f>IF(VLOOKUP($A117,'Master vs SAP'!$A$8:$O$291,7,FALSE)="","",VLOOKUP($A117,'Master vs SAP'!$A$8:$O$291,7,FALSE))</f>
        <v>Sin coincidencia</v>
      </c>
      <c r="V117" s="9" t="str">
        <f>IF(VLOOKUP($A117,'Master vs SAP'!$A$8:$O$291,6,FALSE)="","",VLOOKUP($A117,'Master vs SAP'!$A$8:$O$291,6,FALSE))</f>
        <v>Sin coincidencia</v>
      </c>
      <c r="W117" s="24" t="str">
        <f>IF(VLOOKUP($A117,'Master vs SAP'!$A$8:$O$291,15,FALSE)="Homologado",VLOOKUP($A117,'Master vs SAP'!$A$8:$O$291,10,FALSE),"")</f>
        <v/>
      </c>
    </row>
    <row r="118" spans="1:23" ht="61.95" customHeight="1">
      <c r="A118" s="9" t="s">
        <v>328</v>
      </c>
      <c r="B118" s="9" t="s">
        <v>108</v>
      </c>
      <c r="C118" s="9" t="s">
        <v>329</v>
      </c>
      <c r="D118" s="24" t="str">
        <f>IF(VLOOKUP($A118,Neuquén!$A$8:$O$291,4,FALSE)="","",VLOOKUP($A118,Neuquén!$A$8:$O$291,4,FALSE))</f>
        <v>54</v>
      </c>
      <c r="E118" s="9" t="str">
        <f>IF(VLOOKUP($A118,Neuquén!$A$8:$O$291,5,FALSE)="","",VLOOKUP($A118,Neuquén!$A$8:$O$291,5,FALSE))</f>
        <v>CIPRFLOXACINA+HIDROCORTISONA</v>
      </c>
      <c r="F118" s="9" t="str">
        <f>IF(VLOOKUP($A118,Neuquén!$A$8:$O$291,7,FALSE)="","",VLOOKUP($A118,Neuquén!$A$8:$O$291,7,FALSE))</f>
        <v>Media</v>
      </c>
      <c r="G118" s="9" t="str">
        <f>IF(VLOOKUP($A118,Neuquén!$A$8:$O$291,6,FALSE)="","",VLOOKUP($A118,Neuquén!$A$8:$O$291,6,FALSE))</f>
        <v>Equivalencia a revisar</v>
      </c>
      <c r="H118" s="24" t="str">
        <f>IF(VLOOKUP($A118,'San Juan'!$A$8:$O$291,4,FALSE)="","",VLOOKUP($A118,'San Juan'!$A$8:$O$291,4,FALSE))</f>
        <v/>
      </c>
      <c r="I118" s="9" t="str">
        <f>IF(VLOOKUP($A118,'San Juan'!$A$8:$O$291,5,FALSE)="","",VLOOKUP($A118,'San Juan'!$A$8:$O$291,5,FALSE))</f>
        <v/>
      </c>
      <c r="J118" s="9" t="str">
        <f>IF(VLOOKUP($A118,'San Juan'!$A$8:$O$291,7,FALSE)="","",VLOOKUP($A118,'San Juan'!$A$8:$O$291,7,FALSE))</f>
        <v>Sin coincidencia</v>
      </c>
      <c r="K118" s="9" t="str">
        <f>IF(VLOOKUP($A118,'San Juan'!$A$8:$O$291,6,FALSE)="","",VLOOKUP($A118,'San Juan'!$A$8:$O$291,6,FALSE))</f>
        <v>Sin código encontrado</v>
      </c>
      <c r="L118" s="24" t="str">
        <f>IF(VLOOKUP($A118,Salta!$A$8:$O$291,4,FALSE)="","",VLOOKUP($A118,Salta!$A$8:$O$291,4,FALSE))</f>
        <v>70</v>
      </c>
      <c r="M118" s="9" t="str">
        <f>IF(VLOOKUP($A118,Salta!$A$8:$O$291,5,FALSE)="","",VLOOKUP($A118,Salta!$A$8:$O$291,5,FALSE))</f>
        <v>Ciprofloxacina + Dexametasona Gotas oftálmicas x5ml</v>
      </c>
      <c r="N118" s="9" t="str">
        <f>IF(VLOOKUP($A118,Salta!$A$8:$O$291,7,FALSE)="","",VLOOKUP($A118,Salta!$A$8:$O$291,7,FALSE))</f>
        <v>Alta</v>
      </c>
      <c r="O118" s="9" t="str">
        <f>IF(VLOOKUP($A118,Salta!$A$8:$O$291,6,FALSE)="","",VLOOKUP($A118,Salta!$A$8:$O$291,6,FALSE))</f>
        <v>Coincidencia</v>
      </c>
      <c r="P118" s="24" t="str">
        <f>IF(VLOOKUP($A118,Neuquén!$A$8:$O$291,15,FALSE)="Homologado",VLOOKUP($A118,Neuquén!$A$8:$O$291,10,FALSE),"")</f>
        <v/>
      </c>
      <c r="Q118" s="24" t="str">
        <f>IF(VLOOKUP($A118,'San Juan'!$A$8:$O$291,15,FALSE)="Homologado",VLOOKUP($A118,'San Juan'!$A$8:$O$291,10,FALSE),"")</f>
        <v/>
      </c>
      <c r="R118" s="24" t="str">
        <f>IF(VLOOKUP($A118,Salta!$A$8:$O$291,15,FALSE)="Homologado",VLOOKUP($A118,Salta!$A$8:$O$291,10,FALSE),"")</f>
        <v/>
      </c>
      <c r="S118" s="24" t="str">
        <f>IF(VLOOKUP($A118,'Master vs SAP'!$A$8:$O$291,4,FALSE)="","",VLOOKUP($A118,'Master vs SAP'!$A$8:$O$291,4,FALSE))</f>
        <v>1005232</v>
      </c>
      <c r="T118" s="9" t="str">
        <f>IF(VLOOKUP($A118,'Master vs SAP'!$A$8:$O$291,5,FALSE)="","",VLOOKUP($A118,'Master vs SAP'!$A$8:$O$291,5,FALSE))</f>
        <v>CIPROFLOXACINA+DEXAMETASONA GTS OFT</v>
      </c>
      <c r="U118" s="9" t="str">
        <f>IF(VLOOKUP($A118,'Master vs SAP'!$A$8:$O$291,7,FALSE)="","",VLOOKUP($A118,'Master vs SAP'!$A$8:$O$291,7,FALSE))</f>
        <v>Alta</v>
      </c>
      <c r="V118" s="9" t="str">
        <f>IF(VLOOKUP($A118,'Master vs SAP'!$A$8:$O$291,6,FALSE)="","",VLOOKUP($A118,'Master vs SAP'!$A$8:$O$291,6,FALSE))</f>
        <v>Coincidencia</v>
      </c>
      <c r="W118" s="24" t="str">
        <f>IF(VLOOKUP($A118,'Master vs SAP'!$A$8:$O$291,15,FALSE)="Homologado",VLOOKUP($A118,'Master vs SAP'!$A$8:$O$291,10,FALSE),"")</f>
        <v/>
      </c>
    </row>
    <row r="119" spans="1:23" ht="61.95" customHeight="1">
      <c r="A119" s="9" t="s">
        <v>330</v>
      </c>
      <c r="B119" s="9" t="s">
        <v>108</v>
      </c>
      <c r="C119" s="9" t="s">
        <v>331</v>
      </c>
      <c r="D119" s="24" t="str">
        <f>IF(VLOOKUP($A119,Neuquén!$A$8:$O$291,4,FALSE)="","",VLOOKUP($A119,Neuquén!$A$8:$O$291,4,FALSE))</f>
        <v>187</v>
      </c>
      <c r="E119" s="9" t="str">
        <f>IF(VLOOKUP($A119,Neuquén!$A$8:$O$291,5,FALSE)="","",VLOOKUP($A119,Neuquén!$A$8:$O$291,5,FALSE))</f>
        <v>POENCAINAPOENCAINA®PROPARACAINACLORHIDRATO500MG</v>
      </c>
      <c r="F119" s="9" t="str">
        <f>IF(VLOOKUP($A119,Neuquén!$A$8:$O$291,7,FALSE)="","",VLOOKUP($A119,Neuquén!$A$8:$O$291,7,FALSE))</f>
        <v>Media</v>
      </c>
      <c r="G119" s="9" t="str">
        <f>IF(VLOOKUP($A119,Neuquén!$A$8:$O$291,6,FALSE)="","",VLOOKUP($A119,Neuquén!$A$8:$O$291,6,FALSE))</f>
        <v>Equivalencia a revisar</v>
      </c>
      <c r="H119" s="24" t="str">
        <f>IF(VLOOKUP($A119,'San Juan'!$A$8:$O$291,4,FALSE)="","",VLOOKUP($A119,'San Juan'!$A$8:$O$291,4,FALSE))</f>
        <v/>
      </c>
      <c r="I119" s="9" t="str">
        <f>IF(VLOOKUP($A119,'San Juan'!$A$8:$O$291,5,FALSE)="","",VLOOKUP($A119,'San Juan'!$A$8:$O$291,5,FALSE))</f>
        <v/>
      </c>
      <c r="J119" s="9" t="str">
        <f>IF(VLOOKUP($A119,'San Juan'!$A$8:$O$291,7,FALSE)="","",VLOOKUP($A119,'San Juan'!$A$8:$O$291,7,FALSE))</f>
        <v>Sin coincidencia</v>
      </c>
      <c r="K119" s="9" t="str">
        <f>IF(VLOOKUP($A119,'San Juan'!$A$8:$O$291,6,FALSE)="","",VLOOKUP($A119,'San Juan'!$A$8:$O$291,6,FALSE))</f>
        <v>Sin código encontrado</v>
      </c>
      <c r="L119" s="24" t="str">
        <f>IF(VLOOKUP($A119,Salta!$A$8:$O$291,4,FALSE)="","",VLOOKUP($A119,Salta!$A$8:$O$291,4,FALSE))</f>
        <v/>
      </c>
      <c r="M119" s="9" t="str">
        <f>IF(VLOOKUP($A119,Salta!$A$8:$O$291,5,FALSE)="","",VLOOKUP($A119,Salta!$A$8:$O$291,5,FALSE))</f>
        <v/>
      </c>
      <c r="N119" s="9" t="str">
        <f>IF(VLOOKUP($A119,Salta!$A$8:$O$291,7,FALSE)="","",VLOOKUP($A119,Salta!$A$8:$O$291,7,FALSE))</f>
        <v>Sin coincidencia</v>
      </c>
      <c r="O119" s="9" t="str">
        <f>IF(VLOOKUP($A119,Salta!$A$8:$O$291,6,FALSE)="","",VLOOKUP($A119,Salta!$A$8:$O$291,6,FALSE))</f>
        <v>Sin coincidencia</v>
      </c>
      <c r="P119" s="24" t="str">
        <f>IF(VLOOKUP($A119,Neuquén!$A$8:$O$291,15,FALSE)="Homologado",VLOOKUP($A119,Neuquén!$A$8:$O$291,10,FALSE),"")</f>
        <v/>
      </c>
      <c r="Q119" s="24" t="str">
        <f>IF(VLOOKUP($A119,'San Juan'!$A$8:$O$291,15,FALSE)="Homologado",VLOOKUP($A119,'San Juan'!$A$8:$O$291,10,FALSE),"")</f>
        <v/>
      </c>
      <c r="R119" s="24" t="str">
        <f>IF(VLOOKUP($A119,Salta!$A$8:$O$291,15,FALSE)="Homologado",VLOOKUP($A119,Salta!$A$8:$O$291,10,FALSE),"")</f>
        <v/>
      </c>
      <c r="S119" s="24" t="str">
        <f>IF(VLOOKUP($A119,'Master vs SAP'!$A$8:$O$291,4,FALSE)="","",VLOOKUP($A119,'Master vs SAP'!$A$8:$O$291,4,FALSE))</f>
        <v/>
      </c>
      <c r="T119" s="9" t="str">
        <f>IF(VLOOKUP($A119,'Master vs SAP'!$A$8:$O$291,5,FALSE)="","",VLOOKUP($A119,'Master vs SAP'!$A$8:$O$291,5,FALSE))</f>
        <v/>
      </c>
      <c r="U119" s="9" t="str">
        <f>IF(VLOOKUP($A119,'Master vs SAP'!$A$8:$O$291,7,FALSE)="","",VLOOKUP($A119,'Master vs SAP'!$A$8:$O$291,7,FALSE))</f>
        <v>Sin coincidencia</v>
      </c>
      <c r="V119" s="9" t="str">
        <f>IF(VLOOKUP($A119,'Master vs SAP'!$A$8:$O$291,6,FALSE)="","",VLOOKUP($A119,'Master vs SAP'!$A$8:$O$291,6,FALSE))</f>
        <v>Sin coincidencia</v>
      </c>
      <c r="W119" s="24" t="str">
        <f>IF(VLOOKUP($A119,'Master vs SAP'!$A$8:$O$291,15,FALSE)="Homologado",VLOOKUP($A119,'Master vs SAP'!$A$8:$O$291,10,FALSE),"")</f>
        <v/>
      </c>
    </row>
    <row r="120" spans="1:23" ht="61.95" customHeight="1">
      <c r="A120" s="9" t="s">
        <v>332</v>
      </c>
      <c r="B120" s="9" t="s">
        <v>108</v>
      </c>
      <c r="C120" s="9" t="s">
        <v>333</v>
      </c>
      <c r="D120" s="24" t="str">
        <f>IF(VLOOKUP($A120,Neuquén!$A$8:$O$291,4,FALSE)="","",VLOOKUP($A120,Neuquén!$A$8:$O$291,4,FALSE))</f>
        <v>477</v>
      </c>
      <c r="E120" s="9" t="str">
        <f>IF(VLOOKUP($A120,Neuquén!$A$8:$O$291,5,FALSE)="","",VLOOKUP($A120,Neuquén!$A$8:$O$291,5,FALSE))</f>
        <v>IRIX LAGRIMAS</v>
      </c>
      <c r="F120" s="9" t="str">
        <f>IF(VLOOKUP($A120,Neuquén!$A$8:$O$291,7,FALSE)="","",VLOOKUP($A120,Neuquén!$A$8:$O$291,7,FALSE))</f>
        <v>Sin coincidencia</v>
      </c>
      <c r="G120" s="9" t="str">
        <f>IF(VLOOKUP($A120,Neuquén!$A$8:$O$291,6,FALSE)="","",VLOOKUP($A120,Neuquén!$A$8:$O$291,6,FALSE))</f>
        <v>Código sin equivalencia validada</v>
      </c>
      <c r="H120" s="24" t="str">
        <f>IF(VLOOKUP($A120,'San Juan'!$A$8:$O$291,4,FALSE)="","",VLOOKUP($A120,'San Juan'!$A$8:$O$291,4,FALSE))</f>
        <v>DES094</v>
      </c>
      <c r="I120" s="9" t="str">
        <f>IF(VLOOKUP($A120,'San Juan'!$A$8:$O$291,5,FALSE)="","",VLOOKUP($A120,'San Juan'!$A$8:$O$291,5,FALSE))</f>
        <v>Lagrimas naturales Gotas oftálmicas</v>
      </c>
      <c r="J120" s="9" t="str">
        <f>IF(VLOOKUP($A120,'San Juan'!$A$8:$O$291,7,FALSE)="","",VLOOKUP($A120,'San Juan'!$A$8:$O$291,7,FALSE))</f>
        <v>Alta</v>
      </c>
      <c r="K120" s="9" t="str">
        <f>IF(VLOOKUP($A120,'San Juan'!$A$8:$O$291,6,FALSE)="","",VLOOKUP($A120,'San Juan'!$A$8:$O$291,6,FALSE))</f>
        <v>Coincidencia por validar</v>
      </c>
      <c r="L120" s="24" t="str">
        <f>IF(VLOOKUP($A120,Salta!$A$8:$O$291,4,FALSE)="","",VLOOKUP($A120,Salta!$A$8:$O$291,4,FALSE))</f>
        <v>164</v>
      </c>
      <c r="M120" s="9" t="str">
        <f>IF(VLOOKUP($A120,Salta!$A$8:$O$291,5,FALSE)="","",VLOOKUP($A120,Salta!$A$8:$O$291,5,FALSE))</f>
        <v>Lagrimas Artificiales gotas oftalmicas x 15ml</v>
      </c>
      <c r="N120" s="9" t="str">
        <f>IF(VLOOKUP($A120,Salta!$A$8:$O$291,7,FALSE)="","",VLOOKUP($A120,Salta!$A$8:$O$291,7,FALSE))</f>
        <v>Alta</v>
      </c>
      <c r="O120" s="9" t="str">
        <f>IF(VLOOKUP($A120,Salta!$A$8:$O$291,6,FALSE)="","",VLOOKUP($A120,Salta!$A$8:$O$291,6,FALSE))</f>
        <v>Coincidencia</v>
      </c>
      <c r="P120" s="24" t="str">
        <f>IF(VLOOKUP($A120,Neuquén!$A$8:$O$291,15,FALSE)="Homologado",VLOOKUP($A120,Neuquén!$A$8:$O$291,10,FALSE),"")</f>
        <v/>
      </c>
      <c r="Q120" s="24" t="str">
        <f>IF(VLOOKUP($A120,'San Juan'!$A$8:$O$291,15,FALSE)="Homologado",VLOOKUP($A120,'San Juan'!$A$8:$O$291,10,FALSE),"")</f>
        <v/>
      </c>
      <c r="R120" s="24" t="str">
        <f>IF(VLOOKUP($A120,Salta!$A$8:$O$291,15,FALSE)="Homologado",VLOOKUP($A120,Salta!$A$8:$O$291,10,FALSE),"")</f>
        <v/>
      </c>
      <c r="S120" s="24" t="str">
        <f>IF(VLOOKUP($A120,'Master vs SAP'!$A$8:$O$291,4,FALSE)="","",VLOOKUP($A120,'Master vs SAP'!$A$8:$O$291,4,FALSE))</f>
        <v>1000784
1001083
1005277</v>
      </c>
      <c r="T120" s="9" t="str">
        <f>IF(VLOOKUP($A120,'Master vs SAP'!$A$8:$O$291,5,FALSE)="","",VLOOKUP($A120,'Master vs SAP'!$A$8:$O$291,5,FALSE))</f>
        <v>LAGRIMAS NATURALES GOTAS OFTALM
ALCON LAGRIMAS II 15ML
LACRIGESTINA LAGRIMAS SOL. OFTALMOLOG</v>
      </c>
      <c r="U120" s="9" t="str">
        <f>IF(VLOOKUP($A120,'Master vs SAP'!$A$8:$O$291,7,FALSE)="","",VLOOKUP($A120,'Master vs SAP'!$A$8:$O$291,7,FALSE))</f>
        <v>Media</v>
      </c>
      <c r="V120" s="9" t="str">
        <f>IF(VLOOKUP($A120,'Master vs SAP'!$A$8:$O$291,6,FALSE)="","",VLOOKUP($A120,'Master vs SAP'!$A$8:$O$291,6,FALSE))</f>
        <v>Revisar datos</v>
      </c>
      <c r="W120" s="24" t="str">
        <f>IF(VLOOKUP($A120,'Master vs SAP'!$A$8:$O$291,15,FALSE)="Homologado",VLOOKUP($A120,'Master vs SAP'!$A$8:$O$291,10,FALSE),"")</f>
        <v/>
      </c>
    </row>
    <row r="121" spans="1:23" ht="61.95" customHeight="1">
      <c r="A121" s="9" t="s">
        <v>334</v>
      </c>
      <c r="B121" s="9" t="s">
        <v>108</v>
      </c>
      <c r="C121" s="9" t="s">
        <v>335</v>
      </c>
      <c r="D121" s="24" t="str">
        <f>IF(VLOOKUP($A121,Neuquén!$A$8:$O$291,4,FALSE)="","",VLOOKUP($A121,Neuquén!$A$8:$O$291,4,FALSE))</f>
        <v>517</v>
      </c>
      <c r="E121" s="9" t="str">
        <f>IF(VLOOKUP($A121,Neuquén!$A$8:$O$291,5,FALSE)="","",VLOOKUP($A121,Neuquén!$A$8:$O$291,5,FALSE))</f>
        <v>Fluoresceina</v>
      </c>
      <c r="F121" s="9" t="str">
        <f>IF(VLOOKUP($A121,Neuquén!$A$8:$O$291,7,FALSE)="","",VLOOKUP($A121,Neuquén!$A$8:$O$291,7,FALSE))</f>
        <v>Media</v>
      </c>
      <c r="G121" s="9" t="str">
        <f>IF(VLOOKUP($A121,Neuquén!$A$8:$O$291,6,FALSE)="","",VLOOKUP($A121,Neuquén!$A$8:$O$291,6,FALSE))</f>
        <v>Equivalencia a revisar</v>
      </c>
      <c r="H121" s="24" t="str">
        <f>IF(VLOOKUP($A121,'San Juan'!$A$8:$O$291,4,FALSE)="","",VLOOKUP($A121,'San Juan'!$A$8:$O$291,4,FALSE))</f>
        <v/>
      </c>
      <c r="I121" s="9" t="str">
        <f>IF(VLOOKUP($A121,'San Juan'!$A$8:$O$291,5,FALSE)="","",VLOOKUP($A121,'San Juan'!$A$8:$O$291,5,FALSE))</f>
        <v/>
      </c>
      <c r="J121" s="9" t="str">
        <f>IF(VLOOKUP($A121,'San Juan'!$A$8:$O$291,7,FALSE)="","",VLOOKUP($A121,'San Juan'!$A$8:$O$291,7,FALSE))</f>
        <v>Sin coincidencia</v>
      </c>
      <c r="K121" s="9" t="str">
        <f>IF(VLOOKUP($A121,'San Juan'!$A$8:$O$291,6,FALSE)="","",VLOOKUP($A121,'San Juan'!$A$8:$O$291,6,FALSE))</f>
        <v>Sin código encontrado</v>
      </c>
      <c r="L121" s="24" t="str">
        <f>IF(VLOOKUP($A121,Salta!$A$8:$O$291,4,FALSE)="","",VLOOKUP($A121,Salta!$A$8:$O$291,4,FALSE))</f>
        <v/>
      </c>
      <c r="M121" s="9" t="str">
        <f>IF(VLOOKUP($A121,Salta!$A$8:$O$291,5,FALSE)="","",VLOOKUP($A121,Salta!$A$8:$O$291,5,FALSE))</f>
        <v/>
      </c>
      <c r="N121" s="9" t="str">
        <f>IF(VLOOKUP($A121,Salta!$A$8:$O$291,7,FALSE)="","",VLOOKUP($A121,Salta!$A$8:$O$291,7,FALSE))</f>
        <v>Sin coincidencia</v>
      </c>
      <c r="O121" s="9" t="str">
        <f>IF(VLOOKUP($A121,Salta!$A$8:$O$291,6,FALSE)="","",VLOOKUP($A121,Salta!$A$8:$O$291,6,FALSE))</f>
        <v>Sin coincidencia</v>
      </c>
      <c r="P121" s="24" t="str">
        <f>IF(VLOOKUP($A121,Neuquén!$A$8:$O$291,15,FALSE)="Homologado",VLOOKUP($A121,Neuquén!$A$8:$O$291,10,FALSE),"")</f>
        <v/>
      </c>
      <c r="Q121" s="24" t="str">
        <f>IF(VLOOKUP($A121,'San Juan'!$A$8:$O$291,15,FALSE)="Homologado",VLOOKUP($A121,'San Juan'!$A$8:$O$291,10,FALSE),"")</f>
        <v/>
      </c>
      <c r="R121" s="24" t="str">
        <f>IF(VLOOKUP($A121,Salta!$A$8:$O$291,15,FALSE)="Homologado",VLOOKUP($A121,Salta!$A$8:$O$291,10,FALSE),"")</f>
        <v/>
      </c>
      <c r="S121" s="24" t="str">
        <f>IF(VLOOKUP($A121,'Master vs SAP'!$A$8:$O$291,4,FALSE)="","",VLOOKUP($A121,'Master vs SAP'!$A$8:$O$291,4,FALSE))</f>
        <v>1000158</v>
      </c>
      <c r="T121" s="9" t="str">
        <f>IF(VLOOKUP($A121,'Master vs SAP'!$A$8:$O$291,5,FALSE)="","",VLOOKUP($A121,'Master vs SAP'!$A$8:$O$291,5,FALSE))</f>
        <v>FLUORESCEINA SODICA 0.25 %</v>
      </c>
      <c r="U121" s="9" t="str">
        <f>IF(VLOOKUP($A121,'Master vs SAP'!$A$8:$O$291,7,FALSE)="","",VLOOKUP($A121,'Master vs SAP'!$A$8:$O$291,7,FALSE))</f>
        <v>Media</v>
      </c>
      <c r="V121" s="9" t="str">
        <f>IF(VLOOKUP($A121,'Master vs SAP'!$A$8:$O$291,6,FALSE)="","",VLOOKUP($A121,'Master vs SAP'!$A$8:$O$291,6,FALSE))</f>
        <v>Revisar datos</v>
      </c>
      <c r="W121" s="24" t="str">
        <f>IF(VLOOKUP($A121,'Master vs SAP'!$A$8:$O$291,15,FALSE)="Homologado",VLOOKUP($A121,'Master vs SAP'!$A$8:$O$291,10,FALSE),"")</f>
        <v/>
      </c>
    </row>
    <row r="122" spans="1:23" ht="61.95" customHeight="1">
      <c r="A122" s="9" t="s">
        <v>336</v>
      </c>
      <c r="B122" s="9" t="s">
        <v>108</v>
      </c>
      <c r="C122" s="9" t="s">
        <v>337</v>
      </c>
      <c r="D122" s="24" t="str">
        <f>IF(VLOOKUP($A122,Neuquén!$A$8:$O$291,4,FALSE)="","",VLOOKUP($A122,Neuquén!$A$8:$O$291,4,FALSE))</f>
        <v>150</v>
      </c>
      <c r="E122" s="9" t="str">
        <f>IF(VLOOKUP($A122,Neuquén!$A$8:$O$291,5,FALSE)="","",VLOOKUP($A122,Neuquén!$A$8:$O$291,5,FALSE))</f>
        <v>LIDOCAINA2%SINEPINEFRINAX5ML</v>
      </c>
      <c r="F122" s="9" t="str">
        <f>IF(VLOOKUP($A122,Neuquén!$A$8:$O$291,7,FALSE)="","",VLOOKUP($A122,Neuquén!$A$8:$O$291,7,FALSE))</f>
        <v>Alta</v>
      </c>
      <c r="G122" s="9" t="str">
        <f>IF(VLOOKUP($A122,Neuquén!$A$8:$O$291,6,FALSE)="","",VLOOKUP($A122,Neuquén!$A$8:$O$291,6,FALSE))</f>
        <v>Coincidencia por validar</v>
      </c>
      <c r="H122" s="24" t="str">
        <f>IF(VLOOKUP($A122,'San Juan'!$A$8:$O$291,4,FALSE)="","",VLOOKUP($A122,'San Juan'!$A$8:$O$291,4,FALSE))</f>
        <v/>
      </c>
      <c r="I122" s="9" t="str">
        <f>IF(VLOOKUP($A122,'San Juan'!$A$8:$O$291,5,FALSE)="","",VLOOKUP($A122,'San Juan'!$A$8:$O$291,5,FALSE))</f>
        <v/>
      </c>
      <c r="J122" s="9" t="str">
        <f>IF(VLOOKUP($A122,'San Juan'!$A$8:$O$291,7,FALSE)="","",VLOOKUP($A122,'San Juan'!$A$8:$O$291,7,FALSE))</f>
        <v>Sin coincidencia</v>
      </c>
      <c r="K122" s="9" t="str">
        <f>IF(VLOOKUP($A122,'San Juan'!$A$8:$O$291,6,FALSE)="","",VLOOKUP($A122,'San Juan'!$A$8:$O$291,6,FALSE))</f>
        <v>Sin código encontrado</v>
      </c>
      <c r="L122" s="24" t="str">
        <f>IF(VLOOKUP($A122,Salta!$A$8:$O$291,4,FALSE)="","",VLOOKUP($A122,Salta!$A$8:$O$291,4,FALSE))</f>
        <v>168</v>
      </c>
      <c r="M122" s="9" t="str">
        <f>IF(VLOOKUP($A122,Salta!$A$8:$O$291,5,FALSE)="","",VLOOKUP($A122,Salta!$A$8:$O$291,5,FALSE))</f>
        <v>Lidocaina 2% 1 amp=5ml</v>
      </c>
      <c r="N122" s="9" t="str">
        <f>IF(VLOOKUP($A122,Salta!$A$8:$O$291,7,FALSE)="","",VLOOKUP($A122,Salta!$A$8:$O$291,7,FALSE))</f>
        <v>Alta</v>
      </c>
      <c r="O122" s="9" t="str">
        <f>IF(VLOOKUP($A122,Salta!$A$8:$O$291,6,FALSE)="","",VLOOKUP($A122,Salta!$A$8:$O$291,6,FALSE))</f>
        <v>Coincidencia</v>
      </c>
      <c r="P122" s="24" t="str">
        <f>IF(VLOOKUP($A122,Neuquén!$A$8:$O$291,15,FALSE)="Homologado",VLOOKUP($A122,Neuquén!$A$8:$O$291,10,FALSE),"")</f>
        <v/>
      </c>
      <c r="Q122" s="24" t="str">
        <f>IF(VLOOKUP($A122,'San Juan'!$A$8:$O$291,15,FALSE)="Homologado",VLOOKUP($A122,'San Juan'!$A$8:$O$291,10,FALSE),"")</f>
        <v/>
      </c>
      <c r="R122" s="24" t="str">
        <f>IF(VLOOKUP($A122,Salta!$A$8:$O$291,15,FALSE)="Homologado",VLOOKUP($A122,Salta!$A$8:$O$291,10,FALSE),"")</f>
        <v/>
      </c>
      <c r="S122" s="24" t="str">
        <f>IF(VLOOKUP($A122,'Master vs SAP'!$A$8:$O$291,4,FALSE)="","",VLOOKUP($A122,'Master vs SAP'!$A$8:$O$291,4,FALSE))</f>
        <v>1000082
1001306</v>
      </c>
      <c r="T122" s="9" t="str">
        <f>IF(VLOOKUP($A122,'Master vs SAP'!$A$8:$O$291,5,FALSE)="","",VLOOKUP($A122,'Master vs SAP'!$A$8:$O$291,5,FALSE))</f>
        <v>LIDOCAINA AL 2% SIN EPINEFRINA AMPOLLA
LIDOCAINA 2% 5 ML AMPOLLA</v>
      </c>
      <c r="U122" s="9" t="str">
        <f>IF(VLOOKUP($A122,'Master vs SAP'!$A$8:$O$291,7,FALSE)="","",VLOOKUP($A122,'Master vs SAP'!$A$8:$O$291,7,FALSE))</f>
        <v>Alta</v>
      </c>
      <c r="V122" s="9" t="str">
        <f>IF(VLOOKUP($A122,'Master vs SAP'!$A$8:$O$291,6,FALSE)="","",VLOOKUP($A122,'Master vs SAP'!$A$8:$O$291,6,FALSE))</f>
        <v>Coincidencia</v>
      </c>
      <c r="W122" s="24" t="str">
        <f>IF(VLOOKUP($A122,'Master vs SAP'!$A$8:$O$291,15,FALSE)="Homologado",VLOOKUP($A122,'Master vs SAP'!$A$8:$O$291,10,FALSE),"")</f>
        <v/>
      </c>
    </row>
    <row r="123" spans="1:23" ht="61.95" customHeight="1">
      <c r="A123" s="9" t="s">
        <v>338</v>
      </c>
      <c r="B123" s="9" t="s">
        <v>108</v>
      </c>
      <c r="C123" s="9" t="s">
        <v>339</v>
      </c>
      <c r="D123" s="24" t="str">
        <f>IF(VLOOKUP($A123,Neuquén!$A$8:$O$291,4,FALSE)="","",VLOOKUP($A123,Neuquén!$A$8:$O$291,4,FALSE))</f>
        <v>239</v>
      </c>
      <c r="E123" s="9" t="str">
        <f>IF(VLOOKUP($A123,Neuquén!$A$8:$O$291,5,FALSE)="","",VLOOKUP($A123,Neuquén!$A$8:$O$291,5,FALSE))</f>
        <v>XILOCAINA2%CONEPINEFRINA</v>
      </c>
      <c r="F123" s="9" t="str">
        <f>IF(VLOOKUP($A123,Neuquén!$A$8:$O$291,7,FALSE)="","",VLOOKUP($A123,Neuquén!$A$8:$O$291,7,FALSE))</f>
        <v>Media</v>
      </c>
      <c r="G123" s="9" t="str">
        <f>IF(VLOOKUP($A123,Neuquén!$A$8:$O$291,6,FALSE)="","",VLOOKUP($A123,Neuquén!$A$8:$O$291,6,FALSE))</f>
        <v>Equivalencia a revisar</v>
      </c>
      <c r="H123" s="24" t="str">
        <f>IF(VLOOKUP($A123,'San Juan'!$A$8:$O$291,4,FALSE)="","",VLOOKUP($A123,'San Juan'!$A$8:$O$291,4,FALSE))</f>
        <v/>
      </c>
      <c r="I123" s="9" t="str">
        <f>IF(VLOOKUP($A123,'San Juan'!$A$8:$O$291,5,FALSE)="","",VLOOKUP($A123,'San Juan'!$A$8:$O$291,5,FALSE))</f>
        <v/>
      </c>
      <c r="J123" s="9" t="str">
        <f>IF(VLOOKUP($A123,'San Juan'!$A$8:$O$291,7,FALSE)="","",VLOOKUP($A123,'San Juan'!$A$8:$O$291,7,FALSE))</f>
        <v>Sin coincidencia</v>
      </c>
      <c r="K123" s="9" t="str">
        <f>IF(VLOOKUP($A123,'San Juan'!$A$8:$O$291,6,FALSE)="","",VLOOKUP($A123,'San Juan'!$A$8:$O$291,6,FALSE))</f>
        <v>Sin código encontrado</v>
      </c>
      <c r="L123" s="24" t="str">
        <f>IF(VLOOKUP($A123,Salta!$A$8:$O$291,4,FALSE)="","",VLOOKUP($A123,Salta!$A$8:$O$291,4,FALSE))</f>
        <v/>
      </c>
      <c r="M123" s="9" t="str">
        <f>IF(VLOOKUP($A123,Salta!$A$8:$O$291,5,FALSE)="","",VLOOKUP($A123,Salta!$A$8:$O$291,5,FALSE))</f>
        <v/>
      </c>
      <c r="N123" s="9" t="str">
        <f>IF(VLOOKUP($A123,Salta!$A$8:$O$291,7,FALSE)="","",VLOOKUP($A123,Salta!$A$8:$O$291,7,FALSE))</f>
        <v>Sin coincidencia</v>
      </c>
      <c r="O123" s="9" t="str">
        <f>IF(VLOOKUP($A123,Salta!$A$8:$O$291,6,FALSE)="","",VLOOKUP($A123,Salta!$A$8:$O$291,6,FALSE))</f>
        <v>Sin coincidencia</v>
      </c>
      <c r="P123" s="24" t="str">
        <f>IF(VLOOKUP($A123,Neuquén!$A$8:$O$291,15,FALSE)="Homologado",VLOOKUP($A123,Neuquén!$A$8:$O$291,10,FALSE),"")</f>
        <v/>
      </c>
      <c r="Q123" s="24" t="str">
        <f>IF(VLOOKUP($A123,'San Juan'!$A$8:$O$291,15,FALSE)="Homologado",VLOOKUP($A123,'San Juan'!$A$8:$O$291,10,FALSE),"")</f>
        <v/>
      </c>
      <c r="R123" s="24" t="str">
        <f>IF(VLOOKUP($A123,Salta!$A$8:$O$291,15,FALSE)="Homologado",VLOOKUP($A123,Salta!$A$8:$O$291,10,FALSE),"")</f>
        <v/>
      </c>
      <c r="S123" s="24" t="str">
        <f>IF(VLOOKUP($A123,'Master vs SAP'!$A$8:$O$291,4,FALSE)="","",VLOOKUP($A123,'Master vs SAP'!$A$8:$O$291,4,FALSE))</f>
        <v>2001616</v>
      </c>
      <c r="T123" s="9" t="str">
        <f>IF(VLOOKUP($A123,'Master vs SAP'!$A$8:$O$291,5,FALSE)="","",VLOOKUP($A123,'Master vs SAP'!$A$8:$O$291,5,FALSE))</f>
        <v>LIDOCAINA C/EPINEFRINA 2% 20 ML</v>
      </c>
      <c r="U123" s="9" t="str">
        <f>IF(VLOOKUP($A123,'Master vs SAP'!$A$8:$O$291,7,FALSE)="","",VLOOKUP($A123,'Master vs SAP'!$A$8:$O$291,7,FALSE))</f>
        <v>Alta</v>
      </c>
      <c r="V123" s="9" t="str">
        <f>IF(VLOOKUP($A123,'Master vs SAP'!$A$8:$O$291,6,FALSE)="","",VLOOKUP($A123,'Master vs SAP'!$A$8:$O$291,6,FALSE))</f>
        <v>Coincidencia</v>
      </c>
      <c r="W123" s="24" t="str">
        <f>IF(VLOOKUP($A123,'Master vs SAP'!$A$8:$O$291,15,FALSE)="Homologado",VLOOKUP($A123,'Master vs SAP'!$A$8:$O$291,10,FALSE),"")</f>
        <v/>
      </c>
    </row>
    <row r="124" spans="1:23" ht="61.95" customHeight="1">
      <c r="A124" s="9" t="s">
        <v>340</v>
      </c>
      <c r="B124" s="9" t="s">
        <v>108</v>
      </c>
      <c r="C124" s="9" t="s">
        <v>341</v>
      </c>
      <c r="D124" s="24" t="str">
        <f>IF(VLOOKUP($A124,Neuquén!$A$8:$O$291,4,FALSE)="","",VLOOKUP($A124,Neuquén!$A$8:$O$291,4,FALSE))</f>
        <v>240</v>
      </c>
      <c r="E124" s="9" t="str">
        <f>IF(VLOOKUP($A124,Neuquén!$A$8:$O$291,5,FALSE)="","",VLOOKUP($A124,Neuquén!$A$8:$O$291,5,FALSE))</f>
        <v>XILOCAINA2%JALEA</v>
      </c>
      <c r="F124" s="9" t="str">
        <f>IF(VLOOKUP($A124,Neuquén!$A$8:$O$291,7,FALSE)="","",VLOOKUP($A124,Neuquén!$A$8:$O$291,7,FALSE))</f>
        <v>Alta</v>
      </c>
      <c r="G124" s="9" t="str">
        <f>IF(VLOOKUP($A124,Neuquén!$A$8:$O$291,6,FALSE)="","",VLOOKUP($A124,Neuquén!$A$8:$O$291,6,FALSE))</f>
        <v>Coincidencia por validar</v>
      </c>
      <c r="H124" s="24" t="str">
        <f>IF(VLOOKUP($A124,'San Juan'!$A$8:$O$291,4,FALSE)="","",VLOOKUP($A124,'San Juan'!$A$8:$O$291,4,FALSE))</f>
        <v/>
      </c>
      <c r="I124" s="9" t="str">
        <f>IF(VLOOKUP($A124,'San Juan'!$A$8:$O$291,5,FALSE)="","",VLOOKUP($A124,'San Juan'!$A$8:$O$291,5,FALSE))</f>
        <v/>
      </c>
      <c r="J124" s="9" t="str">
        <f>IF(VLOOKUP($A124,'San Juan'!$A$8:$O$291,7,FALSE)="","",VLOOKUP($A124,'San Juan'!$A$8:$O$291,7,FALSE))</f>
        <v>Sin coincidencia</v>
      </c>
      <c r="K124" s="9" t="str">
        <f>IF(VLOOKUP($A124,'San Juan'!$A$8:$O$291,6,FALSE)="","",VLOOKUP($A124,'San Juan'!$A$8:$O$291,6,FALSE))</f>
        <v>Sin código encontrado</v>
      </c>
      <c r="L124" s="24" t="str">
        <f>IF(VLOOKUP($A124,Salta!$A$8:$O$291,4,FALSE)="","",VLOOKUP($A124,Salta!$A$8:$O$291,4,FALSE))</f>
        <v>170</v>
      </c>
      <c r="M124" s="9" t="str">
        <f>IF(VLOOKUP($A124,Salta!$A$8:$O$291,5,FALSE)="","",VLOOKUP($A124,Salta!$A$8:$O$291,5,FALSE))</f>
        <v>Lidocaina jalea pomo</v>
      </c>
      <c r="N124" s="9" t="str">
        <f>IF(VLOOKUP($A124,Salta!$A$8:$O$291,7,FALSE)="","",VLOOKUP($A124,Salta!$A$8:$O$291,7,FALSE))</f>
        <v>Media</v>
      </c>
      <c r="O124" s="9" t="str">
        <f>IF(VLOOKUP($A124,Salta!$A$8:$O$291,6,FALSE)="","",VLOOKUP($A124,Salta!$A$8:$O$291,6,FALSE))</f>
        <v>Revisar datos</v>
      </c>
      <c r="P124" s="24" t="str">
        <f>IF(VLOOKUP($A124,Neuquén!$A$8:$O$291,15,FALSE)="Homologado",VLOOKUP($A124,Neuquén!$A$8:$O$291,10,FALSE),"")</f>
        <v/>
      </c>
      <c r="Q124" s="24" t="str">
        <f>IF(VLOOKUP($A124,'San Juan'!$A$8:$O$291,15,FALSE)="Homologado",VLOOKUP($A124,'San Juan'!$A$8:$O$291,10,FALSE),"")</f>
        <v/>
      </c>
      <c r="R124" s="24" t="str">
        <f>IF(VLOOKUP($A124,Salta!$A$8:$O$291,15,FALSE)="Homologado",VLOOKUP($A124,Salta!$A$8:$O$291,10,FALSE),"")</f>
        <v/>
      </c>
      <c r="S124" s="24" t="str">
        <f>IF(VLOOKUP($A124,'Master vs SAP'!$A$8:$O$291,4,FALSE)="","",VLOOKUP($A124,'Master vs SAP'!$A$8:$O$291,4,FALSE))</f>
        <v>1000095</v>
      </c>
      <c r="T124" s="9" t="str">
        <f>IF(VLOOKUP($A124,'Master vs SAP'!$A$8:$O$291,5,FALSE)="","",VLOOKUP($A124,'Master vs SAP'!$A$8:$O$291,5,FALSE))</f>
        <v>LIDOCAINA AL 2% JALEA</v>
      </c>
      <c r="U124" s="9" t="str">
        <f>IF(VLOOKUP($A124,'Master vs SAP'!$A$8:$O$291,7,FALSE)="","",VLOOKUP($A124,'Master vs SAP'!$A$8:$O$291,7,FALSE))</f>
        <v>Alta</v>
      </c>
      <c r="V124" s="9" t="str">
        <f>IF(VLOOKUP($A124,'Master vs SAP'!$A$8:$O$291,6,FALSE)="","",VLOOKUP($A124,'Master vs SAP'!$A$8:$O$291,6,FALSE))</f>
        <v>Coincidencia</v>
      </c>
      <c r="W124" s="24" t="str">
        <f>IF(VLOOKUP($A124,'Master vs SAP'!$A$8:$O$291,15,FALSE)="Homologado",VLOOKUP($A124,'Master vs SAP'!$A$8:$O$291,10,FALSE),"")</f>
        <v/>
      </c>
    </row>
    <row r="125" spans="1:23" ht="61.95" customHeight="1">
      <c r="A125" s="9" t="s">
        <v>342</v>
      </c>
      <c r="B125" s="9" t="s">
        <v>108</v>
      </c>
      <c r="C125" s="9" t="s">
        <v>343</v>
      </c>
      <c r="D125" s="24" t="str">
        <f>IF(VLOOKUP($A125,Neuquén!$A$8:$O$291,4,FALSE)="","",VLOOKUP($A125,Neuquén!$A$8:$O$291,4,FALSE))</f>
        <v>185</v>
      </c>
      <c r="E125" s="9" t="str">
        <f>IF(VLOOKUP($A125,Neuquén!$A$8:$O$291,5,FALSE)="","",VLOOKUP($A125,Neuquén!$A$8:$O$291,5,FALSE))</f>
        <v>PLATSUL</v>
      </c>
      <c r="F125" s="9" t="str">
        <f>IF(VLOOKUP($A125,Neuquén!$A$8:$O$291,7,FALSE)="","",VLOOKUP($A125,Neuquén!$A$8:$O$291,7,FALSE))</f>
        <v>Sin coincidencia</v>
      </c>
      <c r="G125" s="9" t="str">
        <f>IF(VLOOKUP($A125,Neuquén!$A$8:$O$291,6,FALSE)="","",VLOOKUP($A125,Neuquén!$A$8:$O$291,6,FALSE))</f>
        <v>Código compartido: revisar</v>
      </c>
      <c r="H125" s="24" t="str">
        <f>IF(VLOOKUP($A125,'San Juan'!$A$8:$O$291,4,FALSE)="","",VLOOKUP($A125,'San Juan'!$A$8:$O$291,4,FALSE))</f>
        <v/>
      </c>
      <c r="I125" s="9" t="str">
        <f>IF(VLOOKUP($A125,'San Juan'!$A$8:$O$291,5,FALSE)="","",VLOOKUP($A125,'San Juan'!$A$8:$O$291,5,FALSE))</f>
        <v/>
      </c>
      <c r="J125" s="9" t="str">
        <f>IF(VLOOKUP($A125,'San Juan'!$A$8:$O$291,7,FALSE)="","",VLOOKUP($A125,'San Juan'!$A$8:$O$291,7,FALSE))</f>
        <v>Sin coincidencia</v>
      </c>
      <c r="K125" s="9" t="str">
        <f>IF(VLOOKUP($A125,'San Juan'!$A$8:$O$291,6,FALSE)="","",VLOOKUP($A125,'San Juan'!$A$8:$O$291,6,FALSE))</f>
        <v>Sin código encontrado</v>
      </c>
      <c r="L125" s="24" t="str">
        <f>IF(VLOOKUP($A125,Salta!$A$8:$O$291,4,FALSE)="","",VLOOKUP($A125,Salta!$A$8:$O$291,4,FALSE))</f>
        <v>228
288</v>
      </c>
      <c r="M125" s="9" t="str">
        <f>IF(VLOOKUP($A125,Salta!$A$8:$O$291,5,FALSE)="","",VLOOKUP($A125,Salta!$A$8:$O$291,5,FALSE))</f>
        <v>Sulfadiazina de Plata 400gr
Sulfadiazina de Plata 30mg</v>
      </c>
      <c r="N125" s="9" t="str">
        <f>IF(VLOOKUP($A125,Salta!$A$8:$O$291,7,FALSE)="","",VLOOKUP($A125,Salta!$A$8:$O$291,7,FALSE))</f>
        <v>Media</v>
      </c>
      <c r="O125" s="9" t="str">
        <f>IF(VLOOKUP($A125,Salta!$A$8:$O$291,6,FALSE)="","",VLOOKUP($A125,Salta!$A$8:$O$291,6,FALSE))</f>
        <v>Revisar grupo</v>
      </c>
      <c r="P125" s="24" t="str">
        <f>IF(VLOOKUP($A125,Neuquén!$A$8:$O$291,15,FALSE)="Homologado",VLOOKUP($A125,Neuquén!$A$8:$O$291,10,FALSE),"")</f>
        <v/>
      </c>
      <c r="Q125" s="24" t="str">
        <f>IF(VLOOKUP($A125,'San Juan'!$A$8:$O$291,15,FALSE)="Homologado",VLOOKUP($A125,'San Juan'!$A$8:$O$291,10,FALSE),"")</f>
        <v/>
      </c>
      <c r="R125" s="24" t="str">
        <f>IF(VLOOKUP($A125,Salta!$A$8:$O$291,15,FALSE)="Homologado",VLOOKUP($A125,Salta!$A$8:$O$291,10,FALSE),"")</f>
        <v/>
      </c>
      <c r="S125" s="24" t="str">
        <f>IF(VLOOKUP($A125,'Master vs SAP'!$A$8:$O$291,4,FALSE)="","",VLOOKUP($A125,'Master vs SAP'!$A$8:$O$291,4,FALSE))</f>
        <v>1001271
1000534
1000688</v>
      </c>
      <c r="T125" s="9" t="str">
        <f>IF(VLOOKUP($A125,'Master vs SAP'!$A$8:$O$291,5,FALSE)="","",VLOOKUP($A125,'Master vs SAP'!$A$8:$O$291,5,FALSE))</f>
        <v>SULFADIZINA DE PLATA X 30GRS
SULFADIAZINA DE PLATA CREMA X 400 GR
SULFADIAZINA DE PLATA CREMA X 50 GR</v>
      </c>
      <c r="U125" s="9" t="str">
        <f>IF(VLOOKUP($A125,'Master vs SAP'!$A$8:$O$291,7,FALSE)="","",VLOOKUP($A125,'Master vs SAP'!$A$8:$O$291,7,FALSE))</f>
        <v>Media</v>
      </c>
      <c r="V125" s="9" t="str">
        <f>IF(VLOOKUP($A125,'Master vs SAP'!$A$8:$O$291,6,FALSE)="","",VLOOKUP($A125,'Master vs SAP'!$A$8:$O$291,6,FALSE))</f>
        <v>Revisar grupo</v>
      </c>
      <c r="W125" s="24" t="str">
        <f>IF(VLOOKUP($A125,'Master vs SAP'!$A$8:$O$291,15,FALSE)="Homologado",VLOOKUP($A125,'Master vs SAP'!$A$8:$O$291,10,FALSE),"")</f>
        <v/>
      </c>
    </row>
    <row r="126" spans="1:23" ht="61.95" customHeight="1">
      <c r="A126" s="9" t="s">
        <v>344</v>
      </c>
      <c r="B126" s="9" t="s">
        <v>108</v>
      </c>
      <c r="C126" s="9" t="s">
        <v>345</v>
      </c>
      <c r="D126" s="24" t="str">
        <f>IF(VLOOKUP($A126,Neuquén!$A$8:$O$291,4,FALSE)="","",VLOOKUP($A126,Neuquén!$A$8:$O$291,4,FALSE))</f>
        <v>518</v>
      </c>
      <c r="E126" s="9" t="str">
        <f>IF(VLOOKUP($A126,Neuquén!$A$8:$O$291,5,FALSE)="","",VLOOKUP($A126,Neuquén!$A$8:$O$291,5,FALSE))</f>
        <v>Ac.fusidico+Beta</v>
      </c>
      <c r="F126" s="9" t="str">
        <f>IF(VLOOKUP($A126,Neuquén!$A$8:$O$291,7,FALSE)="","",VLOOKUP($A126,Neuquén!$A$8:$O$291,7,FALSE))</f>
        <v>Media</v>
      </c>
      <c r="G126" s="9" t="str">
        <f>IF(VLOOKUP($A126,Neuquén!$A$8:$O$291,6,FALSE)="","",VLOOKUP($A126,Neuquén!$A$8:$O$291,6,FALSE))</f>
        <v>Equivalencia a revisar</v>
      </c>
      <c r="H126" s="24" t="str">
        <f>IF(VLOOKUP($A126,'San Juan'!$A$8:$O$291,4,FALSE)="","",VLOOKUP($A126,'San Juan'!$A$8:$O$291,4,FALSE))</f>
        <v/>
      </c>
      <c r="I126" s="9" t="str">
        <f>IF(VLOOKUP($A126,'San Juan'!$A$8:$O$291,5,FALSE)="","",VLOOKUP($A126,'San Juan'!$A$8:$O$291,5,FALSE))</f>
        <v/>
      </c>
      <c r="J126" s="9" t="str">
        <f>IF(VLOOKUP($A126,'San Juan'!$A$8:$O$291,7,FALSE)="","",VLOOKUP($A126,'San Juan'!$A$8:$O$291,7,FALSE))</f>
        <v>Sin coincidencia</v>
      </c>
      <c r="K126" s="9" t="str">
        <f>IF(VLOOKUP($A126,'San Juan'!$A$8:$O$291,6,FALSE)="","",VLOOKUP($A126,'San Juan'!$A$8:$O$291,6,FALSE))</f>
        <v>Sin código encontrado</v>
      </c>
      <c r="L126" s="24" t="str">
        <f>IF(VLOOKUP($A126,Salta!$A$8:$O$291,4,FALSE)="","",VLOOKUP($A126,Salta!$A$8:$O$291,4,FALSE))</f>
        <v/>
      </c>
      <c r="M126" s="9" t="str">
        <f>IF(VLOOKUP($A126,Salta!$A$8:$O$291,5,FALSE)="","",VLOOKUP($A126,Salta!$A$8:$O$291,5,FALSE))</f>
        <v/>
      </c>
      <c r="N126" s="9" t="str">
        <f>IF(VLOOKUP($A126,Salta!$A$8:$O$291,7,FALSE)="","",VLOOKUP($A126,Salta!$A$8:$O$291,7,FALSE))</f>
        <v>Sin coincidencia</v>
      </c>
      <c r="O126" s="9" t="str">
        <f>IF(VLOOKUP($A126,Salta!$A$8:$O$291,6,FALSE)="","",VLOOKUP($A126,Salta!$A$8:$O$291,6,FALSE))</f>
        <v>Sin coincidencia</v>
      </c>
      <c r="P126" s="24" t="str">
        <f>IF(VLOOKUP($A126,Neuquén!$A$8:$O$291,15,FALSE)="Homologado",VLOOKUP($A126,Neuquén!$A$8:$O$291,10,FALSE),"")</f>
        <v/>
      </c>
      <c r="Q126" s="24" t="str">
        <f>IF(VLOOKUP($A126,'San Juan'!$A$8:$O$291,15,FALSE)="Homologado",VLOOKUP($A126,'San Juan'!$A$8:$O$291,10,FALSE),"")</f>
        <v/>
      </c>
      <c r="R126" s="24" t="str">
        <f>IF(VLOOKUP($A126,Salta!$A$8:$O$291,15,FALSE)="Homologado",VLOOKUP($A126,Salta!$A$8:$O$291,10,FALSE),"")</f>
        <v/>
      </c>
      <c r="S126" s="24" t="str">
        <f>IF(VLOOKUP($A126,'Master vs SAP'!$A$8:$O$291,4,FALSE)="","",VLOOKUP($A126,'Master vs SAP'!$A$8:$O$291,4,FALSE))</f>
        <v>1000920</v>
      </c>
      <c r="T126" s="9" t="str">
        <f>IF(VLOOKUP($A126,'Master vs SAP'!$A$8:$O$291,5,FALSE)="","",VLOOKUP($A126,'Master vs SAP'!$A$8:$O$291,5,FALSE))</f>
        <v>FUSADICO ACIDO+BETA.VALERATO 15G CREMA</v>
      </c>
      <c r="U126" s="9" t="str">
        <f>IF(VLOOKUP($A126,'Master vs SAP'!$A$8:$O$291,7,FALSE)="","",VLOOKUP($A126,'Master vs SAP'!$A$8:$O$291,7,FALSE))</f>
        <v>Media</v>
      </c>
      <c r="V126" s="9" t="str">
        <f>IF(VLOOKUP($A126,'Master vs SAP'!$A$8:$O$291,6,FALSE)="","",VLOOKUP($A126,'Master vs SAP'!$A$8:$O$291,6,FALSE))</f>
        <v>Revisar datos</v>
      </c>
      <c r="W126" s="24" t="str">
        <f>IF(VLOOKUP($A126,'Master vs SAP'!$A$8:$O$291,15,FALSE)="Homologado",VLOOKUP($A126,'Master vs SAP'!$A$8:$O$291,10,FALSE),"")</f>
        <v/>
      </c>
    </row>
    <row r="127" spans="1:23" ht="61.95" customHeight="1">
      <c r="A127" s="9" t="s">
        <v>346</v>
      </c>
      <c r="B127" s="9" t="s">
        <v>108</v>
      </c>
      <c r="C127" s="9" t="s">
        <v>347</v>
      </c>
      <c r="D127" s="24" t="str">
        <f>IF(VLOOKUP($A127,Neuquén!$A$8:$O$291,4,FALSE)="","",VLOOKUP($A127,Neuquén!$A$8:$O$291,4,FALSE))</f>
        <v>519</v>
      </c>
      <c r="E127" s="9" t="str">
        <f>IF(VLOOKUP($A127,Neuquén!$A$8:$O$291,5,FALSE)="","",VLOOKUP($A127,Neuquén!$A$8:$O$291,5,FALSE))</f>
        <v>Clotrimazol</v>
      </c>
      <c r="F127" s="9" t="str">
        <f>IF(VLOOKUP($A127,Neuquén!$A$8:$O$291,7,FALSE)="","",VLOOKUP($A127,Neuquén!$A$8:$O$291,7,FALSE))</f>
        <v>Alta</v>
      </c>
      <c r="G127" s="9" t="str">
        <f>IF(VLOOKUP($A127,Neuquén!$A$8:$O$291,6,FALSE)="","",VLOOKUP($A127,Neuquén!$A$8:$O$291,6,FALSE))</f>
        <v>Coincidencia por validar</v>
      </c>
      <c r="H127" s="24" t="str">
        <f>IF(VLOOKUP($A127,'San Juan'!$A$8:$O$291,4,FALSE)="","",VLOOKUP($A127,'San Juan'!$A$8:$O$291,4,FALSE))</f>
        <v>MED47</v>
      </c>
      <c r="I127" s="9" t="str">
        <f>IF(VLOOKUP($A127,'San Juan'!$A$8:$O$291,5,FALSE)="","",VLOOKUP($A127,'San Juan'!$A$8:$O$291,5,FALSE))</f>
        <v>Clotrimazol Crema 1% x 20gr</v>
      </c>
      <c r="J127" s="9" t="str">
        <f>IF(VLOOKUP($A127,'San Juan'!$A$8:$O$291,7,FALSE)="","",VLOOKUP($A127,'San Juan'!$A$8:$O$291,7,FALSE))</f>
        <v>Alta</v>
      </c>
      <c r="K127" s="9" t="str">
        <f>IF(VLOOKUP($A127,'San Juan'!$A$8:$O$291,6,FALSE)="","",VLOOKUP($A127,'San Juan'!$A$8:$O$291,6,FALSE))</f>
        <v>Coincidencia por validar</v>
      </c>
      <c r="L127" s="24" t="str">
        <f>IF(VLOOKUP($A127,Salta!$A$8:$O$291,4,FALSE)="","",VLOOKUP($A127,Salta!$A$8:$O$291,4,FALSE))</f>
        <v>301</v>
      </c>
      <c r="M127" s="9" t="str">
        <f>IF(VLOOKUP($A127,Salta!$A$8:$O$291,5,FALSE)="","",VLOOKUP($A127,Salta!$A$8:$O$291,5,FALSE))</f>
        <v>Clotrimazol Crema 1% x 20gr</v>
      </c>
      <c r="N127" s="9" t="str">
        <f>IF(VLOOKUP($A127,Salta!$A$8:$O$291,7,FALSE)="","",VLOOKUP($A127,Salta!$A$8:$O$291,7,FALSE))</f>
        <v>Alta</v>
      </c>
      <c r="O127" s="9" t="str">
        <f>IF(VLOOKUP($A127,Salta!$A$8:$O$291,6,FALSE)="","",VLOOKUP($A127,Salta!$A$8:$O$291,6,FALSE))</f>
        <v>Coincidencia</v>
      </c>
      <c r="P127" s="24" t="str">
        <f>IF(VLOOKUP($A127,Neuquén!$A$8:$O$291,15,FALSE)="Homologado",VLOOKUP($A127,Neuquén!$A$8:$O$291,10,FALSE),"")</f>
        <v/>
      </c>
      <c r="Q127" s="24" t="str">
        <f>IF(VLOOKUP($A127,'San Juan'!$A$8:$O$291,15,FALSE)="Homologado",VLOOKUP($A127,'San Juan'!$A$8:$O$291,10,FALSE),"")</f>
        <v/>
      </c>
      <c r="R127" s="24" t="str">
        <f>IF(VLOOKUP($A127,Salta!$A$8:$O$291,15,FALSE)="Homologado",VLOOKUP($A127,Salta!$A$8:$O$291,10,FALSE),"")</f>
        <v/>
      </c>
      <c r="S127" s="24" t="str">
        <f>IF(VLOOKUP($A127,'Master vs SAP'!$A$8:$O$291,4,FALSE)="","",VLOOKUP($A127,'Master vs SAP'!$A$8:$O$291,4,FALSE))</f>
        <v>1000665
1000870</v>
      </c>
      <c r="T127" s="9" t="str">
        <f>IF(VLOOKUP($A127,'Master vs SAP'!$A$8:$O$291,5,FALSE)="","",VLOOKUP($A127,'Master vs SAP'!$A$8:$O$291,5,FALSE))</f>
        <v>CLOTRIMAZOL CREMA
CLOTRIMAZOL 1% 20 GR CREMA</v>
      </c>
      <c r="U127" s="9" t="str">
        <f>IF(VLOOKUP($A127,'Master vs SAP'!$A$8:$O$291,7,FALSE)="","",VLOOKUP($A127,'Master vs SAP'!$A$8:$O$291,7,FALSE))</f>
        <v>Alta</v>
      </c>
      <c r="V127" s="9" t="str">
        <f>IF(VLOOKUP($A127,'Master vs SAP'!$A$8:$O$291,6,FALSE)="","",VLOOKUP($A127,'Master vs SAP'!$A$8:$O$291,6,FALSE))</f>
        <v>Coincidencia</v>
      </c>
      <c r="W127" s="24" t="str">
        <f>IF(VLOOKUP($A127,'Master vs SAP'!$A$8:$O$291,15,FALSE)="Homologado",VLOOKUP($A127,'Master vs SAP'!$A$8:$O$291,10,FALSE),"")</f>
        <v/>
      </c>
    </row>
    <row r="128" spans="1:23" ht="61.95" customHeight="1">
      <c r="A128" s="9" t="s">
        <v>348</v>
      </c>
      <c r="B128" s="9" t="s">
        <v>108</v>
      </c>
      <c r="C128" s="9" t="s">
        <v>349</v>
      </c>
      <c r="D128" s="24" t="str">
        <f>IF(VLOOKUP($A128,Neuquén!$A$8:$O$291,4,FALSE)="","",VLOOKUP($A128,Neuquén!$A$8:$O$291,4,FALSE))</f>
        <v>233</v>
      </c>
      <c r="E128" s="9" t="str">
        <f>IF(VLOOKUP($A128,Neuquén!$A$8:$O$291,5,FALSE)="","",VLOOKUP($A128,Neuquén!$A$8:$O$291,5,FALSE))</f>
        <v>VACUNAANTITETANICABIOL®</v>
      </c>
      <c r="F128" s="9" t="str">
        <f>IF(VLOOKUP($A128,Neuquén!$A$8:$O$291,7,FALSE)="","",VLOOKUP($A128,Neuquén!$A$8:$O$291,7,FALSE))</f>
        <v>Alta</v>
      </c>
      <c r="G128" s="9" t="str">
        <f>IF(VLOOKUP($A128,Neuquén!$A$8:$O$291,6,FALSE)="","",VLOOKUP($A128,Neuquén!$A$8:$O$291,6,FALSE))</f>
        <v>Coincidencia por validar</v>
      </c>
      <c r="H128" s="24" t="str">
        <f>IF(VLOOKUP($A128,'San Juan'!$A$8:$O$291,4,FALSE)="","",VLOOKUP($A128,'San Juan'!$A$8:$O$291,4,FALSE))</f>
        <v/>
      </c>
      <c r="I128" s="9" t="str">
        <f>IF(VLOOKUP($A128,'San Juan'!$A$8:$O$291,5,FALSE)="","",VLOOKUP($A128,'San Juan'!$A$8:$O$291,5,FALSE))</f>
        <v/>
      </c>
      <c r="J128" s="9" t="str">
        <f>IF(VLOOKUP($A128,'San Juan'!$A$8:$O$291,7,FALSE)="","",VLOOKUP($A128,'San Juan'!$A$8:$O$291,7,FALSE))</f>
        <v>Sin coincidencia</v>
      </c>
      <c r="K128" s="9" t="str">
        <f>IF(VLOOKUP($A128,'San Juan'!$A$8:$O$291,6,FALSE)="","",VLOOKUP($A128,'San Juan'!$A$8:$O$291,6,FALSE))</f>
        <v>Sin código encontrado</v>
      </c>
      <c r="L128" s="24" t="str">
        <f>IF(VLOOKUP($A128,Salta!$A$8:$O$291,4,FALSE)="","",VLOOKUP($A128,Salta!$A$8:$O$291,4,FALSE))</f>
        <v/>
      </c>
      <c r="M128" s="9" t="str">
        <f>IF(VLOOKUP($A128,Salta!$A$8:$O$291,5,FALSE)="","",VLOOKUP($A128,Salta!$A$8:$O$291,5,FALSE))</f>
        <v/>
      </c>
      <c r="N128" s="9" t="str">
        <f>IF(VLOOKUP($A128,Salta!$A$8:$O$291,7,FALSE)="","",VLOOKUP($A128,Salta!$A$8:$O$291,7,FALSE))</f>
        <v>Sin coincidencia</v>
      </c>
      <c r="O128" s="9" t="str">
        <f>IF(VLOOKUP($A128,Salta!$A$8:$O$291,6,FALSE)="","",VLOOKUP($A128,Salta!$A$8:$O$291,6,FALSE))</f>
        <v>Sin coincidencia</v>
      </c>
      <c r="P128" s="24" t="str">
        <f>IF(VLOOKUP($A128,Neuquén!$A$8:$O$291,15,FALSE)="Homologado",VLOOKUP($A128,Neuquén!$A$8:$O$291,10,FALSE),"")</f>
        <v/>
      </c>
      <c r="Q128" s="24" t="str">
        <f>IF(VLOOKUP($A128,'San Juan'!$A$8:$O$291,15,FALSE)="Homologado",VLOOKUP($A128,'San Juan'!$A$8:$O$291,10,FALSE),"")</f>
        <v/>
      </c>
      <c r="R128" s="24" t="str">
        <f>IF(VLOOKUP($A128,Salta!$A$8:$O$291,15,FALSE)="Homologado",VLOOKUP($A128,Salta!$A$8:$O$291,10,FALSE),"")</f>
        <v/>
      </c>
      <c r="S128" s="24" t="str">
        <f>IF(VLOOKUP($A128,'Master vs SAP'!$A$8:$O$291,4,FALSE)="","",VLOOKUP($A128,'Master vs SAP'!$A$8:$O$291,4,FALSE))</f>
        <v/>
      </c>
      <c r="T128" s="9" t="str">
        <f>IF(VLOOKUP($A128,'Master vs SAP'!$A$8:$O$291,5,FALSE)="","",VLOOKUP($A128,'Master vs SAP'!$A$8:$O$291,5,FALSE))</f>
        <v/>
      </c>
      <c r="U128" s="9" t="str">
        <f>IF(VLOOKUP($A128,'Master vs SAP'!$A$8:$O$291,7,FALSE)="","",VLOOKUP($A128,'Master vs SAP'!$A$8:$O$291,7,FALSE))</f>
        <v>Sin coincidencia</v>
      </c>
      <c r="V128" s="9" t="str">
        <f>IF(VLOOKUP($A128,'Master vs SAP'!$A$8:$O$291,6,FALSE)="","",VLOOKUP($A128,'Master vs SAP'!$A$8:$O$291,6,FALSE))</f>
        <v>Sin coincidencia</v>
      </c>
      <c r="W128" s="24" t="str">
        <f>IF(VLOOKUP($A128,'Master vs SAP'!$A$8:$O$291,15,FALSE)="Homologado",VLOOKUP($A128,'Master vs SAP'!$A$8:$O$291,10,FALSE),"")</f>
        <v/>
      </c>
    </row>
    <row r="129" spans="1:23" ht="61.95" customHeight="1">
      <c r="A129" s="9" t="s">
        <v>350</v>
      </c>
      <c r="B129" s="9" t="s">
        <v>108</v>
      </c>
      <c r="C129" s="9" t="s">
        <v>351</v>
      </c>
      <c r="D129" s="24" t="str">
        <f>IF(VLOOKUP($A129,Neuquén!$A$8:$O$291,4,FALSE)="","",VLOOKUP($A129,Neuquén!$A$8:$O$291,4,FALSE))</f>
        <v>520</v>
      </c>
      <c r="E129" s="9" t="str">
        <f>IF(VLOOKUP($A129,Neuquén!$A$8:$O$291,5,FALSE)="","",VLOOKUP($A129,Neuquén!$A$8:$O$291,5,FALSE))</f>
        <v>Enoxaparina</v>
      </c>
      <c r="F129" s="9" t="str">
        <f>IF(VLOOKUP($A129,Neuquén!$A$8:$O$291,7,FALSE)="","",VLOOKUP($A129,Neuquén!$A$8:$O$291,7,FALSE))</f>
        <v>Alta</v>
      </c>
      <c r="G129" s="9" t="str">
        <f>IF(VLOOKUP($A129,Neuquén!$A$8:$O$291,6,FALSE)="","",VLOOKUP($A129,Neuquén!$A$8:$O$291,6,FALSE))</f>
        <v>Coincidencia por validar</v>
      </c>
      <c r="H129" s="24" t="str">
        <f>IF(VLOOKUP($A129,'San Juan'!$A$8:$O$291,4,FALSE)="","",VLOOKUP($A129,'San Juan'!$A$8:$O$291,4,FALSE))</f>
        <v/>
      </c>
      <c r="I129" s="9" t="str">
        <f>IF(VLOOKUP($A129,'San Juan'!$A$8:$O$291,5,FALSE)="","",VLOOKUP($A129,'San Juan'!$A$8:$O$291,5,FALSE))</f>
        <v/>
      </c>
      <c r="J129" s="9" t="str">
        <f>IF(VLOOKUP($A129,'San Juan'!$A$8:$O$291,7,FALSE)="","",VLOOKUP($A129,'San Juan'!$A$8:$O$291,7,FALSE))</f>
        <v>Sin coincidencia</v>
      </c>
      <c r="K129" s="9" t="str">
        <f>IF(VLOOKUP($A129,'San Juan'!$A$8:$O$291,6,FALSE)="","",VLOOKUP($A129,'San Juan'!$A$8:$O$291,6,FALSE))</f>
        <v>Sin código encontrado</v>
      </c>
      <c r="L129" s="24" t="str">
        <f>IF(VLOOKUP($A129,Salta!$A$8:$O$291,4,FALSE)="","",VLOOKUP($A129,Salta!$A$8:$O$291,4,FALSE))</f>
        <v/>
      </c>
      <c r="M129" s="9" t="str">
        <f>IF(VLOOKUP($A129,Salta!$A$8:$O$291,5,FALSE)="","",VLOOKUP($A129,Salta!$A$8:$O$291,5,FALSE))</f>
        <v/>
      </c>
      <c r="N129" s="9" t="str">
        <f>IF(VLOOKUP($A129,Salta!$A$8:$O$291,7,FALSE)="","",VLOOKUP($A129,Salta!$A$8:$O$291,7,FALSE))</f>
        <v>Sin coincidencia</v>
      </c>
      <c r="O129" s="9" t="str">
        <f>IF(VLOOKUP($A129,Salta!$A$8:$O$291,6,FALSE)="","",VLOOKUP($A129,Salta!$A$8:$O$291,6,FALSE))</f>
        <v>Sin coincidencia</v>
      </c>
      <c r="P129" s="24" t="str">
        <f>IF(VLOOKUP($A129,Neuquén!$A$8:$O$291,15,FALSE)="Homologado",VLOOKUP($A129,Neuquén!$A$8:$O$291,10,FALSE),"")</f>
        <v/>
      </c>
      <c r="Q129" s="24" t="str">
        <f>IF(VLOOKUP($A129,'San Juan'!$A$8:$O$291,15,FALSE)="Homologado",VLOOKUP($A129,'San Juan'!$A$8:$O$291,10,FALSE),"")</f>
        <v/>
      </c>
      <c r="R129" s="24" t="str">
        <f>IF(VLOOKUP($A129,Salta!$A$8:$O$291,15,FALSE)="Homologado",VLOOKUP($A129,Salta!$A$8:$O$291,10,FALSE),"")</f>
        <v/>
      </c>
      <c r="S129" s="24" t="str">
        <f>IF(VLOOKUP($A129,'Master vs SAP'!$A$8:$O$291,4,FALSE)="","",VLOOKUP($A129,'Master vs SAP'!$A$8:$O$291,4,FALSE))</f>
        <v/>
      </c>
      <c r="T129" s="9" t="str">
        <f>IF(VLOOKUP($A129,'Master vs SAP'!$A$8:$O$291,5,FALSE)="","",VLOOKUP($A129,'Master vs SAP'!$A$8:$O$291,5,FALSE))</f>
        <v/>
      </c>
      <c r="U129" s="9" t="str">
        <f>IF(VLOOKUP($A129,'Master vs SAP'!$A$8:$O$291,7,FALSE)="","",VLOOKUP($A129,'Master vs SAP'!$A$8:$O$291,7,FALSE))</f>
        <v>Sin coincidencia</v>
      </c>
      <c r="V129" s="9" t="str">
        <f>IF(VLOOKUP($A129,'Master vs SAP'!$A$8:$O$291,6,FALSE)="","",VLOOKUP($A129,'Master vs SAP'!$A$8:$O$291,6,FALSE))</f>
        <v>Sin coincidencia</v>
      </c>
      <c r="W129" s="24" t="str">
        <f>IF(VLOOKUP($A129,'Master vs SAP'!$A$8:$O$291,15,FALSE)="Homologado",VLOOKUP($A129,'Master vs SAP'!$A$8:$O$291,10,FALSE),"")</f>
        <v/>
      </c>
    </row>
    <row r="130" spans="1:23" ht="61.95" customHeight="1">
      <c r="A130" s="9" t="s">
        <v>352</v>
      </c>
      <c r="B130" s="9" t="s">
        <v>108</v>
      </c>
      <c r="C130" s="9" t="s">
        <v>353</v>
      </c>
      <c r="D130" s="24" t="str">
        <f>IF(VLOOKUP($A130,Neuquén!$A$8:$O$291,4,FALSE)="","",VLOOKUP($A130,Neuquén!$A$8:$O$291,4,FALSE))</f>
        <v>521</v>
      </c>
      <c r="E130" s="9" t="str">
        <f>IF(VLOOKUP($A130,Neuquén!$A$8:$O$291,5,FALSE)="","",VLOOKUP($A130,Neuquén!$A$8:$O$291,5,FALSE))</f>
        <v>Fitomenadiona</v>
      </c>
      <c r="F130" s="9" t="str">
        <f>IF(VLOOKUP($A130,Neuquén!$A$8:$O$291,7,FALSE)="","",VLOOKUP($A130,Neuquén!$A$8:$O$291,7,FALSE))</f>
        <v>Media</v>
      </c>
      <c r="G130" s="9" t="str">
        <f>IF(VLOOKUP($A130,Neuquén!$A$8:$O$291,6,FALSE)="","",VLOOKUP($A130,Neuquén!$A$8:$O$291,6,FALSE))</f>
        <v>Equivalencia a revisar</v>
      </c>
      <c r="H130" s="24" t="str">
        <f>IF(VLOOKUP($A130,'San Juan'!$A$8:$O$291,4,FALSE)="","",VLOOKUP($A130,'San Juan'!$A$8:$O$291,4,FALSE))</f>
        <v/>
      </c>
      <c r="I130" s="9" t="str">
        <f>IF(VLOOKUP($A130,'San Juan'!$A$8:$O$291,5,FALSE)="","",VLOOKUP($A130,'San Juan'!$A$8:$O$291,5,FALSE))</f>
        <v/>
      </c>
      <c r="J130" s="9" t="str">
        <f>IF(VLOOKUP($A130,'San Juan'!$A$8:$O$291,7,FALSE)="","",VLOOKUP($A130,'San Juan'!$A$8:$O$291,7,FALSE))</f>
        <v>Sin coincidencia</v>
      </c>
      <c r="K130" s="9" t="str">
        <f>IF(VLOOKUP($A130,'San Juan'!$A$8:$O$291,6,FALSE)="","",VLOOKUP($A130,'San Juan'!$A$8:$O$291,6,FALSE))</f>
        <v>Sin código encontrado</v>
      </c>
      <c r="L130" s="24" t="str">
        <f>IF(VLOOKUP($A130,Salta!$A$8:$O$291,4,FALSE)="","",VLOOKUP($A130,Salta!$A$8:$O$291,4,FALSE))</f>
        <v>251</v>
      </c>
      <c r="M130" s="9" t="str">
        <f>IF(VLOOKUP($A130,Salta!$A$8:$O$291,5,FALSE)="","",VLOOKUP($A130,Salta!$A$8:$O$291,5,FALSE))</f>
        <v>Vitamina K 1amp=10mlx10mg</v>
      </c>
      <c r="N130" s="9" t="str">
        <f>IF(VLOOKUP($A130,Salta!$A$8:$O$291,7,FALSE)="","",VLOOKUP($A130,Salta!$A$8:$O$291,7,FALSE))</f>
        <v>Alta</v>
      </c>
      <c r="O130" s="9" t="str">
        <f>IF(VLOOKUP($A130,Salta!$A$8:$O$291,6,FALSE)="","",VLOOKUP($A130,Salta!$A$8:$O$291,6,FALSE))</f>
        <v>Coincidencia</v>
      </c>
      <c r="P130" s="24" t="str">
        <f>IF(VLOOKUP($A130,Neuquén!$A$8:$O$291,15,FALSE)="Homologado",VLOOKUP($A130,Neuquén!$A$8:$O$291,10,FALSE),"")</f>
        <v/>
      </c>
      <c r="Q130" s="24" t="str">
        <f>IF(VLOOKUP($A130,'San Juan'!$A$8:$O$291,15,FALSE)="Homologado",VLOOKUP($A130,'San Juan'!$A$8:$O$291,10,FALSE),"")</f>
        <v/>
      </c>
      <c r="R130" s="24" t="str">
        <f>IF(VLOOKUP($A130,Salta!$A$8:$O$291,15,FALSE)="Homologado",VLOOKUP($A130,Salta!$A$8:$O$291,10,FALSE),"")</f>
        <v/>
      </c>
      <c r="S130" s="24" t="str">
        <f>IF(VLOOKUP($A130,'Master vs SAP'!$A$8:$O$291,4,FALSE)="","",VLOOKUP($A130,'Master vs SAP'!$A$8:$O$291,4,FALSE))</f>
        <v>1000310</v>
      </c>
      <c r="T130" s="9" t="str">
        <f>IF(VLOOKUP($A130,'Master vs SAP'!$A$8:$O$291,5,FALSE)="","",VLOOKUP($A130,'Master vs SAP'!$A$8:$O$291,5,FALSE))</f>
        <v>VITAMINA K 1 ML AMP 1mg/0,5ml</v>
      </c>
      <c r="U130" s="9" t="str">
        <f>IF(VLOOKUP($A130,'Master vs SAP'!$A$8:$O$291,7,FALSE)="","",VLOOKUP($A130,'Master vs SAP'!$A$8:$O$291,7,FALSE))</f>
        <v>Baja</v>
      </c>
      <c r="V130" s="9" t="str">
        <f>IF(VLOOKUP($A130,'Master vs SAP'!$A$8:$O$291,6,FALSE)="","",VLOOKUP($A130,'Master vs SAP'!$A$8:$O$291,6,FALSE))</f>
        <v>Revisar presentación</v>
      </c>
      <c r="W130" s="24" t="str">
        <f>IF(VLOOKUP($A130,'Master vs SAP'!$A$8:$O$291,15,FALSE)="Homologado",VLOOKUP($A130,'Master vs SAP'!$A$8:$O$291,10,FALSE),"")</f>
        <v/>
      </c>
    </row>
    <row r="131" spans="1:23" ht="61.95" customHeight="1">
      <c r="A131" s="9" t="s">
        <v>354</v>
      </c>
      <c r="B131" s="9" t="s">
        <v>108</v>
      </c>
      <c r="C131" s="9" t="s">
        <v>355</v>
      </c>
      <c r="D131" s="24" t="str">
        <f>IF(VLOOKUP($A131,Neuquén!$A$8:$O$291,4,FALSE)="","",VLOOKUP($A131,Neuquén!$A$8:$O$291,4,FALSE))</f>
        <v>199</v>
      </c>
      <c r="E131" s="9" t="str">
        <f>IF(VLOOKUP($A131,Neuquén!$A$8:$O$291,5,FALSE)="","",VLOOKUP($A131,Neuquén!$A$8:$O$291,5,FALSE))</f>
        <v>RIFAMICINASV1%X30ML</v>
      </c>
      <c r="F131" s="9" t="str">
        <f>IF(VLOOKUP($A131,Neuquén!$A$8:$O$291,7,FALSE)="","",VLOOKUP($A131,Neuquén!$A$8:$O$291,7,FALSE))</f>
        <v>Alta</v>
      </c>
      <c r="G131" s="9" t="str">
        <f>IF(VLOOKUP($A131,Neuquén!$A$8:$O$291,6,FALSE)="","",VLOOKUP($A131,Neuquén!$A$8:$O$291,6,FALSE))</f>
        <v>Coincidencia por validar</v>
      </c>
      <c r="H131" s="24" t="str">
        <f>IF(VLOOKUP($A131,'San Juan'!$A$8:$O$291,4,FALSE)="","",VLOOKUP($A131,'San Juan'!$A$8:$O$291,4,FALSE))</f>
        <v>DES104</v>
      </c>
      <c r="I131" s="9" t="str">
        <f>IF(VLOOKUP($A131,'San Juan'!$A$8:$O$291,5,FALSE)="","",VLOOKUP($A131,'San Juan'!$A$8:$O$291,5,FALSE))</f>
        <v>Rifamicina  Spray x 30ml</v>
      </c>
      <c r="J131" s="9" t="str">
        <f>IF(VLOOKUP($A131,'San Juan'!$A$8:$O$291,7,FALSE)="","",VLOOKUP($A131,'San Juan'!$A$8:$O$291,7,FALSE))</f>
        <v>Alta</v>
      </c>
      <c r="K131" s="9" t="str">
        <f>IF(VLOOKUP($A131,'San Juan'!$A$8:$O$291,6,FALSE)="","",VLOOKUP($A131,'San Juan'!$A$8:$O$291,6,FALSE))</f>
        <v>Coincidencia por validar</v>
      </c>
      <c r="L131" s="24" t="str">
        <f>IF(VLOOKUP($A131,Salta!$A$8:$O$291,4,FALSE)="","",VLOOKUP($A131,Salta!$A$8:$O$291,4,FALSE))</f>
        <v>208</v>
      </c>
      <c r="M131" s="9" t="str">
        <f>IF(VLOOKUP($A131,Salta!$A$8:$O$291,5,FALSE)="","",VLOOKUP($A131,Salta!$A$8:$O$291,5,FALSE))</f>
        <v>Rifamicina Spray x 30ml</v>
      </c>
      <c r="N131" s="9" t="str">
        <f>IF(VLOOKUP($A131,Salta!$A$8:$O$291,7,FALSE)="","",VLOOKUP($A131,Salta!$A$8:$O$291,7,FALSE))</f>
        <v>Alta</v>
      </c>
      <c r="O131" s="9" t="str">
        <f>IF(VLOOKUP($A131,Salta!$A$8:$O$291,6,FALSE)="","",VLOOKUP($A131,Salta!$A$8:$O$291,6,FALSE))</f>
        <v>Coincidencia</v>
      </c>
      <c r="P131" s="24" t="str">
        <f>IF(VLOOKUP($A131,Neuquén!$A$8:$O$291,15,FALSE)="Homologado",VLOOKUP($A131,Neuquén!$A$8:$O$291,10,FALSE),"")</f>
        <v/>
      </c>
      <c r="Q131" s="24" t="str">
        <f>IF(VLOOKUP($A131,'San Juan'!$A$8:$O$291,15,FALSE)="Homologado",VLOOKUP($A131,'San Juan'!$A$8:$O$291,10,FALSE),"")</f>
        <v/>
      </c>
      <c r="R131" s="24" t="str">
        <f>IF(VLOOKUP($A131,Salta!$A$8:$O$291,15,FALSE)="Homologado",VLOOKUP($A131,Salta!$A$8:$O$291,10,FALSE),"")</f>
        <v/>
      </c>
      <c r="S131" s="24" t="str">
        <f>IF(VLOOKUP($A131,'Master vs SAP'!$A$8:$O$291,4,FALSE)="","",VLOOKUP($A131,'Master vs SAP'!$A$8:$O$291,4,FALSE))</f>
        <v/>
      </c>
      <c r="T131" s="9" t="str">
        <f>IF(VLOOKUP($A131,'Master vs SAP'!$A$8:$O$291,5,FALSE)="","",VLOOKUP($A131,'Master vs SAP'!$A$8:$O$291,5,FALSE))</f>
        <v/>
      </c>
      <c r="U131" s="9" t="str">
        <f>IF(VLOOKUP($A131,'Master vs SAP'!$A$8:$O$291,7,FALSE)="","",VLOOKUP($A131,'Master vs SAP'!$A$8:$O$291,7,FALSE))</f>
        <v>Sin coincidencia</v>
      </c>
      <c r="V131" s="9" t="str">
        <f>IF(VLOOKUP($A131,'Master vs SAP'!$A$8:$O$291,6,FALSE)="","",VLOOKUP($A131,'Master vs SAP'!$A$8:$O$291,6,FALSE))</f>
        <v>Sin coincidencia</v>
      </c>
      <c r="W131" s="24" t="str">
        <f>IF(VLOOKUP($A131,'Master vs SAP'!$A$8:$O$291,15,FALSE)="Homologado",VLOOKUP($A131,'Master vs SAP'!$A$8:$O$291,10,FALSE),"")</f>
        <v/>
      </c>
    </row>
    <row r="132" spans="1:23" ht="61.95" customHeight="1">
      <c r="A132" s="9" t="s">
        <v>356</v>
      </c>
      <c r="B132" s="9" t="s">
        <v>357</v>
      </c>
      <c r="C132" s="9" t="s">
        <v>358</v>
      </c>
      <c r="D132" s="24" t="str">
        <f>IF(VLOOKUP($A132,Neuquén!$A$8:$O$291,4,FALSE)="","",VLOOKUP($A132,Neuquén!$A$8:$O$291,4,FALSE))</f>
        <v>264</v>
      </c>
      <c r="E132" s="9" t="str">
        <f>IF(VLOOKUP($A132,Neuquén!$A$8:$O$291,5,FALSE)="","",VLOOKUP($A132,Neuquén!$A$8:$O$291,5,FALSE))</f>
        <v>Abocathn°14</v>
      </c>
      <c r="F132" s="9" t="str">
        <f>IF(VLOOKUP($A132,Neuquén!$A$8:$O$291,7,FALSE)="","",VLOOKUP($A132,Neuquén!$A$8:$O$291,7,FALSE))</f>
        <v>Alta</v>
      </c>
      <c r="G132" s="9" t="str">
        <f>IF(VLOOKUP($A132,Neuquén!$A$8:$O$291,6,FALSE)="","",VLOOKUP($A132,Neuquén!$A$8:$O$291,6,FALSE))</f>
        <v>Coincidencia por validar</v>
      </c>
      <c r="H132" s="24" t="str">
        <f>IF(VLOOKUP($A132,'San Juan'!$A$8:$O$291,4,FALSE)="","",VLOOKUP($A132,'San Juan'!$A$8:$O$291,4,FALSE))</f>
        <v>DESC1</v>
      </c>
      <c r="I132" s="9" t="str">
        <f>IF(VLOOKUP($A132,'San Juan'!$A$8:$O$291,5,FALSE)="","",VLOOKUP($A132,'San Juan'!$A$8:$O$291,5,FALSE))</f>
        <v>Abbocath Nº 14</v>
      </c>
      <c r="J132" s="9" t="str">
        <f>IF(VLOOKUP($A132,'San Juan'!$A$8:$O$291,7,FALSE)="","",VLOOKUP($A132,'San Juan'!$A$8:$O$291,7,FALSE))</f>
        <v>Alta</v>
      </c>
      <c r="K132" s="9" t="str">
        <f>IF(VLOOKUP($A132,'San Juan'!$A$8:$O$291,6,FALSE)="","",VLOOKUP($A132,'San Juan'!$A$8:$O$291,6,FALSE))</f>
        <v>Coincidencia por validar</v>
      </c>
      <c r="L132" s="24" t="str">
        <f>IF(VLOOKUP($A132,Salta!$A$8:$O$291,4,FALSE)="","",VLOOKUP($A132,Salta!$A$8:$O$291,4,FALSE))</f>
        <v>1</v>
      </c>
      <c r="M132" s="9" t="str">
        <f>IF(VLOOKUP($A132,Salta!$A$8:$O$291,5,FALSE)="","",VLOOKUP($A132,Salta!$A$8:$O$291,5,FALSE))</f>
        <v>Abbocath N° 14</v>
      </c>
      <c r="N132" s="9" t="str">
        <f>IF(VLOOKUP($A132,Salta!$A$8:$O$291,7,FALSE)="","",VLOOKUP($A132,Salta!$A$8:$O$291,7,FALSE))</f>
        <v>Alta</v>
      </c>
      <c r="O132" s="9" t="str">
        <f>IF(VLOOKUP($A132,Salta!$A$8:$O$291,6,FALSE)="","",VLOOKUP($A132,Salta!$A$8:$O$291,6,FALSE))</f>
        <v>Coincidencia</v>
      </c>
      <c r="P132" s="24" t="str">
        <f>IF(VLOOKUP($A132,Neuquén!$A$8:$O$291,15,FALSE)="Homologado",VLOOKUP($A132,Neuquén!$A$8:$O$291,10,FALSE),"")</f>
        <v/>
      </c>
      <c r="Q132" s="24" t="str">
        <f>IF(VLOOKUP($A132,'San Juan'!$A$8:$O$291,15,FALSE)="Homologado",VLOOKUP($A132,'San Juan'!$A$8:$O$291,10,FALSE),"")</f>
        <v/>
      </c>
      <c r="R132" s="24" t="str">
        <f>IF(VLOOKUP($A132,Salta!$A$8:$O$291,15,FALSE)="Homologado",VLOOKUP($A132,Salta!$A$8:$O$291,10,FALSE),"")</f>
        <v/>
      </c>
      <c r="S132" s="24" t="str">
        <f>IF(VLOOKUP($A132,'Master vs SAP'!$A$8:$O$291,4,FALSE)="","",VLOOKUP($A132,'Master vs SAP'!$A$8:$O$291,4,FALSE))</f>
        <v>2000002
1001262</v>
      </c>
      <c r="T132" s="9" t="str">
        <f>IF(VLOOKUP($A132,'Master vs SAP'!$A$8:$O$291,5,FALSE)="","",VLOOKUP($A132,'Master vs SAP'!$A$8:$O$291,5,FALSE))</f>
        <v>CATETER INTRAVENOSO 14G T/ABBOCATH
CATETER IV N14</v>
      </c>
      <c r="U132" s="9" t="str">
        <f>IF(VLOOKUP($A132,'Master vs SAP'!$A$8:$O$291,7,FALSE)="","",VLOOKUP($A132,'Master vs SAP'!$A$8:$O$291,7,FALSE))</f>
        <v>Alta</v>
      </c>
      <c r="V132" s="9" t="str">
        <f>IF(VLOOKUP($A132,'Master vs SAP'!$A$8:$O$291,6,FALSE)="","",VLOOKUP($A132,'Master vs SAP'!$A$8:$O$291,6,FALSE))</f>
        <v>Coincidencia</v>
      </c>
      <c r="W132" s="24" t="str">
        <f>IF(VLOOKUP($A132,'Master vs SAP'!$A$8:$O$291,15,FALSE)="Homologado",VLOOKUP($A132,'Master vs SAP'!$A$8:$O$291,10,FALSE),"")</f>
        <v/>
      </c>
    </row>
    <row r="133" spans="1:23" ht="61.95" customHeight="1">
      <c r="A133" s="9" t="s">
        <v>359</v>
      </c>
      <c r="B133" s="9" t="s">
        <v>357</v>
      </c>
      <c r="C133" s="9" t="s">
        <v>360</v>
      </c>
      <c r="D133" s="24" t="str">
        <f>IF(VLOOKUP($A133,Neuquén!$A$8:$O$291,4,FALSE)="","",VLOOKUP($A133,Neuquén!$A$8:$O$291,4,FALSE))</f>
        <v>268</v>
      </c>
      <c r="E133" s="9" t="str">
        <f>IF(VLOOKUP($A133,Neuquén!$A$8:$O$291,5,FALSE)="","",VLOOKUP($A133,Neuquén!$A$8:$O$291,5,FALSE))</f>
        <v>Abocathn°16</v>
      </c>
      <c r="F133" s="9" t="str">
        <f>IF(VLOOKUP($A133,Neuquén!$A$8:$O$291,7,FALSE)="","",VLOOKUP($A133,Neuquén!$A$8:$O$291,7,FALSE))</f>
        <v>Alta</v>
      </c>
      <c r="G133" s="9" t="str">
        <f>IF(VLOOKUP($A133,Neuquén!$A$8:$O$291,6,FALSE)="","",VLOOKUP($A133,Neuquén!$A$8:$O$291,6,FALSE))</f>
        <v>Coincidencia por validar</v>
      </c>
      <c r="H133" s="24" t="str">
        <f>IF(VLOOKUP($A133,'San Juan'!$A$8:$O$291,4,FALSE)="","",VLOOKUP($A133,'San Juan'!$A$8:$O$291,4,FALSE))</f>
        <v>DESC2</v>
      </c>
      <c r="I133" s="9" t="str">
        <f>IF(VLOOKUP($A133,'San Juan'!$A$8:$O$291,5,FALSE)="","",VLOOKUP($A133,'San Juan'!$A$8:$O$291,5,FALSE))</f>
        <v>Abbocath Nº 16</v>
      </c>
      <c r="J133" s="9" t="str">
        <f>IF(VLOOKUP($A133,'San Juan'!$A$8:$O$291,7,FALSE)="","",VLOOKUP($A133,'San Juan'!$A$8:$O$291,7,FALSE))</f>
        <v>Alta</v>
      </c>
      <c r="K133" s="9" t="str">
        <f>IF(VLOOKUP($A133,'San Juan'!$A$8:$O$291,6,FALSE)="","",VLOOKUP($A133,'San Juan'!$A$8:$O$291,6,FALSE))</f>
        <v>Coincidencia por validar</v>
      </c>
      <c r="L133" s="24" t="str">
        <f>IF(VLOOKUP($A133,Salta!$A$8:$O$291,4,FALSE)="","",VLOOKUP($A133,Salta!$A$8:$O$291,4,FALSE))</f>
        <v>2</v>
      </c>
      <c r="M133" s="9" t="str">
        <f>IF(VLOOKUP($A133,Salta!$A$8:$O$291,5,FALSE)="","",VLOOKUP($A133,Salta!$A$8:$O$291,5,FALSE))</f>
        <v>Abbocath N° 16</v>
      </c>
      <c r="N133" s="9" t="str">
        <f>IF(VLOOKUP($A133,Salta!$A$8:$O$291,7,FALSE)="","",VLOOKUP($A133,Salta!$A$8:$O$291,7,FALSE))</f>
        <v>Alta</v>
      </c>
      <c r="O133" s="9" t="str">
        <f>IF(VLOOKUP($A133,Salta!$A$8:$O$291,6,FALSE)="","",VLOOKUP($A133,Salta!$A$8:$O$291,6,FALSE))</f>
        <v>Coincidencia</v>
      </c>
      <c r="P133" s="24" t="str">
        <f>IF(VLOOKUP($A133,Neuquén!$A$8:$O$291,15,FALSE)="Homologado",VLOOKUP($A133,Neuquén!$A$8:$O$291,10,FALSE),"")</f>
        <v/>
      </c>
      <c r="Q133" s="24" t="str">
        <f>IF(VLOOKUP($A133,'San Juan'!$A$8:$O$291,15,FALSE)="Homologado",VLOOKUP($A133,'San Juan'!$A$8:$O$291,10,FALSE),"")</f>
        <v/>
      </c>
      <c r="R133" s="24" t="str">
        <f>IF(VLOOKUP($A133,Salta!$A$8:$O$291,15,FALSE)="Homologado",VLOOKUP($A133,Salta!$A$8:$O$291,10,FALSE),"")</f>
        <v/>
      </c>
      <c r="S133" s="24" t="str">
        <f>IF(VLOOKUP($A133,'Master vs SAP'!$A$8:$O$291,4,FALSE)="","",VLOOKUP($A133,'Master vs SAP'!$A$8:$O$291,4,FALSE))</f>
        <v>2000003
2001218</v>
      </c>
      <c r="T133" s="9" t="str">
        <f>IF(VLOOKUP($A133,'Master vs SAP'!$A$8:$O$291,5,FALSE)="","",VLOOKUP($A133,'Master vs SAP'!$A$8:$O$291,5,FALSE))</f>
        <v>CATETER INTRAVENOSO 16G T/ABBOCATH
CATETER IV N° 16</v>
      </c>
      <c r="U133" s="9" t="str">
        <f>IF(VLOOKUP($A133,'Master vs SAP'!$A$8:$O$291,7,FALSE)="","",VLOOKUP($A133,'Master vs SAP'!$A$8:$O$291,7,FALSE))</f>
        <v>Alta</v>
      </c>
      <c r="V133" s="9" t="str">
        <f>IF(VLOOKUP($A133,'Master vs SAP'!$A$8:$O$291,6,FALSE)="","",VLOOKUP($A133,'Master vs SAP'!$A$8:$O$291,6,FALSE))</f>
        <v>Coincidencia</v>
      </c>
      <c r="W133" s="24" t="str">
        <f>IF(VLOOKUP($A133,'Master vs SAP'!$A$8:$O$291,15,FALSE)="Homologado",VLOOKUP($A133,'Master vs SAP'!$A$8:$O$291,10,FALSE),"")</f>
        <v/>
      </c>
    </row>
    <row r="134" spans="1:23" ht="61.95" customHeight="1">
      <c r="A134" s="9" t="s">
        <v>361</v>
      </c>
      <c r="B134" s="9" t="s">
        <v>357</v>
      </c>
      <c r="C134" s="9" t="s">
        <v>362</v>
      </c>
      <c r="D134" s="24" t="str">
        <f>IF(VLOOKUP($A134,Neuquén!$A$8:$O$291,4,FALSE)="","",VLOOKUP($A134,Neuquén!$A$8:$O$291,4,FALSE))</f>
        <v>265</v>
      </c>
      <c r="E134" s="9" t="str">
        <f>IF(VLOOKUP($A134,Neuquén!$A$8:$O$291,5,FALSE)="","",VLOOKUP($A134,Neuquén!$A$8:$O$291,5,FALSE))</f>
        <v>Abocathn°18</v>
      </c>
      <c r="F134" s="9" t="str">
        <f>IF(VLOOKUP($A134,Neuquén!$A$8:$O$291,7,FALSE)="","",VLOOKUP($A134,Neuquén!$A$8:$O$291,7,FALSE))</f>
        <v>Alta</v>
      </c>
      <c r="G134" s="9" t="str">
        <f>IF(VLOOKUP($A134,Neuquén!$A$8:$O$291,6,FALSE)="","",VLOOKUP($A134,Neuquén!$A$8:$O$291,6,FALSE))</f>
        <v>Coincidencia por validar</v>
      </c>
      <c r="H134" s="24" t="str">
        <f>IF(VLOOKUP($A134,'San Juan'!$A$8:$O$291,4,FALSE)="","",VLOOKUP($A134,'San Juan'!$A$8:$O$291,4,FALSE))</f>
        <v/>
      </c>
      <c r="I134" s="9" t="str">
        <f>IF(VLOOKUP($A134,'San Juan'!$A$8:$O$291,5,FALSE)="","",VLOOKUP($A134,'San Juan'!$A$8:$O$291,5,FALSE))</f>
        <v/>
      </c>
      <c r="J134" s="9" t="str">
        <f>IF(VLOOKUP($A134,'San Juan'!$A$8:$O$291,7,FALSE)="","",VLOOKUP($A134,'San Juan'!$A$8:$O$291,7,FALSE))</f>
        <v>Sin coincidencia</v>
      </c>
      <c r="K134" s="9" t="str">
        <f>IF(VLOOKUP($A134,'San Juan'!$A$8:$O$291,6,FALSE)="","",VLOOKUP($A134,'San Juan'!$A$8:$O$291,6,FALSE))</f>
        <v>Sin código encontrado</v>
      </c>
      <c r="L134" s="24" t="str">
        <f>IF(VLOOKUP($A134,Salta!$A$8:$O$291,4,FALSE)="","",VLOOKUP($A134,Salta!$A$8:$O$291,4,FALSE))</f>
        <v>3</v>
      </c>
      <c r="M134" s="9" t="str">
        <f>IF(VLOOKUP($A134,Salta!$A$8:$O$291,5,FALSE)="","",VLOOKUP($A134,Salta!$A$8:$O$291,5,FALSE))</f>
        <v>Abbocath N° 18</v>
      </c>
      <c r="N134" s="9" t="str">
        <f>IF(VLOOKUP($A134,Salta!$A$8:$O$291,7,FALSE)="","",VLOOKUP($A134,Salta!$A$8:$O$291,7,FALSE))</f>
        <v>Alta</v>
      </c>
      <c r="O134" s="9" t="str">
        <f>IF(VLOOKUP($A134,Salta!$A$8:$O$291,6,FALSE)="","",VLOOKUP($A134,Salta!$A$8:$O$291,6,FALSE))</f>
        <v>Coincidencia</v>
      </c>
      <c r="P134" s="24" t="str">
        <f>IF(VLOOKUP($A134,Neuquén!$A$8:$O$291,15,FALSE)="Homologado",VLOOKUP($A134,Neuquén!$A$8:$O$291,10,FALSE),"")</f>
        <v/>
      </c>
      <c r="Q134" s="24" t="str">
        <f>IF(VLOOKUP($A134,'San Juan'!$A$8:$O$291,15,FALSE)="Homologado",VLOOKUP($A134,'San Juan'!$A$8:$O$291,10,FALSE),"")</f>
        <v/>
      </c>
      <c r="R134" s="24" t="str">
        <f>IF(VLOOKUP($A134,Salta!$A$8:$O$291,15,FALSE)="Homologado",VLOOKUP($A134,Salta!$A$8:$O$291,10,FALSE),"")</f>
        <v/>
      </c>
      <c r="S134" s="24" t="str">
        <f>IF(VLOOKUP($A134,'Master vs SAP'!$A$8:$O$291,4,FALSE)="","",VLOOKUP($A134,'Master vs SAP'!$A$8:$O$291,4,FALSE))</f>
        <v>2000004</v>
      </c>
      <c r="T134" s="9" t="str">
        <f>IF(VLOOKUP($A134,'Master vs SAP'!$A$8:$O$291,5,FALSE)="","",VLOOKUP($A134,'Master vs SAP'!$A$8:$O$291,5,FALSE))</f>
        <v>CATETER INTRAVENOSO 18G T/ABBOCATH</v>
      </c>
      <c r="U134" s="9" t="str">
        <f>IF(VLOOKUP($A134,'Master vs SAP'!$A$8:$O$291,7,FALSE)="","",VLOOKUP($A134,'Master vs SAP'!$A$8:$O$291,7,FALSE))</f>
        <v>Alta</v>
      </c>
      <c r="V134" s="9" t="str">
        <f>IF(VLOOKUP($A134,'Master vs SAP'!$A$8:$O$291,6,FALSE)="","",VLOOKUP($A134,'Master vs SAP'!$A$8:$O$291,6,FALSE))</f>
        <v>Coincidencia</v>
      </c>
      <c r="W134" s="24" t="str">
        <f>IF(VLOOKUP($A134,'Master vs SAP'!$A$8:$O$291,15,FALSE)="Homologado",VLOOKUP($A134,'Master vs SAP'!$A$8:$O$291,10,FALSE),"")</f>
        <v/>
      </c>
    </row>
    <row r="135" spans="1:23" ht="61.95" customHeight="1">
      <c r="A135" s="9" t="s">
        <v>363</v>
      </c>
      <c r="B135" s="9" t="s">
        <v>357</v>
      </c>
      <c r="C135" s="9" t="s">
        <v>364</v>
      </c>
      <c r="D135" s="24" t="str">
        <f>IF(VLOOKUP($A135,Neuquén!$A$8:$O$291,4,FALSE)="","",VLOOKUP($A135,Neuquén!$A$8:$O$291,4,FALSE))</f>
        <v>266</v>
      </c>
      <c r="E135" s="9" t="str">
        <f>IF(VLOOKUP($A135,Neuquén!$A$8:$O$291,5,FALSE)="","",VLOOKUP($A135,Neuquén!$A$8:$O$291,5,FALSE))</f>
        <v>Abocathn°20</v>
      </c>
      <c r="F135" s="9" t="str">
        <f>IF(VLOOKUP($A135,Neuquén!$A$8:$O$291,7,FALSE)="","",VLOOKUP($A135,Neuquén!$A$8:$O$291,7,FALSE))</f>
        <v>Alta</v>
      </c>
      <c r="G135" s="9" t="str">
        <f>IF(VLOOKUP($A135,Neuquén!$A$8:$O$291,6,FALSE)="","",VLOOKUP($A135,Neuquén!$A$8:$O$291,6,FALSE))</f>
        <v>Coincidencia por validar</v>
      </c>
      <c r="H135" s="24" t="str">
        <f>IF(VLOOKUP($A135,'San Juan'!$A$8:$O$291,4,FALSE)="","",VLOOKUP($A135,'San Juan'!$A$8:$O$291,4,FALSE))</f>
        <v>DESC4</v>
      </c>
      <c r="I135" s="9" t="str">
        <f>IF(VLOOKUP($A135,'San Juan'!$A$8:$O$291,5,FALSE)="","",VLOOKUP($A135,'San Juan'!$A$8:$O$291,5,FALSE))</f>
        <v>Abbocath Nº 20</v>
      </c>
      <c r="J135" s="9" t="str">
        <f>IF(VLOOKUP($A135,'San Juan'!$A$8:$O$291,7,FALSE)="","",VLOOKUP($A135,'San Juan'!$A$8:$O$291,7,FALSE))</f>
        <v>Alta</v>
      </c>
      <c r="K135" s="9" t="str">
        <f>IF(VLOOKUP($A135,'San Juan'!$A$8:$O$291,6,FALSE)="","",VLOOKUP($A135,'San Juan'!$A$8:$O$291,6,FALSE))</f>
        <v>Coincidencia por validar</v>
      </c>
      <c r="L135" s="24" t="str">
        <f>IF(VLOOKUP($A135,Salta!$A$8:$O$291,4,FALSE)="","",VLOOKUP($A135,Salta!$A$8:$O$291,4,FALSE))</f>
        <v>4</v>
      </c>
      <c r="M135" s="9" t="str">
        <f>IF(VLOOKUP($A135,Salta!$A$8:$O$291,5,FALSE)="","",VLOOKUP($A135,Salta!$A$8:$O$291,5,FALSE))</f>
        <v>Abbocath N° 20</v>
      </c>
      <c r="N135" s="9" t="str">
        <f>IF(VLOOKUP($A135,Salta!$A$8:$O$291,7,FALSE)="","",VLOOKUP($A135,Salta!$A$8:$O$291,7,FALSE))</f>
        <v>Alta</v>
      </c>
      <c r="O135" s="9" t="str">
        <f>IF(VLOOKUP($A135,Salta!$A$8:$O$291,6,FALSE)="","",VLOOKUP($A135,Salta!$A$8:$O$291,6,FALSE))</f>
        <v>Coincidencia</v>
      </c>
      <c r="P135" s="24" t="str">
        <f>IF(VLOOKUP($A135,Neuquén!$A$8:$O$291,15,FALSE)="Homologado",VLOOKUP($A135,Neuquén!$A$8:$O$291,10,FALSE),"")</f>
        <v/>
      </c>
      <c r="Q135" s="24" t="str">
        <f>IF(VLOOKUP($A135,'San Juan'!$A$8:$O$291,15,FALSE)="Homologado",VLOOKUP($A135,'San Juan'!$A$8:$O$291,10,FALSE),"")</f>
        <v/>
      </c>
      <c r="R135" s="24" t="str">
        <f>IF(VLOOKUP($A135,Salta!$A$8:$O$291,15,FALSE)="Homologado",VLOOKUP($A135,Salta!$A$8:$O$291,10,FALSE),"")</f>
        <v/>
      </c>
      <c r="S135" s="24" t="str">
        <f>IF(VLOOKUP($A135,'Master vs SAP'!$A$8:$O$291,4,FALSE)="","",VLOOKUP($A135,'Master vs SAP'!$A$8:$O$291,4,FALSE))</f>
        <v>2000005</v>
      </c>
      <c r="T135" s="9" t="str">
        <f>IF(VLOOKUP($A135,'Master vs SAP'!$A$8:$O$291,5,FALSE)="","",VLOOKUP($A135,'Master vs SAP'!$A$8:$O$291,5,FALSE))</f>
        <v>CATETER INTRAVENOSO 20G T/ABBOCATH</v>
      </c>
      <c r="U135" s="9" t="str">
        <f>IF(VLOOKUP($A135,'Master vs SAP'!$A$8:$O$291,7,FALSE)="","",VLOOKUP($A135,'Master vs SAP'!$A$8:$O$291,7,FALSE))</f>
        <v>Alta</v>
      </c>
      <c r="V135" s="9" t="str">
        <f>IF(VLOOKUP($A135,'Master vs SAP'!$A$8:$O$291,6,FALSE)="","",VLOOKUP($A135,'Master vs SAP'!$A$8:$O$291,6,FALSE))</f>
        <v>Coincidencia</v>
      </c>
      <c r="W135" s="24" t="str">
        <f>IF(VLOOKUP($A135,'Master vs SAP'!$A$8:$O$291,15,FALSE)="Homologado",VLOOKUP($A135,'Master vs SAP'!$A$8:$O$291,10,FALSE),"")</f>
        <v/>
      </c>
    </row>
    <row r="136" spans="1:23" ht="61.95" customHeight="1">
      <c r="A136" s="9" t="s">
        <v>365</v>
      </c>
      <c r="B136" s="9" t="s">
        <v>357</v>
      </c>
      <c r="C136" s="9" t="s">
        <v>366</v>
      </c>
      <c r="D136" s="24" t="str">
        <f>IF(VLOOKUP($A136,Neuquén!$A$8:$O$291,4,FALSE)="","",VLOOKUP($A136,Neuquén!$A$8:$O$291,4,FALSE))</f>
        <v>522</v>
      </c>
      <c r="E136" s="9" t="str">
        <f>IF(VLOOKUP($A136,Neuquén!$A$8:$O$291,5,FALSE)="","",VLOOKUP($A136,Neuquén!$A$8:$O$291,5,FALSE))</f>
        <v>Abbocath n° 22</v>
      </c>
      <c r="F136" s="9" t="str">
        <f>IF(VLOOKUP($A136,Neuquén!$A$8:$O$291,7,FALSE)="","",VLOOKUP($A136,Neuquén!$A$8:$O$291,7,FALSE))</f>
        <v>Baja</v>
      </c>
      <c r="G136" s="9" t="str">
        <f>IF(VLOOKUP($A136,Neuquén!$A$8:$O$291,6,FALSE)="","",VLOOKUP($A136,Neuquén!$A$8:$O$291,6,FALSE))</f>
        <v>Equivalencia a revisar</v>
      </c>
      <c r="H136" s="24" t="str">
        <f>IF(VLOOKUP($A136,'San Juan'!$A$8:$O$291,4,FALSE)="","",VLOOKUP($A136,'San Juan'!$A$8:$O$291,4,FALSE))</f>
        <v>DESC5</v>
      </c>
      <c r="I136" s="9" t="str">
        <f>IF(VLOOKUP($A136,'San Juan'!$A$8:$O$291,5,FALSE)="","",VLOOKUP($A136,'San Juan'!$A$8:$O$291,5,FALSE))</f>
        <v>Abbocath Nº 22</v>
      </c>
      <c r="J136" s="9" t="str">
        <f>IF(VLOOKUP($A136,'San Juan'!$A$8:$O$291,7,FALSE)="","",VLOOKUP($A136,'San Juan'!$A$8:$O$291,7,FALSE))</f>
        <v>Media</v>
      </c>
      <c r="K136" s="9" t="str">
        <f>IF(VLOOKUP($A136,'San Juan'!$A$8:$O$291,6,FALSE)="","",VLOOKUP($A136,'San Juan'!$A$8:$O$291,6,FALSE))</f>
        <v>Código compartido: revisar</v>
      </c>
      <c r="L136" s="24" t="str">
        <f>IF(VLOOKUP($A136,Salta!$A$8:$O$291,4,FALSE)="","",VLOOKUP($A136,Salta!$A$8:$O$291,4,FALSE))</f>
        <v>5</v>
      </c>
      <c r="M136" s="9" t="str">
        <f>IF(VLOOKUP($A136,Salta!$A$8:$O$291,5,FALSE)="","",VLOOKUP($A136,Salta!$A$8:$O$291,5,FALSE))</f>
        <v>Abbocath N° 22</v>
      </c>
      <c r="N136" s="9" t="str">
        <f>IF(VLOOKUP($A136,Salta!$A$8:$O$291,7,FALSE)="","",VLOOKUP($A136,Salta!$A$8:$O$291,7,FALSE))</f>
        <v>Alta</v>
      </c>
      <c r="O136" s="9" t="str">
        <f>IF(VLOOKUP($A136,Salta!$A$8:$O$291,6,FALSE)="","",VLOOKUP($A136,Salta!$A$8:$O$291,6,FALSE))</f>
        <v>Coincidencia</v>
      </c>
      <c r="P136" s="24" t="str">
        <f>IF(VLOOKUP($A136,Neuquén!$A$8:$O$291,15,FALSE)="Homologado",VLOOKUP($A136,Neuquén!$A$8:$O$291,10,FALSE),"")</f>
        <v/>
      </c>
      <c r="Q136" s="24" t="str">
        <f>IF(VLOOKUP($A136,'San Juan'!$A$8:$O$291,15,FALSE)="Homologado",VLOOKUP($A136,'San Juan'!$A$8:$O$291,10,FALSE),"")</f>
        <v/>
      </c>
      <c r="R136" s="24" t="str">
        <f>IF(VLOOKUP($A136,Salta!$A$8:$O$291,15,FALSE)="Homologado",VLOOKUP($A136,Salta!$A$8:$O$291,10,FALSE),"")</f>
        <v/>
      </c>
      <c r="S136" s="24" t="str">
        <f>IF(VLOOKUP($A136,'Master vs SAP'!$A$8:$O$291,4,FALSE)="","",VLOOKUP($A136,'Master vs SAP'!$A$8:$O$291,4,FALSE))</f>
        <v>2000006</v>
      </c>
      <c r="T136" s="9" t="str">
        <f>IF(VLOOKUP($A136,'Master vs SAP'!$A$8:$O$291,5,FALSE)="","",VLOOKUP($A136,'Master vs SAP'!$A$8:$O$291,5,FALSE))</f>
        <v>CATETER INTRAVENOSO 22G T/ABBOCATH</v>
      </c>
      <c r="U136" s="9" t="str">
        <f>IF(VLOOKUP($A136,'Master vs SAP'!$A$8:$O$291,7,FALSE)="","",VLOOKUP($A136,'Master vs SAP'!$A$8:$O$291,7,FALSE))</f>
        <v>Alta</v>
      </c>
      <c r="V136" s="9" t="str">
        <f>IF(VLOOKUP($A136,'Master vs SAP'!$A$8:$O$291,6,FALSE)="","",VLOOKUP($A136,'Master vs SAP'!$A$8:$O$291,6,FALSE))</f>
        <v>Coincidencia</v>
      </c>
      <c r="W136" s="24" t="str">
        <f>IF(VLOOKUP($A136,'Master vs SAP'!$A$8:$O$291,15,FALSE)="Homologado",VLOOKUP($A136,'Master vs SAP'!$A$8:$O$291,10,FALSE),"")</f>
        <v/>
      </c>
    </row>
    <row r="137" spans="1:23" ht="61.95" customHeight="1">
      <c r="A137" s="9" t="s">
        <v>367</v>
      </c>
      <c r="B137" s="9" t="s">
        <v>357</v>
      </c>
      <c r="C137" s="9" t="s">
        <v>368</v>
      </c>
      <c r="D137" s="24" t="str">
        <f>IF(VLOOKUP($A137,Neuquén!$A$8:$O$291,4,FALSE)="","",VLOOKUP($A137,Neuquén!$A$8:$O$291,4,FALSE))</f>
        <v>556</v>
      </c>
      <c r="E137" s="9" t="str">
        <f>IF(VLOOKUP($A137,Neuquén!$A$8:$O$291,5,FALSE)="","",VLOOKUP($A137,Neuquén!$A$8:$O$291,5,FALSE))</f>
        <v>Llave de 3 vías</v>
      </c>
      <c r="F137" s="9" t="str">
        <f>IF(VLOOKUP($A137,Neuquén!$A$8:$O$291,7,FALSE)="","",VLOOKUP($A137,Neuquén!$A$8:$O$291,7,FALSE))</f>
        <v>Sin coincidencia</v>
      </c>
      <c r="G137" s="9" t="str">
        <f>IF(VLOOKUP($A137,Neuquén!$A$8:$O$291,6,FALSE)="","",VLOOKUP($A137,Neuquén!$A$8:$O$291,6,FALSE))</f>
        <v>Código sin equivalencia validada</v>
      </c>
      <c r="H137" s="24" t="str">
        <f>IF(VLOOKUP($A137,'San Juan'!$A$8:$O$291,4,FALSE)="","",VLOOKUP($A137,'San Juan'!$A$8:$O$291,4,FALSE))</f>
        <v>DESC84</v>
      </c>
      <c r="I137" s="9" t="str">
        <f>IF(VLOOKUP($A137,'San Juan'!$A$8:$O$291,5,FALSE)="","",VLOOKUP($A137,'San Juan'!$A$8:$O$291,5,FALSE))</f>
        <v>Llave de 3 vías</v>
      </c>
      <c r="J137" s="9" t="str">
        <f>IF(VLOOKUP($A137,'San Juan'!$A$8:$O$291,7,FALSE)="","",VLOOKUP($A137,'San Juan'!$A$8:$O$291,7,FALSE))</f>
        <v>Alta</v>
      </c>
      <c r="K137" s="9" t="str">
        <f>IF(VLOOKUP($A137,'San Juan'!$A$8:$O$291,6,FALSE)="","",VLOOKUP($A137,'San Juan'!$A$8:$O$291,6,FALSE))</f>
        <v>Coincidencia por validar</v>
      </c>
      <c r="L137" s="24" t="str">
        <f>IF(VLOOKUP($A137,Salta!$A$8:$O$291,4,FALSE)="","",VLOOKUP($A137,Salta!$A$8:$O$291,4,FALSE))</f>
        <v>171</v>
      </c>
      <c r="M137" s="9" t="str">
        <f>IF(VLOOKUP($A137,Salta!$A$8:$O$291,5,FALSE)="","",VLOOKUP($A137,Salta!$A$8:$O$291,5,FALSE))</f>
        <v>Llave de 3 vias</v>
      </c>
      <c r="N137" s="9" t="str">
        <f>IF(VLOOKUP($A137,Salta!$A$8:$O$291,7,FALSE)="","",VLOOKUP($A137,Salta!$A$8:$O$291,7,FALSE))</f>
        <v>Alta</v>
      </c>
      <c r="O137" s="9" t="str">
        <f>IF(VLOOKUP($A137,Salta!$A$8:$O$291,6,FALSE)="","",VLOOKUP($A137,Salta!$A$8:$O$291,6,FALSE))</f>
        <v>Coincidencia</v>
      </c>
      <c r="P137" s="24" t="str">
        <f>IF(VLOOKUP($A137,Neuquén!$A$8:$O$291,15,FALSE)="Homologado",VLOOKUP($A137,Neuquén!$A$8:$O$291,10,FALSE),"")</f>
        <v/>
      </c>
      <c r="Q137" s="24" t="str">
        <f>IF(VLOOKUP($A137,'San Juan'!$A$8:$O$291,15,FALSE)="Homologado",VLOOKUP($A137,'San Juan'!$A$8:$O$291,10,FALSE),"")</f>
        <v/>
      </c>
      <c r="R137" s="24" t="str">
        <f>IF(VLOOKUP($A137,Salta!$A$8:$O$291,15,FALSE)="Homologado",VLOOKUP($A137,Salta!$A$8:$O$291,10,FALSE),"")</f>
        <v/>
      </c>
      <c r="S137" s="24" t="str">
        <f>IF(VLOOKUP($A137,'Master vs SAP'!$A$8:$O$291,4,FALSE)="","",VLOOKUP($A137,'Master vs SAP'!$A$8:$O$291,4,FALSE))</f>
        <v>2000060</v>
      </c>
      <c r="T137" s="9" t="str">
        <f>IF(VLOOKUP($A137,'Master vs SAP'!$A$8:$O$291,5,FALSE)="","",VLOOKUP($A137,'Master vs SAP'!$A$8:$O$291,5,FALSE))</f>
        <v>LLAVE DE 3 VIAS</v>
      </c>
      <c r="U137" s="9" t="str">
        <f>IF(VLOOKUP($A137,'Master vs SAP'!$A$8:$O$291,7,FALSE)="","",VLOOKUP($A137,'Master vs SAP'!$A$8:$O$291,7,FALSE))</f>
        <v>Alta</v>
      </c>
      <c r="V137" s="9" t="str">
        <f>IF(VLOOKUP($A137,'Master vs SAP'!$A$8:$O$291,6,FALSE)="","",VLOOKUP($A137,'Master vs SAP'!$A$8:$O$291,6,FALSE))</f>
        <v>Coincidencia</v>
      </c>
      <c r="W137" s="24" t="str">
        <f>IF(VLOOKUP($A137,'Master vs SAP'!$A$8:$O$291,15,FALSE)="Homologado",VLOOKUP($A137,'Master vs SAP'!$A$8:$O$291,10,FALSE),"")</f>
        <v/>
      </c>
    </row>
    <row r="138" spans="1:23" ht="61.95" customHeight="1">
      <c r="A138" s="9" t="s">
        <v>369</v>
      </c>
      <c r="B138" s="9" t="s">
        <v>357</v>
      </c>
      <c r="C138" s="9" t="s">
        <v>370</v>
      </c>
      <c r="D138" s="24" t="str">
        <f>IF(VLOOKUP($A138,Neuquén!$A$8:$O$291,4,FALSE)="","",VLOOKUP($A138,Neuquén!$A$8:$O$291,4,FALSE))</f>
        <v>278</v>
      </c>
      <c r="E138" s="9" t="str">
        <f>IF(VLOOKUP($A138,Neuquén!$A$8:$O$291,5,FALSE)="","",VLOOKUP($A138,Neuquén!$A$8:$O$291,5,FALSE))</f>
        <v>GUIAMACROGOTEROV13/14</v>
      </c>
      <c r="F138" s="9" t="str">
        <f>IF(VLOOKUP($A138,Neuquén!$A$8:$O$291,7,FALSE)="","",VLOOKUP($A138,Neuquén!$A$8:$O$291,7,FALSE))</f>
        <v>Media</v>
      </c>
      <c r="G138" s="9" t="str">
        <f>IF(VLOOKUP($A138,Neuquén!$A$8:$O$291,6,FALSE)="","",VLOOKUP($A138,Neuquén!$A$8:$O$291,6,FALSE))</f>
        <v>Código compartido: revisar</v>
      </c>
      <c r="H138" s="24" t="str">
        <f>IF(VLOOKUP($A138,'San Juan'!$A$8:$O$291,4,FALSE)="","",VLOOKUP($A138,'San Juan'!$A$8:$O$291,4,FALSE))</f>
        <v>DESC73</v>
      </c>
      <c r="I138" s="9" t="str">
        <f>IF(VLOOKUP($A138,'San Juan'!$A$8:$O$291,5,FALSE)="","",VLOOKUP($A138,'San Juan'!$A$8:$O$291,5,FALSE))</f>
        <v>Guia Macrogotero</v>
      </c>
      <c r="J138" s="9" t="str">
        <f>IF(VLOOKUP($A138,'San Juan'!$A$8:$O$291,7,FALSE)="","",VLOOKUP($A138,'San Juan'!$A$8:$O$291,7,FALSE))</f>
        <v>Media</v>
      </c>
      <c r="K138" s="9" t="str">
        <f>IF(VLOOKUP($A138,'San Juan'!$A$8:$O$291,6,FALSE)="","",VLOOKUP($A138,'San Juan'!$A$8:$O$291,6,FALSE))</f>
        <v>Código compartido: revisar</v>
      </c>
      <c r="L138" s="24" t="str">
        <f>IF(VLOOKUP($A138,Salta!$A$8:$O$291,4,FALSE)="","",VLOOKUP($A138,Salta!$A$8:$O$291,4,FALSE))</f>
        <v>139</v>
      </c>
      <c r="M138" s="9" t="str">
        <f>IF(VLOOKUP($A138,Salta!$A$8:$O$291,5,FALSE)="","",VLOOKUP($A138,Salta!$A$8:$O$291,5,FALSE))</f>
        <v>Guia Macrogotero</v>
      </c>
      <c r="N138" s="9" t="str">
        <f>IF(VLOOKUP($A138,Salta!$A$8:$O$291,7,FALSE)="","",VLOOKUP($A138,Salta!$A$8:$O$291,7,FALSE))</f>
        <v>Alta</v>
      </c>
      <c r="O138" s="9" t="str">
        <f>IF(VLOOKUP($A138,Salta!$A$8:$O$291,6,FALSE)="","",VLOOKUP($A138,Salta!$A$8:$O$291,6,FALSE))</f>
        <v>Coincidencia</v>
      </c>
      <c r="P138" s="24" t="str">
        <f>IF(VLOOKUP($A138,Neuquén!$A$8:$O$291,15,FALSE)="Homologado",VLOOKUP($A138,Neuquén!$A$8:$O$291,10,FALSE),"")</f>
        <v/>
      </c>
      <c r="Q138" s="24" t="str">
        <f>IF(VLOOKUP($A138,'San Juan'!$A$8:$O$291,15,FALSE)="Homologado",VLOOKUP($A138,'San Juan'!$A$8:$O$291,10,FALSE),"")</f>
        <v/>
      </c>
      <c r="R138" s="24" t="str">
        <f>IF(VLOOKUP($A138,Salta!$A$8:$O$291,15,FALSE)="Homologado",VLOOKUP($A138,Salta!$A$8:$O$291,10,FALSE),"")</f>
        <v/>
      </c>
      <c r="S138" s="24" t="str">
        <f>IF(VLOOKUP($A138,'Master vs SAP'!$A$8:$O$291,4,FALSE)="","",VLOOKUP($A138,'Master vs SAP'!$A$8:$O$291,4,FALSE))</f>
        <v>2000023</v>
      </c>
      <c r="T138" s="9" t="str">
        <f>IF(VLOOKUP($A138,'Master vs SAP'!$A$8:$O$291,5,FALSE)="","",VLOOKUP($A138,'Master vs SAP'!$A$8:$O$291,5,FALSE))</f>
        <v>GUIA MACROGOTERO Nª14</v>
      </c>
      <c r="U138" s="9" t="str">
        <f>IF(VLOOKUP($A138,'Master vs SAP'!$A$8:$O$291,7,FALSE)="","",VLOOKUP($A138,'Master vs SAP'!$A$8:$O$291,7,FALSE))</f>
        <v>Alta</v>
      </c>
      <c r="V138" s="9" t="str">
        <f>IF(VLOOKUP($A138,'Master vs SAP'!$A$8:$O$291,6,FALSE)="","",VLOOKUP($A138,'Master vs SAP'!$A$8:$O$291,6,FALSE))</f>
        <v>Coincidencia</v>
      </c>
      <c r="W138" s="24" t="str">
        <f>IF(VLOOKUP($A138,'Master vs SAP'!$A$8:$O$291,15,FALSE)="Homologado",VLOOKUP($A138,'Master vs SAP'!$A$8:$O$291,10,FALSE),"")</f>
        <v/>
      </c>
    </row>
    <row r="139" spans="1:23" ht="61.95" customHeight="1">
      <c r="A139" s="9" t="s">
        <v>371</v>
      </c>
      <c r="B139" s="9" t="s">
        <v>357</v>
      </c>
      <c r="C139" s="9" t="s">
        <v>372</v>
      </c>
      <c r="D139" s="24" t="str">
        <f>IF(VLOOKUP($A139,Neuquén!$A$8:$O$291,4,FALSE)="","",VLOOKUP($A139,Neuquén!$A$8:$O$291,4,FALSE))</f>
        <v>278</v>
      </c>
      <c r="E139" s="9" t="str">
        <f>IF(VLOOKUP($A139,Neuquén!$A$8:$O$291,5,FALSE)="","",VLOOKUP($A139,Neuquén!$A$8:$O$291,5,FALSE))</f>
        <v>GUIAMACROGOTEROV13/14</v>
      </c>
      <c r="F139" s="9" t="str">
        <f>IF(VLOOKUP($A139,Neuquén!$A$8:$O$291,7,FALSE)="","",VLOOKUP($A139,Neuquén!$A$8:$O$291,7,FALSE))</f>
        <v>Baja</v>
      </c>
      <c r="G139" s="9" t="str">
        <f>IF(VLOOKUP($A139,Neuquén!$A$8:$O$291,6,FALSE)="","",VLOOKUP($A139,Neuquén!$A$8:$O$291,6,FALSE))</f>
        <v>Variante distinta</v>
      </c>
      <c r="H139" s="24" t="str">
        <f>IF(VLOOKUP($A139,'San Juan'!$A$8:$O$291,4,FALSE)="","",VLOOKUP($A139,'San Juan'!$A$8:$O$291,4,FALSE))</f>
        <v>DESC73</v>
      </c>
      <c r="I139" s="9" t="str">
        <f>IF(VLOOKUP($A139,'San Juan'!$A$8:$O$291,5,FALSE)="","",VLOOKUP($A139,'San Juan'!$A$8:$O$291,5,FALSE))</f>
        <v>Guia Macrogotero</v>
      </c>
      <c r="J139" s="9" t="str">
        <f>IF(VLOOKUP($A139,'San Juan'!$A$8:$O$291,7,FALSE)="","",VLOOKUP($A139,'San Juan'!$A$8:$O$291,7,FALSE))</f>
        <v>Baja</v>
      </c>
      <c r="K139" s="9" t="str">
        <f>IF(VLOOKUP($A139,'San Juan'!$A$8:$O$291,6,FALSE)="","",VLOOKUP($A139,'San Juan'!$A$8:$O$291,6,FALSE))</f>
        <v>Variante distinta</v>
      </c>
      <c r="L139" s="24" t="str">
        <f>IF(VLOOKUP($A139,Salta!$A$8:$O$291,4,FALSE)="","",VLOOKUP($A139,Salta!$A$8:$O$291,4,FALSE))</f>
        <v>140</v>
      </c>
      <c r="M139" s="9" t="str">
        <f>IF(VLOOKUP($A139,Salta!$A$8:$O$291,5,FALSE)="","",VLOOKUP($A139,Salta!$A$8:$O$291,5,FALSE))</f>
        <v>Guia Microgotero</v>
      </c>
      <c r="N139" s="9" t="str">
        <f>IF(VLOOKUP($A139,Salta!$A$8:$O$291,7,FALSE)="","",VLOOKUP($A139,Salta!$A$8:$O$291,7,FALSE))</f>
        <v>Alta</v>
      </c>
      <c r="O139" s="9" t="str">
        <f>IF(VLOOKUP($A139,Salta!$A$8:$O$291,6,FALSE)="","",VLOOKUP($A139,Salta!$A$8:$O$291,6,FALSE))</f>
        <v>Coincidencia</v>
      </c>
      <c r="P139" s="24" t="str">
        <f>IF(VLOOKUP($A139,Neuquén!$A$8:$O$291,15,FALSE)="Homologado",VLOOKUP($A139,Neuquén!$A$8:$O$291,10,FALSE),"")</f>
        <v/>
      </c>
      <c r="Q139" s="24" t="str">
        <f>IF(VLOOKUP($A139,'San Juan'!$A$8:$O$291,15,FALSE)="Homologado",VLOOKUP($A139,'San Juan'!$A$8:$O$291,10,FALSE),"")</f>
        <v/>
      </c>
      <c r="R139" s="24" t="str">
        <f>IF(VLOOKUP($A139,Salta!$A$8:$O$291,15,FALSE)="Homologado",VLOOKUP($A139,Salta!$A$8:$O$291,10,FALSE),"")</f>
        <v/>
      </c>
      <c r="S139" s="24" t="str">
        <f>IF(VLOOKUP($A139,'Master vs SAP'!$A$8:$O$291,4,FALSE)="","",VLOOKUP($A139,'Master vs SAP'!$A$8:$O$291,4,FALSE))</f>
        <v>2000024</v>
      </c>
      <c r="T139" s="9" t="str">
        <f>IF(VLOOKUP($A139,'Master vs SAP'!$A$8:$O$291,5,FALSE)="","",VLOOKUP($A139,'Master vs SAP'!$A$8:$O$291,5,FALSE))</f>
        <v>GUIA MICROGOTERO Nº17</v>
      </c>
      <c r="U139" s="9" t="str">
        <f>IF(VLOOKUP($A139,'Master vs SAP'!$A$8:$O$291,7,FALSE)="","",VLOOKUP($A139,'Master vs SAP'!$A$8:$O$291,7,FALSE))</f>
        <v>Alta</v>
      </c>
      <c r="V139" s="9" t="str">
        <f>IF(VLOOKUP($A139,'Master vs SAP'!$A$8:$O$291,6,FALSE)="","",VLOOKUP($A139,'Master vs SAP'!$A$8:$O$291,6,FALSE))</f>
        <v>Coincidencia</v>
      </c>
      <c r="W139" s="24" t="str">
        <f>IF(VLOOKUP($A139,'Master vs SAP'!$A$8:$O$291,15,FALSE)="Homologado",VLOOKUP($A139,'Master vs SAP'!$A$8:$O$291,10,FALSE),"")</f>
        <v/>
      </c>
    </row>
    <row r="140" spans="1:23" ht="61.95" customHeight="1">
      <c r="A140" s="9" t="s">
        <v>373</v>
      </c>
      <c r="B140" s="9" t="s">
        <v>357</v>
      </c>
      <c r="C140" s="9" t="s">
        <v>374</v>
      </c>
      <c r="D140" s="24" t="str">
        <f>IF(VLOOKUP($A140,Neuquén!$A$8:$O$291,4,FALSE)="","",VLOOKUP($A140,Neuquén!$A$8:$O$291,4,FALSE))</f>
        <v>555</v>
      </c>
      <c r="E140" s="9" t="str">
        <f>IF(VLOOKUP($A140,Neuquén!$A$8:$O$291,5,FALSE)="","",VLOOKUP($A140,Neuquén!$A$8:$O$291,5,FALSE))</f>
        <v>Aguja butterfly</v>
      </c>
      <c r="F140" s="9" t="str">
        <f>IF(VLOOKUP($A140,Neuquén!$A$8:$O$291,7,FALSE)="","",VLOOKUP($A140,Neuquén!$A$8:$O$291,7,FALSE))</f>
        <v>Sin coincidencia</v>
      </c>
      <c r="G140" s="9" t="str">
        <f>IF(VLOOKUP($A140,Neuquén!$A$8:$O$291,6,FALSE)="","",VLOOKUP($A140,Neuquén!$A$8:$O$291,6,FALSE))</f>
        <v>Código sin equivalencia validada</v>
      </c>
      <c r="H140" s="24" t="str">
        <f>IF(VLOOKUP($A140,'San Juan'!$A$8:$O$291,4,FALSE)="","",VLOOKUP($A140,'San Juan'!$A$8:$O$291,4,FALSE))</f>
        <v/>
      </c>
      <c r="I140" s="9" t="str">
        <f>IF(VLOOKUP($A140,'San Juan'!$A$8:$O$291,5,FALSE)="","",VLOOKUP($A140,'San Juan'!$A$8:$O$291,5,FALSE))</f>
        <v/>
      </c>
      <c r="J140" s="9" t="str">
        <f>IF(VLOOKUP($A140,'San Juan'!$A$8:$O$291,7,FALSE)="","",VLOOKUP($A140,'San Juan'!$A$8:$O$291,7,FALSE))</f>
        <v>Sin coincidencia</v>
      </c>
      <c r="K140" s="9" t="str">
        <f>IF(VLOOKUP($A140,'San Juan'!$A$8:$O$291,6,FALSE)="","",VLOOKUP($A140,'San Juan'!$A$8:$O$291,6,FALSE))</f>
        <v>Sin código encontrado</v>
      </c>
      <c r="L140" s="24" t="str">
        <f>IF(VLOOKUP($A140,Salta!$A$8:$O$291,4,FALSE)="","",VLOOKUP($A140,Salta!$A$8:$O$291,4,FALSE))</f>
        <v>270</v>
      </c>
      <c r="M140" s="9" t="str">
        <f>IF(VLOOKUP($A140,Salta!$A$8:$O$291,5,FALSE)="","",VLOOKUP($A140,Salta!$A$8:$O$291,5,FALSE))</f>
        <v>Agujas epicraneales N°27</v>
      </c>
      <c r="N140" s="9" t="str">
        <f>IF(VLOOKUP($A140,Salta!$A$8:$O$291,7,FALSE)="","",VLOOKUP($A140,Salta!$A$8:$O$291,7,FALSE))</f>
        <v>Baja</v>
      </c>
      <c r="O140" s="9" t="str">
        <f>IF(VLOOKUP($A140,Salta!$A$8:$O$291,6,FALSE)="","",VLOOKUP($A140,Salta!$A$8:$O$291,6,FALSE))</f>
        <v>Revisar presentación</v>
      </c>
      <c r="P140" s="24" t="str">
        <f>IF(VLOOKUP($A140,Neuquén!$A$8:$O$291,15,FALSE)="Homologado",VLOOKUP($A140,Neuquén!$A$8:$O$291,10,FALSE),"")</f>
        <v/>
      </c>
      <c r="Q140" s="24" t="str">
        <f>IF(VLOOKUP($A140,'San Juan'!$A$8:$O$291,15,FALSE)="Homologado",VLOOKUP($A140,'San Juan'!$A$8:$O$291,10,FALSE),"")</f>
        <v/>
      </c>
      <c r="R140" s="24" t="str">
        <f>IF(VLOOKUP($A140,Salta!$A$8:$O$291,15,FALSE)="Homologado",VLOOKUP($A140,Salta!$A$8:$O$291,10,FALSE),"")</f>
        <v/>
      </c>
      <c r="S140" s="24" t="str">
        <f>IF(VLOOKUP($A140,'Master vs SAP'!$A$8:$O$291,4,FALSE)="","",VLOOKUP($A140,'Master vs SAP'!$A$8:$O$291,4,FALSE))</f>
        <v>2000044
2000045</v>
      </c>
      <c r="T140" s="9" t="str">
        <f>IF(VLOOKUP($A140,'Master vs SAP'!$A$8:$O$291,5,FALSE)="","",VLOOKUP($A140,'Master vs SAP'!$A$8:$O$291,5,FALSE))</f>
        <v>AGUJA PERICRANEAL 21G T/BUTTERFLY
AGUJA PERICRANEAL 23G T/BUTTERFLY</v>
      </c>
      <c r="U140" s="9" t="str">
        <f>IF(VLOOKUP($A140,'Master vs SAP'!$A$8:$O$291,7,FALSE)="","",VLOOKUP($A140,'Master vs SAP'!$A$8:$O$291,7,FALSE))</f>
        <v>Media</v>
      </c>
      <c r="V140" s="9" t="str">
        <f>IF(VLOOKUP($A140,'Master vs SAP'!$A$8:$O$291,6,FALSE)="","",VLOOKUP($A140,'Master vs SAP'!$A$8:$O$291,6,FALSE))</f>
        <v>Revisar grupo</v>
      </c>
      <c r="W140" s="24" t="str">
        <f>IF(VLOOKUP($A140,'Master vs SAP'!$A$8:$O$291,15,FALSE)="Homologado",VLOOKUP($A140,'Master vs SAP'!$A$8:$O$291,10,FALSE),"")</f>
        <v/>
      </c>
    </row>
    <row r="141" spans="1:23" ht="61.95" customHeight="1">
      <c r="A141" s="9" t="s">
        <v>375</v>
      </c>
      <c r="B141" s="9" t="s">
        <v>357</v>
      </c>
      <c r="C141" s="9" t="s">
        <v>376</v>
      </c>
      <c r="D141" s="24" t="str">
        <f>IF(VLOOKUP($A141,Neuquén!$A$8:$O$291,4,FALSE)="","",VLOOKUP($A141,Neuquén!$A$8:$O$291,4,FALSE))</f>
        <v>302</v>
      </c>
      <c r="E141" s="9" t="str">
        <f>IF(VLOOKUP($A141,Neuquén!$A$8:$O$291,5,FALSE)="","",VLOOKUP($A141,Neuquén!$A$8:$O$291,5,FALSE))</f>
        <v>JERINGAS1ML</v>
      </c>
      <c r="F141" s="9" t="str">
        <f>IF(VLOOKUP($A141,Neuquén!$A$8:$O$291,7,FALSE)="","",VLOOKUP($A141,Neuquén!$A$8:$O$291,7,FALSE))</f>
        <v>Media</v>
      </c>
      <c r="G141" s="9" t="str">
        <f>IF(VLOOKUP($A141,Neuquén!$A$8:$O$291,6,FALSE)="","",VLOOKUP($A141,Neuquén!$A$8:$O$291,6,FALSE))</f>
        <v>Equivalencia a revisar</v>
      </c>
      <c r="H141" s="24" t="str">
        <f>IF(VLOOKUP($A141,'San Juan'!$A$8:$O$291,4,FALSE)="","",VLOOKUP($A141,'San Juan'!$A$8:$O$291,4,FALSE))</f>
        <v>DESC77</v>
      </c>
      <c r="I141" s="9" t="str">
        <f>IF(VLOOKUP($A141,'San Juan'!$A$8:$O$291,5,FALSE)="","",VLOOKUP($A141,'San Juan'!$A$8:$O$291,5,FALSE))</f>
        <v>Jeringas 1 cc</v>
      </c>
      <c r="J141" s="9" t="str">
        <f>IF(VLOOKUP($A141,'San Juan'!$A$8:$O$291,7,FALSE)="","",VLOOKUP($A141,'San Juan'!$A$8:$O$291,7,FALSE))</f>
        <v>Alta</v>
      </c>
      <c r="K141" s="9" t="str">
        <f>IF(VLOOKUP($A141,'San Juan'!$A$8:$O$291,6,FALSE)="","",VLOOKUP($A141,'San Juan'!$A$8:$O$291,6,FALSE))</f>
        <v>Coincidencia por validar</v>
      </c>
      <c r="L141" s="24" t="str">
        <f>IF(VLOOKUP($A141,Salta!$A$8:$O$291,4,FALSE)="","",VLOOKUP($A141,Salta!$A$8:$O$291,4,FALSE))</f>
        <v>154</v>
      </c>
      <c r="M141" s="9" t="str">
        <f>IF(VLOOKUP($A141,Salta!$A$8:$O$291,5,FALSE)="","",VLOOKUP($A141,Salta!$A$8:$O$291,5,FALSE))</f>
        <v>Jeringas 1 cc</v>
      </c>
      <c r="N141" s="9" t="str">
        <f>IF(VLOOKUP($A141,Salta!$A$8:$O$291,7,FALSE)="","",VLOOKUP($A141,Salta!$A$8:$O$291,7,FALSE))</f>
        <v>Alta</v>
      </c>
      <c r="O141" s="9" t="str">
        <f>IF(VLOOKUP($A141,Salta!$A$8:$O$291,6,FALSE)="","",VLOOKUP($A141,Salta!$A$8:$O$291,6,FALSE))</f>
        <v>Coincidencia</v>
      </c>
      <c r="P141" s="24" t="str">
        <f>IF(VLOOKUP($A141,Neuquén!$A$8:$O$291,15,FALSE)="Homologado",VLOOKUP($A141,Neuquén!$A$8:$O$291,10,FALSE),"")</f>
        <v/>
      </c>
      <c r="Q141" s="24" t="str">
        <f>IF(VLOOKUP($A141,'San Juan'!$A$8:$O$291,15,FALSE)="Homologado",VLOOKUP($A141,'San Juan'!$A$8:$O$291,10,FALSE),"")</f>
        <v/>
      </c>
      <c r="R141" s="24" t="str">
        <f>IF(VLOOKUP($A141,Salta!$A$8:$O$291,15,FALSE)="Homologado",VLOOKUP($A141,Salta!$A$8:$O$291,10,FALSE),"")</f>
        <v/>
      </c>
      <c r="S141" s="24" t="str">
        <f>IF(VLOOKUP($A141,'Master vs SAP'!$A$8:$O$291,4,FALSE)="","",VLOOKUP($A141,'Master vs SAP'!$A$8:$O$291,4,FALSE))</f>
        <v>2000026
2000451</v>
      </c>
      <c r="T141" s="9" t="str">
        <f>IF(VLOOKUP($A141,'Master vs SAP'!$A$8:$O$291,5,FALSE)="","",VLOOKUP($A141,'Master vs SAP'!$A$8:$O$291,5,FALSE))</f>
        <v>JERINGA TUBERCULINA X 1 CC
JERINGA DE 1ML C AGUJA 25G</v>
      </c>
      <c r="U141" s="9" t="str">
        <f>IF(VLOOKUP($A141,'Master vs SAP'!$A$8:$O$291,7,FALSE)="","",VLOOKUP($A141,'Master vs SAP'!$A$8:$O$291,7,FALSE))</f>
        <v>Media</v>
      </c>
      <c r="V141" s="9" t="str">
        <f>IF(VLOOKUP($A141,'Master vs SAP'!$A$8:$O$291,6,FALSE)="","",VLOOKUP($A141,'Master vs SAP'!$A$8:$O$291,6,FALSE))</f>
        <v>Revisar datos</v>
      </c>
      <c r="W141" s="24" t="str">
        <f>IF(VLOOKUP($A141,'Master vs SAP'!$A$8:$O$291,15,FALSE)="Homologado",VLOOKUP($A141,'Master vs SAP'!$A$8:$O$291,10,FALSE),"")</f>
        <v/>
      </c>
    </row>
    <row r="142" spans="1:23" ht="61.95" customHeight="1">
      <c r="A142" s="9" t="s">
        <v>377</v>
      </c>
      <c r="B142" s="9" t="s">
        <v>357</v>
      </c>
      <c r="C142" s="9" t="s">
        <v>378</v>
      </c>
      <c r="D142" s="24" t="str">
        <f>IF(VLOOKUP($A142,Neuquén!$A$8:$O$291,4,FALSE)="","",VLOOKUP($A142,Neuquén!$A$8:$O$291,4,FALSE))</f>
        <v>254</v>
      </c>
      <c r="E142" s="9" t="str">
        <f>IF(VLOOKUP($A142,Neuquén!$A$8:$O$291,5,FALSE)="","",VLOOKUP($A142,Neuquén!$A$8:$O$291,5,FALSE))</f>
        <v>Jeringa5ml</v>
      </c>
      <c r="F142" s="9" t="str">
        <f>IF(VLOOKUP($A142,Neuquén!$A$8:$O$291,7,FALSE)="","",VLOOKUP($A142,Neuquén!$A$8:$O$291,7,FALSE))</f>
        <v>Alta</v>
      </c>
      <c r="G142" s="9" t="str">
        <f>IF(VLOOKUP($A142,Neuquén!$A$8:$O$291,6,FALSE)="","",VLOOKUP($A142,Neuquén!$A$8:$O$291,6,FALSE))</f>
        <v>Coincidencia por validar</v>
      </c>
      <c r="H142" s="24" t="str">
        <f>IF(VLOOKUP($A142,'San Juan'!$A$8:$O$291,4,FALSE)="","",VLOOKUP($A142,'San Juan'!$A$8:$O$291,4,FALSE))</f>
        <v>DESC80</v>
      </c>
      <c r="I142" s="9" t="str">
        <f>IF(VLOOKUP($A142,'San Juan'!$A$8:$O$291,5,FALSE)="","",VLOOKUP($A142,'San Juan'!$A$8:$O$291,5,FALSE))</f>
        <v>Jeringas 5 cc</v>
      </c>
      <c r="J142" s="9" t="str">
        <f>IF(VLOOKUP($A142,'San Juan'!$A$8:$O$291,7,FALSE)="","",VLOOKUP($A142,'San Juan'!$A$8:$O$291,7,FALSE))</f>
        <v>Alta</v>
      </c>
      <c r="K142" s="9" t="str">
        <f>IF(VLOOKUP($A142,'San Juan'!$A$8:$O$291,6,FALSE)="","",VLOOKUP($A142,'San Juan'!$A$8:$O$291,6,FALSE))</f>
        <v>Coincidencia por validar</v>
      </c>
      <c r="L142" s="24" t="str">
        <f>IF(VLOOKUP($A142,Salta!$A$8:$O$291,4,FALSE)="","",VLOOKUP($A142,Salta!$A$8:$O$291,4,FALSE))</f>
        <v>158</v>
      </c>
      <c r="M142" s="9" t="str">
        <f>IF(VLOOKUP($A142,Salta!$A$8:$O$291,5,FALSE)="","",VLOOKUP($A142,Salta!$A$8:$O$291,5,FALSE))</f>
        <v>Jeringas 5 cc</v>
      </c>
      <c r="N142" s="9" t="str">
        <f>IF(VLOOKUP($A142,Salta!$A$8:$O$291,7,FALSE)="","",VLOOKUP($A142,Salta!$A$8:$O$291,7,FALSE))</f>
        <v>Alta</v>
      </c>
      <c r="O142" s="9" t="str">
        <f>IF(VLOOKUP($A142,Salta!$A$8:$O$291,6,FALSE)="","",VLOOKUP($A142,Salta!$A$8:$O$291,6,FALSE))</f>
        <v>Coincidencia</v>
      </c>
      <c r="P142" s="24" t="str">
        <f>IF(VLOOKUP($A142,Neuquén!$A$8:$O$291,15,FALSE)="Homologado",VLOOKUP($A142,Neuquén!$A$8:$O$291,10,FALSE),"")</f>
        <v/>
      </c>
      <c r="Q142" s="24" t="str">
        <f>IF(VLOOKUP($A142,'San Juan'!$A$8:$O$291,15,FALSE)="Homologado",VLOOKUP($A142,'San Juan'!$A$8:$O$291,10,FALSE),"")</f>
        <v/>
      </c>
      <c r="R142" s="24" t="str">
        <f>IF(VLOOKUP($A142,Salta!$A$8:$O$291,15,FALSE)="Homologado",VLOOKUP($A142,Salta!$A$8:$O$291,10,FALSE),"")</f>
        <v/>
      </c>
      <c r="S142" s="24" t="str">
        <f>IF(VLOOKUP($A142,'Master vs SAP'!$A$8:$O$291,4,FALSE)="","",VLOOKUP($A142,'Master vs SAP'!$A$8:$O$291,4,FALSE))</f>
        <v>2000027</v>
      </c>
      <c r="T142" s="9" t="str">
        <f>IF(VLOOKUP($A142,'Master vs SAP'!$A$8:$O$291,5,FALSE)="","",VLOOKUP($A142,'Master vs SAP'!$A$8:$O$291,5,FALSE))</f>
        <v>JERINGA DE 5 ML</v>
      </c>
      <c r="U142" s="9" t="str">
        <f>IF(VLOOKUP($A142,'Master vs SAP'!$A$8:$O$291,7,FALSE)="","",VLOOKUP($A142,'Master vs SAP'!$A$8:$O$291,7,FALSE))</f>
        <v>Alta</v>
      </c>
      <c r="V142" s="9" t="str">
        <f>IF(VLOOKUP($A142,'Master vs SAP'!$A$8:$O$291,6,FALSE)="","",VLOOKUP($A142,'Master vs SAP'!$A$8:$O$291,6,FALSE))</f>
        <v>Coincidencia</v>
      </c>
      <c r="W142" s="24" t="str">
        <f>IF(VLOOKUP($A142,'Master vs SAP'!$A$8:$O$291,15,FALSE)="Homologado",VLOOKUP($A142,'Master vs SAP'!$A$8:$O$291,10,FALSE),"")</f>
        <v/>
      </c>
    </row>
    <row r="143" spans="1:23" ht="61.95" customHeight="1">
      <c r="A143" s="9" t="s">
        <v>379</v>
      </c>
      <c r="B143" s="9" t="s">
        <v>357</v>
      </c>
      <c r="C143" s="9" t="s">
        <v>380</v>
      </c>
      <c r="D143" s="24" t="str">
        <f>IF(VLOOKUP($A143,Neuquén!$A$8:$O$291,4,FALSE)="","",VLOOKUP($A143,Neuquén!$A$8:$O$291,4,FALSE))</f>
        <v>246</v>
      </c>
      <c r="E143" s="9" t="str">
        <f>IF(VLOOKUP($A143,Neuquén!$A$8:$O$291,5,FALSE)="","",VLOOKUP($A143,Neuquén!$A$8:$O$291,5,FALSE))</f>
        <v>JERINGAS10ML</v>
      </c>
      <c r="F143" s="9" t="str">
        <f>IF(VLOOKUP($A143,Neuquén!$A$8:$O$291,7,FALSE)="","",VLOOKUP($A143,Neuquén!$A$8:$O$291,7,FALSE))</f>
        <v>Alta</v>
      </c>
      <c r="G143" s="9" t="str">
        <f>IF(VLOOKUP($A143,Neuquén!$A$8:$O$291,6,FALSE)="","",VLOOKUP($A143,Neuquén!$A$8:$O$291,6,FALSE))</f>
        <v>Coincidencia por validar</v>
      </c>
      <c r="H143" s="24" t="str">
        <f>IF(VLOOKUP($A143,'San Juan'!$A$8:$O$291,4,FALSE)="","",VLOOKUP($A143,'San Juan'!$A$8:$O$291,4,FALSE))</f>
        <v>DESC78</v>
      </c>
      <c r="I143" s="9" t="str">
        <f>IF(VLOOKUP($A143,'San Juan'!$A$8:$O$291,5,FALSE)="","",VLOOKUP($A143,'San Juan'!$A$8:$O$291,5,FALSE))</f>
        <v>Jeringas 10 cc</v>
      </c>
      <c r="J143" s="9" t="str">
        <f>IF(VLOOKUP($A143,'San Juan'!$A$8:$O$291,7,FALSE)="","",VLOOKUP($A143,'San Juan'!$A$8:$O$291,7,FALSE))</f>
        <v>Alta</v>
      </c>
      <c r="K143" s="9" t="str">
        <f>IF(VLOOKUP($A143,'San Juan'!$A$8:$O$291,6,FALSE)="","",VLOOKUP($A143,'San Juan'!$A$8:$O$291,6,FALSE))</f>
        <v>Coincidencia por validar</v>
      </c>
      <c r="L143" s="24" t="str">
        <f>IF(VLOOKUP($A143,Salta!$A$8:$O$291,4,FALSE)="","",VLOOKUP($A143,Salta!$A$8:$O$291,4,FALSE))</f>
        <v>155</v>
      </c>
      <c r="M143" s="9" t="str">
        <f>IF(VLOOKUP($A143,Salta!$A$8:$O$291,5,FALSE)="","",VLOOKUP($A143,Salta!$A$8:$O$291,5,FALSE))</f>
        <v>Jeringas 10 cc</v>
      </c>
      <c r="N143" s="9" t="str">
        <f>IF(VLOOKUP($A143,Salta!$A$8:$O$291,7,FALSE)="","",VLOOKUP($A143,Salta!$A$8:$O$291,7,FALSE))</f>
        <v>Alta</v>
      </c>
      <c r="O143" s="9" t="str">
        <f>IF(VLOOKUP($A143,Salta!$A$8:$O$291,6,FALSE)="","",VLOOKUP($A143,Salta!$A$8:$O$291,6,FALSE))</f>
        <v>Coincidencia</v>
      </c>
      <c r="P143" s="24" t="str">
        <f>IF(VLOOKUP($A143,Neuquén!$A$8:$O$291,15,FALSE)="Homologado",VLOOKUP($A143,Neuquén!$A$8:$O$291,10,FALSE),"")</f>
        <v/>
      </c>
      <c r="Q143" s="24" t="str">
        <f>IF(VLOOKUP($A143,'San Juan'!$A$8:$O$291,15,FALSE)="Homologado",VLOOKUP($A143,'San Juan'!$A$8:$O$291,10,FALSE),"")</f>
        <v/>
      </c>
      <c r="R143" s="24" t="str">
        <f>IF(VLOOKUP($A143,Salta!$A$8:$O$291,15,FALSE)="Homologado",VLOOKUP($A143,Salta!$A$8:$O$291,10,FALSE),"")</f>
        <v/>
      </c>
      <c r="S143" s="24" t="str">
        <f>IF(VLOOKUP($A143,'Master vs SAP'!$A$8:$O$291,4,FALSE)="","",VLOOKUP($A143,'Master vs SAP'!$A$8:$O$291,4,FALSE))</f>
        <v>2000028</v>
      </c>
      <c r="T143" s="9" t="str">
        <f>IF(VLOOKUP($A143,'Master vs SAP'!$A$8:$O$291,5,FALSE)="","",VLOOKUP($A143,'Master vs SAP'!$A$8:$O$291,5,FALSE))</f>
        <v>JERINGA 10 ML</v>
      </c>
      <c r="U143" s="9" t="str">
        <f>IF(VLOOKUP($A143,'Master vs SAP'!$A$8:$O$291,7,FALSE)="","",VLOOKUP($A143,'Master vs SAP'!$A$8:$O$291,7,FALSE))</f>
        <v>Alta</v>
      </c>
      <c r="V143" s="9" t="str">
        <f>IF(VLOOKUP($A143,'Master vs SAP'!$A$8:$O$291,6,FALSE)="","",VLOOKUP($A143,'Master vs SAP'!$A$8:$O$291,6,FALSE))</f>
        <v>Coincidencia</v>
      </c>
      <c r="W143" s="24" t="str">
        <f>IF(VLOOKUP($A143,'Master vs SAP'!$A$8:$O$291,15,FALSE)="Homologado",VLOOKUP($A143,'Master vs SAP'!$A$8:$O$291,10,FALSE),"")</f>
        <v/>
      </c>
    </row>
    <row r="144" spans="1:23" ht="61.95" customHeight="1">
      <c r="A144" s="9" t="s">
        <v>381</v>
      </c>
      <c r="B144" s="9" t="s">
        <v>357</v>
      </c>
      <c r="C144" s="9" t="s">
        <v>382</v>
      </c>
      <c r="D144" s="24" t="str">
        <f>IF(VLOOKUP($A144,Neuquén!$A$8:$O$291,4,FALSE)="","",VLOOKUP($A144,Neuquén!$A$8:$O$291,4,FALSE))</f>
        <v>523</v>
      </c>
      <c r="E144" s="9" t="str">
        <f>IF(VLOOKUP($A144,Neuquén!$A$8:$O$291,5,FALSE)="","",VLOOKUP($A144,Neuquén!$A$8:$O$291,5,FALSE))</f>
        <v>JERINGAS 20 ML</v>
      </c>
      <c r="F144" s="9" t="str">
        <f>IF(VLOOKUP($A144,Neuquén!$A$8:$O$291,7,FALSE)="","",VLOOKUP($A144,Neuquén!$A$8:$O$291,7,FALSE))</f>
        <v>Baja</v>
      </c>
      <c r="G144" s="9" t="str">
        <f>IF(VLOOKUP($A144,Neuquén!$A$8:$O$291,6,FALSE)="","",VLOOKUP($A144,Neuquén!$A$8:$O$291,6,FALSE))</f>
        <v>Equivalencia a revisar</v>
      </c>
      <c r="H144" s="24" t="str">
        <f>IF(VLOOKUP($A144,'San Juan'!$A$8:$O$291,4,FALSE)="","",VLOOKUP($A144,'San Juan'!$A$8:$O$291,4,FALSE))</f>
        <v>DESC79</v>
      </c>
      <c r="I144" s="9" t="str">
        <f>IF(VLOOKUP($A144,'San Juan'!$A$8:$O$291,5,FALSE)="","",VLOOKUP($A144,'San Juan'!$A$8:$O$291,5,FALSE))</f>
        <v>Jeringas 20 cc</v>
      </c>
      <c r="J144" s="9" t="str">
        <f>IF(VLOOKUP($A144,'San Juan'!$A$8:$O$291,7,FALSE)="","",VLOOKUP($A144,'San Juan'!$A$8:$O$291,7,FALSE))</f>
        <v>Alta</v>
      </c>
      <c r="K144" s="9" t="str">
        <f>IF(VLOOKUP($A144,'San Juan'!$A$8:$O$291,6,FALSE)="","",VLOOKUP($A144,'San Juan'!$A$8:$O$291,6,FALSE))</f>
        <v>Coincidencia por validar</v>
      </c>
      <c r="L144" s="24" t="str">
        <f>IF(VLOOKUP($A144,Salta!$A$8:$O$291,4,FALSE)="","",VLOOKUP($A144,Salta!$A$8:$O$291,4,FALSE))</f>
        <v>156</v>
      </c>
      <c r="M144" s="9" t="str">
        <f>IF(VLOOKUP($A144,Salta!$A$8:$O$291,5,FALSE)="","",VLOOKUP($A144,Salta!$A$8:$O$291,5,FALSE))</f>
        <v>Jeringas 20 cc</v>
      </c>
      <c r="N144" s="9" t="str">
        <f>IF(VLOOKUP($A144,Salta!$A$8:$O$291,7,FALSE)="","",VLOOKUP($A144,Salta!$A$8:$O$291,7,FALSE))</f>
        <v>Alta</v>
      </c>
      <c r="O144" s="9" t="str">
        <f>IF(VLOOKUP($A144,Salta!$A$8:$O$291,6,FALSE)="","",VLOOKUP($A144,Salta!$A$8:$O$291,6,FALSE))</f>
        <v>Coincidencia</v>
      </c>
      <c r="P144" s="24" t="str">
        <f>IF(VLOOKUP($A144,Neuquén!$A$8:$O$291,15,FALSE)="Homologado",VLOOKUP($A144,Neuquén!$A$8:$O$291,10,FALSE),"")</f>
        <v/>
      </c>
      <c r="Q144" s="24" t="str">
        <f>IF(VLOOKUP($A144,'San Juan'!$A$8:$O$291,15,FALSE)="Homologado",VLOOKUP($A144,'San Juan'!$A$8:$O$291,10,FALSE),"")</f>
        <v/>
      </c>
      <c r="R144" s="24" t="str">
        <f>IF(VLOOKUP($A144,Salta!$A$8:$O$291,15,FALSE)="Homologado",VLOOKUP($A144,Salta!$A$8:$O$291,10,FALSE),"")</f>
        <v/>
      </c>
      <c r="S144" s="24" t="str">
        <f>IF(VLOOKUP($A144,'Master vs SAP'!$A$8:$O$291,4,FALSE)="","",VLOOKUP($A144,'Master vs SAP'!$A$8:$O$291,4,FALSE))</f>
        <v>2000029
2002429
2002430</v>
      </c>
      <c r="T144" s="9" t="str">
        <f>IF(VLOOKUP($A144,'Master vs SAP'!$A$8:$O$291,5,FALSE)="","",VLOOKUP($A144,'Master vs SAP'!$A$8:$O$291,5,FALSE))</f>
        <v>JERINGA 20 ML
JERINGA 20 ML X100UN
JERINGA 20 ML X50UN</v>
      </c>
      <c r="U144" s="9" t="str">
        <f>IF(VLOOKUP($A144,'Master vs SAP'!$A$8:$O$291,7,FALSE)="","",VLOOKUP($A144,'Master vs SAP'!$A$8:$O$291,7,FALSE))</f>
        <v>Alta</v>
      </c>
      <c r="V144" s="9" t="str">
        <f>IF(VLOOKUP($A144,'Master vs SAP'!$A$8:$O$291,6,FALSE)="","",VLOOKUP($A144,'Master vs SAP'!$A$8:$O$291,6,FALSE))</f>
        <v>Coincidencia</v>
      </c>
      <c r="W144" s="24" t="str">
        <f>IF(VLOOKUP($A144,'Master vs SAP'!$A$8:$O$291,15,FALSE)="Homologado",VLOOKUP($A144,'Master vs SAP'!$A$8:$O$291,10,FALSE),"")</f>
        <v/>
      </c>
    </row>
    <row r="145" spans="1:23" ht="61.95" customHeight="1">
      <c r="A145" s="9" t="s">
        <v>383</v>
      </c>
      <c r="B145" s="9" t="s">
        <v>357</v>
      </c>
      <c r="C145" s="9" t="s">
        <v>384</v>
      </c>
      <c r="D145" s="24" t="str">
        <f>IF(VLOOKUP($A145,Neuquén!$A$8:$O$291,4,FALSE)="","",VLOOKUP($A145,Neuquén!$A$8:$O$291,4,FALSE))</f>
        <v>273</v>
      </c>
      <c r="E145" s="9" t="str">
        <f>IF(VLOOKUP($A145,Neuquén!$A$8:$O$291,5,FALSE)="","",VLOOKUP($A145,Neuquén!$A$8:$O$291,5,FALSE))</f>
        <v>Aguja25/8</v>
      </c>
      <c r="F145" s="9" t="str">
        <f>IF(VLOOKUP($A145,Neuquén!$A$8:$O$291,7,FALSE)="","",VLOOKUP($A145,Neuquén!$A$8:$O$291,7,FALSE))</f>
        <v>Alta</v>
      </c>
      <c r="G145" s="9" t="str">
        <f>IF(VLOOKUP($A145,Neuquén!$A$8:$O$291,6,FALSE)="","",VLOOKUP($A145,Neuquén!$A$8:$O$291,6,FALSE))</f>
        <v>Coincidencia por validar</v>
      </c>
      <c r="H145" s="24" t="str">
        <f>IF(VLOOKUP($A145,'San Juan'!$A$8:$O$291,4,FALSE)="","",VLOOKUP($A145,'San Juan'!$A$8:$O$291,4,FALSE))</f>
        <v>DESC12</v>
      </c>
      <c r="I145" s="9" t="str">
        <f>IF(VLOOKUP($A145,'San Juan'!$A$8:$O$291,5,FALSE)="","",VLOOKUP($A145,'San Juan'!$A$8:$O$291,5,FALSE))</f>
        <v>Agujas 25/8</v>
      </c>
      <c r="J145" s="9" t="str">
        <f>IF(VLOOKUP($A145,'San Juan'!$A$8:$O$291,7,FALSE)="","",VLOOKUP($A145,'San Juan'!$A$8:$O$291,7,FALSE))</f>
        <v>Alta</v>
      </c>
      <c r="K145" s="9" t="str">
        <f>IF(VLOOKUP($A145,'San Juan'!$A$8:$O$291,6,FALSE)="","",VLOOKUP($A145,'San Juan'!$A$8:$O$291,6,FALSE))</f>
        <v>Coincidencia por validar</v>
      </c>
      <c r="L145" s="24" t="str">
        <f>IF(VLOOKUP($A145,Salta!$A$8:$O$291,4,FALSE)="","",VLOOKUP($A145,Salta!$A$8:$O$291,4,FALSE))</f>
        <v>20</v>
      </c>
      <c r="M145" s="9" t="str">
        <f>IF(VLOOKUP($A145,Salta!$A$8:$O$291,5,FALSE)="","",VLOOKUP($A145,Salta!$A$8:$O$291,5,FALSE))</f>
        <v>Agujas 25/8</v>
      </c>
      <c r="N145" s="9" t="str">
        <f>IF(VLOOKUP($A145,Salta!$A$8:$O$291,7,FALSE)="","",VLOOKUP($A145,Salta!$A$8:$O$291,7,FALSE))</f>
        <v>Alta</v>
      </c>
      <c r="O145" s="9" t="str">
        <f>IF(VLOOKUP($A145,Salta!$A$8:$O$291,6,FALSE)="","",VLOOKUP($A145,Salta!$A$8:$O$291,6,FALSE))</f>
        <v>Coincidencia</v>
      </c>
      <c r="P145" s="24" t="str">
        <f>IF(VLOOKUP($A145,Neuquén!$A$8:$O$291,15,FALSE)="Homologado",VLOOKUP($A145,Neuquén!$A$8:$O$291,10,FALSE),"")</f>
        <v/>
      </c>
      <c r="Q145" s="24" t="str">
        <f>IF(VLOOKUP($A145,'San Juan'!$A$8:$O$291,15,FALSE)="Homologado",VLOOKUP($A145,'San Juan'!$A$8:$O$291,10,FALSE),"")</f>
        <v/>
      </c>
      <c r="R145" s="24" t="str">
        <f>IF(VLOOKUP($A145,Salta!$A$8:$O$291,15,FALSE)="Homologado",VLOOKUP($A145,Salta!$A$8:$O$291,10,FALSE),"")</f>
        <v/>
      </c>
      <c r="S145" s="24" t="str">
        <f>IF(VLOOKUP($A145,'Master vs SAP'!$A$8:$O$291,4,FALSE)="","",VLOOKUP($A145,'Master vs SAP'!$A$8:$O$291,4,FALSE))</f>
        <v>2000008</v>
      </c>
      <c r="T145" s="9" t="str">
        <f>IF(VLOOKUP($A145,'Master vs SAP'!$A$8:$O$291,5,FALSE)="","",VLOOKUP($A145,'Master vs SAP'!$A$8:$O$291,5,FALSE))</f>
        <v>AGUJA HIPODERMICA 21G x 1 - 25/8</v>
      </c>
      <c r="U145" s="9" t="str">
        <f>IF(VLOOKUP($A145,'Master vs SAP'!$A$8:$O$291,7,FALSE)="","",VLOOKUP($A145,'Master vs SAP'!$A$8:$O$291,7,FALSE))</f>
        <v>Alta</v>
      </c>
      <c r="V145" s="9" t="str">
        <f>IF(VLOOKUP($A145,'Master vs SAP'!$A$8:$O$291,6,FALSE)="","",VLOOKUP($A145,'Master vs SAP'!$A$8:$O$291,6,FALSE))</f>
        <v>Coincidencia</v>
      </c>
      <c r="W145" s="24" t="str">
        <f>IF(VLOOKUP($A145,'Master vs SAP'!$A$8:$O$291,15,FALSE)="Homologado",VLOOKUP($A145,'Master vs SAP'!$A$8:$O$291,10,FALSE),"")</f>
        <v/>
      </c>
    </row>
    <row r="146" spans="1:23" ht="61.95" customHeight="1">
      <c r="A146" s="9" t="s">
        <v>385</v>
      </c>
      <c r="B146" s="9" t="s">
        <v>357</v>
      </c>
      <c r="C146" s="9" t="s">
        <v>386</v>
      </c>
      <c r="D146" s="24" t="str">
        <f>IF(VLOOKUP($A146,Neuquén!$A$8:$O$291,4,FALSE)="","",VLOOKUP($A146,Neuquén!$A$8:$O$291,4,FALSE))</f>
        <v>270</v>
      </c>
      <c r="E146" s="9" t="str">
        <f>IF(VLOOKUP($A146,Neuquén!$A$8:$O$291,5,FALSE)="","",VLOOKUP($A146,Neuquén!$A$8:$O$291,5,FALSE))</f>
        <v>Aguja40/8</v>
      </c>
      <c r="F146" s="9" t="str">
        <f>IF(VLOOKUP($A146,Neuquén!$A$8:$O$291,7,FALSE)="","",VLOOKUP($A146,Neuquén!$A$8:$O$291,7,FALSE))</f>
        <v>Alta</v>
      </c>
      <c r="G146" s="9" t="str">
        <f>IF(VLOOKUP($A146,Neuquén!$A$8:$O$291,6,FALSE)="","",VLOOKUP($A146,Neuquén!$A$8:$O$291,6,FALSE))</f>
        <v>Coincidencia por validar</v>
      </c>
      <c r="H146" s="24" t="str">
        <f>IF(VLOOKUP($A146,'San Juan'!$A$8:$O$291,4,FALSE)="","",VLOOKUP($A146,'San Juan'!$A$8:$O$291,4,FALSE))</f>
        <v>DESC13</v>
      </c>
      <c r="I146" s="9" t="str">
        <f>IF(VLOOKUP($A146,'San Juan'!$A$8:$O$291,5,FALSE)="","",VLOOKUP($A146,'San Juan'!$A$8:$O$291,5,FALSE))</f>
        <v>Agujas 40/8</v>
      </c>
      <c r="J146" s="9" t="str">
        <f>IF(VLOOKUP($A146,'San Juan'!$A$8:$O$291,7,FALSE)="","",VLOOKUP($A146,'San Juan'!$A$8:$O$291,7,FALSE))</f>
        <v>Alta</v>
      </c>
      <c r="K146" s="9" t="str">
        <f>IF(VLOOKUP($A146,'San Juan'!$A$8:$O$291,6,FALSE)="","",VLOOKUP($A146,'San Juan'!$A$8:$O$291,6,FALSE))</f>
        <v>Coincidencia por validar</v>
      </c>
      <c r="L146" s="24" t="str">
        <f>IF(VLOOKUP($A146,Salta!$A$8:$O$291,4,FALSE)="","",VLOOKUP($A146,Salta!$A$8:$O$291,4,FALSE))</f>
        <v>22</v>
      </c>
      <c r="M146" s="9" t="str">
        <f>IF(VLOOKUP($A146,Salta!$A$8:$O$291,5,FALSE)="","",VLOOKUP($A146,Salta!$A$8:$O$291,5,FALSE))</f>
        <v>Agujas 40/8</v>
      </c>
      <c r="N146" s="9" t="str">
        <f>IF(VLOOKUP($A146,Salta!$A$8:$O$291,7,FALSE)="","",VLOOKUP($A146,Salta!$A$8:$O$291,7,FALSE))</f>
        <v>Alta</v>
      </c>
      <c r="O146" s="9" t="str">
        <f>IF(VLOOKUP($A146,Salta!$A$8:$O$291,6,FALSE)="","",VLOOKUP($A146,Salta!$A$8:$O$291,6,FALSE))</f>
        <v>Coincidencia</v>
      </c>
      <c r="P146" s="24" t="str">
        <f>IF(VLOOKUP($A146,Neuquén!$A$8:$O$291,15,FALSE)="Homologado",VLOOKUP($A146,Neuquén!$A$8:$O$291,10,FALSE),"")</f>
        <v/>
      </c>
      <c r="Q146" s="24" t="str">
        <f>IF(VLOOKUP($A146,'San Juan'!$A$8:$O$291,15,FALSE)="Homologado",VLOOKUP($A146,'San Juan'!$A$8:$O$291,10,FALSE),"")</f>
        <v/>
      </c>
      <c r="R146" s="24" t="str">
        <f>IF(VLOOKUP($A146,Salta!$A$8:$O$291,15,FALSE)="Homologado",VLOOKUP($A146,Salta!$A$8:$O$291,10,FALSE),"")</f>
        <v/>
      </c>
      <c r="S146" s="24" t="str">
        <f>IF(VLOOKUP($A146,'Master vs SAP'!$A$8:$O$291,4,FALSE)="","",VLOOKUP($A146,'Master vs SAP'!$A$8:$O$291,4,FALSE))</f>
        <v>2000009</v>
      </c>
      <c r="T146" s="9" t="str">
        <f>IF(VLOOKUP($A146,'Master vs SAP'!$A$8:$O$291,5,FALSE)="","",VLOOKUP($A146,'Master vs SAP'!$A$8:$O$291,5,FALSE))</f>
        <v>AGUJA HIPODERMICA 21G x 1 ½ - 40/8</v>
      </c>
      <c r="U146" s="9" t="str">
        <f>IF(VLOOKUP($A146,'Master vs SAP'!$A$8:$O$291,7,FALSE)="","",VLOOKUP($A146,'Master vs SAP'!$A$8:$O$291,7,FALSE))</f>
        <v>Alta</v>
      </c>
      <c r="V146" s="9" t="str">
        <f>IF(VLOOKUP($A146,'Master vs SAP'!$A$8:$O$291,6,FALSE)="","",VLOOKUP($A146,'Master vs SAP'!$A$8:$O$291,6,FALSE))</f>
        <v>Coincidencia</v>
      </c>
      <c r="W146" s="24" t="str">
        <f>IF(VLOOKUP($A146,'Master vs SAP'!$A$8:$O$291,15,FALSE)="Homologado",VLOOKUP($A146,'Master vs SAP'!$A$8:$O$291,10,FALSE),"")</f>
        <v/>
      </c>
    </row>
    <row r="147" spans="1:23" ht="61.95" customHeight="1">
      <c r="A147" s="9" t="s">
        <v>387</v>
      </c>
      <c r="B147" s="9" t="s">
        <v>357</v>
      </c>
      <c r="C147" s="9" t="s">
        <v>388</v>
      </c>
      <c r="D147" s="24" t="str">
        <f>IF(VLOOKUP($A147,Neuquén!$A$8:$O$291,4,FALSE)="","",VLOOKUP($A147,Neuquén!$A$8:$O$291,4,FALSE))</f>
        <v>356</v>
      </c>
      <c r="E147" s="9" t="str">
        <f>IF(VLOOKUP($A147,Neuquén!$A$8:$O$291,5,FALSE)="","",VLOOKUP($A147,Neuquén!$A$8:$O$291,5,FALSE))</f>
        <v>AGUJA16X5</v>
      </c>
      <c r="F147" s="9" t="str">
        <f>IF(VLOOKUP($A147,Neuquén!$A$8:$O$291,7,FALSE)="","",VLOOKUP($A147,Neuquén!$A$8:$O$291,7,FALSE))</f>
        <v>Alta</v>
      </c>
      <c r="G147" s="9" t="str">
        <f>IF(VLOOKUP($A147,Neuquén!$A$8:$O$291,6,FALSE)="","",VLOOKUP($A147,Neuquén!$A$8:$O$291,6,FALSE))</f>
        <v>Coincidencia por validar</v>
      </c>
      <c r="H147" s="24" t="str">
        <f>IF(VLOOKUP($A147,'San Juan'!$A$8:$O$291,4,FALSE)="","",VLOOKUP($A147,'San Juan'!$A$8:$O$291,4,FALSE))</f>
        <v>DESC11</v>
      </c>
      <c r="I147" s="9" t="str">
        <f>IF(VLOOKUP($A147,'San Juan'!$A$8:$O$291,5,FALSE)="","",VLOOKUP($A147,'San Juan'!$A$8:$O$291,5,FALSE))</f>
        <v>Agujas 16/5</v>
      </c>
      <c r="J147" s="9" t="str">
        <f>IF(VLOOKUP($A147,'San Juan'!$A$8:$O$291,7,FALSE)="","",VLOOKUP($A147,'San Juan'!$A$8:$O$291,7,FALSE))</f>
        <v>Alta</v>
      </c>
      <c r="K147" s="9" t="str">
        <f>IF(VLOOKUP($A147,'San Juan'!$A$8:$O$291,6,FALSE)="","",VLOOKUP($A147,'San Juan'!$A$8:$O$291,6,FALSE))</f>
        <v>Coincidencia por validar</v>
      </c>
      <c r="L147" s="24" t="str">
        <f>IF(VLOOKUP($A147,Salta!$A$8:$O$291,4,FALSE)="","",VLOOKUP($A147,Salta!$A$8:$O$291,4,FALSE))</f>
        <v>19</v>
      </c>
      <c r="M147" s="9" t="str">
        <f>IF(VLOOKUP($A147,Salta!$A$8:$O$291,5,FALSE)="","",VLOOKUP($A147,Salta!$A$8:$O$291,5,FALSE))</f>
        <v>Agujas 16/5</v>
      </c>
      <c r="N147" s="9" t="str">
        <f>IF(VLOOKUP($A147,Salta!$A$8:$O$291,7,FALSE)="","",VLOOKUP($A147,Salta!$A$8:$O$291,7,FALSE))</f>
        <v>Alta</v>
      </c>
      <c r="O147" s="9" t="str">
        <f>IF(VLOOKUP($A147,Salta!$A$8:$O$291,6,FALSE)="","",VLOOKUP($A147,Salta!$A$8:$O$291,6,FALSE))</f>
        <v>Coincidencia</v>
      </c>
      <c r="P147" s="24" t="str">
        <f>IF(VLOOKUP($A147,Neuquén!$A$8:$O$291,15,FALSE)="Homologado",VLOOKUP($A147,Neuquén!$A$8:$O$291,10,FALSE),"")</f>
        <v/>
      </c>
      <c r="Q147" s="24" t="str">
        <f>IF(VLOOKUP($A147,'San Juan'!$A$8:$O$291,15,FALSE)="Homologado",VLOOKUP($A147,'San Juan'!$A$8:$O$291,10,FALSE),"")</f>
        <v/>
      </c>
      <c r="R147" s="24" t="str">
        <f>IF(VLOOKUP($A147,Salta!$A$8:$O$291,15,FALSE)="Homologado",VLOOKUP($A147,Salta!$A$8:$O$291,10,FALSE),"")</f>
        <v/>
      </c>
      <c r="S147" s="24" t="str">
        <f>IF(VLOOKUP($A147,'Master vs SAP'!$A$8:$O$291,4,FALSE)="","",VLOOKUP($A147,'Master vs SAP'!$A$8:$O$291,4,FALSE))</f>
        <v>2000007</v>
      </c>
      <c r="T147" s="9" t="str">
        <f>IF(VLOOKUP($A147,'Master vs SAP'!$A$8:$O$291,5,FALSE)="","",VLOOKUP($A147,'Master vs SAP'!$A$8:$O$291,5,FALSE))</f>
        <v>AGUJA HIPODERMICA 25G x ⅝ - 16/5</v>
      </c>
      <c r="U147" s="9" t="str">
        <f>IF(VLOOKUP($A147,'Master vs SAP'!$A$8:$O$291,7,FALSE)="","",VLOOKUP($A147,'Master vs SAP'!$A$8:$O$291,7,FALSE))</f>
        <v>Alta</v>
      </c>
      <c r="V147" s="9" t="str">
        <f>IF(VLOOKUP($A147,'Master vs SAP'!$A$8:$O$291,6,FALSE)="","",VLOOKUP($A147,'Master vs SAP'!$A$8:$O$291,6,FALSE))</f>
        <v>Coincidencia</v>
      </c>
      <c r="W147" s="24" t="str">
        <f>IF(VLOOKUP($A147,'Master vs SAP'!$A$8:$O$291,15,FALSE)="Homologado",VLOOKUP($A147,'Master vs SAP'!$A$8:$O$291,10,FALSE),"")</f>
        <v/>
      </c>
    </row>
    <row r="148" spans="1:23" ht="78" customHeight="1">
      <c r="A148" s="9" t="s">
        <v>389</v>
      </c>
      <c r="B148" s="9" t="s">
        <v>357</v>
      </c>
      <c r="C148" s="9" t="s">
        <v>390</v>
      </c>
      <c r="D148" s="24" t="str">
        <f>IF(VLOOKUP($A148,Neuquén!$A$8:$O$291,4,FALSE)="","",VLOOKUP($A148,Neuquén!$A$8:$O$291,4,FALSE))</f>
        <v>404</v>
      </c>
      <c r="E148" s="9" t="str">
        <f>IF(VLOOKUP($A148,Neuquén!$A$8:$O$291,5,FALSE)="","",VLOOKUP($A148,Neuquén!$A$8:$O$291,5,FALSE))</f>
        <v>GUANTESESTERILES</v>
      </c>
      <c r="F148" s="9" t="str">
        <f>IF(VLOOKUP($A148,Neuquén!$A$8:$O$291,7,FALSE)="","",VLOOKUP($A148,Neuquén!$A$8:$O$291,7,FALSE))</f>
        <v>Baja</v>
      </c>
      <c r="G148" s="9" t="str">
        <f>IF(VLOOKUP($A148,Neuquén!$A$8:$O$291,6,FALSE)="","",VLOOKUP($A148,Neuquén!$A$8:$O$291,6,FALSE))</f>
        <v>Producto distinto</v>
      </c>
      <c r="H148" s="24" t="str">
        <f>IF(VLOOKUP($A148,'San Juan'!$A$8:$O$291,4,FALSE)="","",VLOOKUP($A148,'San Juan'!$A$8:$O$291,4,FALSE))</f>
        <v>DESC64</v>
      </c>
      <c r="I148" s="9" t="str">
        <f>IF(VLOOKUP($A148,'San Juan'!$A$8:$O$291,5,FALSE)="","",VLOOKUP($A148,'San Juan'!$A$8:$O$291,5,FALSE))</f>
        <v>Gasas 10 x 10 cm</v>
      </c>
      <c r="J148" s="9" t="str">
        <f>IF(VLOOKUP($A148,'San Juan'!$A$8:$O$291,7,FALSE)="","",VLOOKUP($A148,'San Juan'!$A$8:$O$291,7,FALSE))</f>
        <v>Media</v>
      </c>
      <c r="K148" s="9" t="str">
        <f>IF(VLOOKUP($A148,'San Juan'!$A$8:$O$291,6,FALSE)="","",VLOOKUP($A148,'San Juan'!$A$8:$O$291,6,FALSE))</f>
        <v>Código compartido: revisar</v>
      </c>
      <c r="L148" s="24" t="str">
        <f>IF(VLOOKUP($A148,Salta!$A$8:$O$291,4,FALSE)="","",VLOOKUP($A148,Salta!$A$8:$O$291,4,FALSE))</f>
        <v>129</v>
      </c>
      <c r="M148" s="9" t="str">
        <f>IF(VLOOKUP($A148,Salta!$A$8:$O$291,5,FALSE)="","",VLOOKUP($A148,Salta!$A$8:$O$291,5,FALSE))</f>
        <v>Gasas 10 x 10</v>
      </c>
      <c r="N148" s="9" t="str">
        <f>IF(VLOOKUP($A148,Salta!$A$8:$O$291,7,FALSE)="","",VLOOKUP($A148,Salta!$A$8:$O$291,7,FALSE))</f>
        <v>Media</v>
      </c>
      <c r="O148" s="9" t="str">
        <f>IF(VLOOKUP($A148,Salta!$A$8:$O$291,6,FALSE)="","",VLOOKUP($A148,Salta!$A$8:$O$291,6,FALSE))</f>
        <v>Revisar datos</v>
      </c>
      <c r="P148" s="24" t="str">
        <f>IF(VLOOKUP($A148,Neuquén!$A$8:$O$291,15,FALSE)="Homologado",VLOOKUP($A148,Neuquén!$A$8:$O$291,10,FALSE),"")</f>
        <v/>
      </c>
      <c r="Q148" s="24" t="str">
        <f>IF(VLOOKUP($A148,'San Juan'!$A$8:$O$291,15,FALSE)="Homologado",VLOOKUP($A148,'San Juan'!$A$8:$O$291,10,FALSE),"")</f>
        <v/>
      </c>
      <c r="R148" s="24" t="str">
        <f>IF(VLOOKUP($A148,Salta!$A$8:$O$291,15,FALSE)="Homologado",VLOOKUP($A148,Salta!$A$8:$O$291,10,FALSE),"")</f>
        <v/>
      </c>
      <c r="S148" s="24" t="str">
        <f>IF(VLOOKUP($A148,'Master vs SAP'!$A$8:$O$291,4,FALSE)="","",VLOOKUP($A148,'Master vs SAP'!$A$8:$O$291,4,FALSE))</f>
        <v>2000900
2000147
2000281
2000299</v>
      </c>
      <c r="T148" s="9" t="str">
        <f>IF(VLOOKUP($A148,'Master vs SAP'!$A$8:$O$291,5,FALSE)="","",VLOOKUP($A148,'Master vs SAP'!$A$8:$O$291,5,FALSE))</f>
        <v>GASA ESTERIL 10X10CM
GASA ESTERIL 10X10 GASANA
GASA ESTERIL 10X10 LA CEADE
GASA ESTERIL 10X10 - SYRA</v>
      </c>
      <c r="U148" s="9" t="str">
        <f>IF(VLOOKUP($A148,'Master vs SAP'!$A$8:$O$291,7,FALSE)="","",VLOOKUP($A148,'Master vs SAP'!$A$8:$O$291,7,FALSE))</f>
        <v>Alta</v>
      </c>
      <c r="V148" s="9" t="str">
        <f>IF(VLOOKUP($A148,'Master vs SAP'!$A$8:$O$291,6,FALSE)="","",VLOOKUP($A148,'Master vs SAP'!$A$8:$O$291,6,FALSE))</f>
        <v>Coincidencia</v>
      </c>
      <c r="W148" s="24" t="str">
        <f>IF(VLOOKUP($A148,'Master vs SAP'!$A$8:$O$291,15,FALSE)="Homologado",VLOOKUP($A148,'Master vs SAP'!$A$8:$O$291,10,FALSE),"")</f>
        <v/>
      </c>
    </row>
    <row r="149" spans="1:23" ht="109.95" customHeight="1">
      <c r="A149" s="9" t="s">
        <v>391</v>
      </c>
      <c r="B149" s="9" t="s">
        <v>357</v>
      </c>
      <c r="C149" s="9" t="s">
        <v>392</v>
      </c>
      <c r="D149" s="24" t="str">
        <f>IF(VLOOKUP($A149,Neuquén!$A$8:$O$291,4,FALSE)="","",VLOOKUP($A149,Neuquén!$A$8:$O$291,4,FALSE))</f>
        <v>256</v>
      </c>
      <c r="E149" s="9" t="str">
        <f>IF(VLOOKUP($A149,Neuquén!$A$8:$O$291,5,FALSE)="","",VLOOKUP($A149,Neuquén!$A$8:$O$291,5,FALSE))</f>
        <v>Apositosesteril</v>
      </c>
      <c r="F149" s="9" t="str">
        <f>IF(VLOOKUP($A149,Neuquén!$A$8:$O$291,7,FALSE)="","",VLOOKUP($A149,Neuquén!$A$8:$O$291,7,FALSE))</f>
        <v>Media</v>
      </c>
      <c r="G149" s="9" t="str">
        <f>IF(VLOOKUP($A149,Neuquén!$A$8:$O$291,6,FALSE)="","",VLOOKUP($A149,Neuquén!$A$8:$O$291,6,FALSE))</f>
        <v>Código compartido: revisar</v>
      </c>
      <c r="H149" s="24" t="str">
        <f>IF(VLOOKUP($A149,'San Juan'!$A$8:$O$291,4,FALSE)="","",VLOOKUP($A149,'San Juan'!$A$8:$O$291,4,FALSE))</f>
        <v>DESC21</v>
      </c>
      <c r="I149" s="9" t="str">
        <f>IF(VLOOKUP($A149,'San Juan'!$A$8:$O$291,5,FALSE)="","",VLOOKUP($A149,'San Juan'!$A$8:$O$291,5,FALSE))</f>
        <v>Apositos estériles</v>
      </c>
      <c r="J149" s="9" t="str">
        <f>IF(VLOOKUP($A149,'San Juan'!$A$8:$O$291,7,FALSE)="","",VLOOKUP($A149,'San Juan'!$A$8:$O$291,7,FALSE))</f>
        <v>Media</v>
      </c>
      <c r="K149" s="9" t="str">
        <f>IF(VLOOKUP($A149,'San Juan'!$A$8:$O$291,6,FALSE)="","",VLOOKUP($A149,'San Juan'!$A$8:$O$291,6,FALSE))</f>
        <v>Código compartido: revisar</v>
      </c>
      <c r="L149" s="24" t="str">
        <f>IF(VLOOKUP($A149,Salta!$A$8:$O$291,4,FALSE)="","",VLOOKUP($A149,Salta!$A$8:$O$291,4,FALSE))</f>
        <v>37</v>
      </c>
      <c r="M149" s="9" t="str">
        <f>IF(VLOOKUP($A149,Salta!$A$8:$O$291,5,FALSE)="","",VLOOKUP($A149,Salta!$A$8:$O$291,5,FALSE))</f>
        <v>Apósitos estériles</v>
      </c>
      <c r="N149" s="9" t="str">
        <f>IF(VLOOKUP($A149,Salta!$A$8:$O$291,7,FALSE)="","",VLOOKUP($A149,Salta!$A$8:$O$291,7,FALSE))</f>
        <v>Media</v>
      </c>
      <c r="O149" s="9" t="str">
        <f>IF(VLOOKUP($A149,Salta!$A$8:$O$291,6,FALSE)="","",VLOOKUP($A149,Salta!$A$8:$O$291,6,FALSE))</f>
        <v>Revisar datos</v>
      </c>
      <c r="P149" s="24" t="str">
        <f>IF(VLOOKUP($A149,Neuquén!$A$8:$O$291,15,FALSE)="Homologado",VLOOKUP($A149,Neuquén!$A$8:$O$291,10,FALSE),"")</f>
        <v/>
      </c>
      <c r="Q149" s="24" t="str">
        <f>IF(VLOOKUP($A149,'San Juan'!$A$8:$O$291,15,FALSE)="Homologado",VLOOKUP($A149,'San Juan'!$A$8:$O$291,10,FALSE),"")</f>
        <v/>
      </c>
      <c r="R149" s="24" t="str">
        <f>IF(VLOOKUP($A149,Salta!$A$8:$O$291,15,FALSE)="Homologado",VLOOKUP($A149,Salta!$A$8:$O$291,10,FALSE),"")</f>
        <v/>
      </c>
      <c r="S149" s="24" t="str">
        <f>IF(VLOOKUP($A149,'Master vs SAP'!$A$8:$O$291,4,FALSE)="","",VLOOKUP($A149,'Master vs SAP'!$A$8:$O$291,4,FALSE))</f>
        <v>2000354
2000098
2000278
2000279</v>
      </c>
      <c r="T149" s="9" t="str">
        <f>IF(VLOOKUP($A149,'Master vs SAP'!$A$8:$O$291,5,FALSE)="","",VLOOKUP($A149,'Master vs SAP'!$A$8:$O$291,5,FALSE))</f>
        <v>APOSITO ESTERIL (G+A) 10X20CM
APOSITO QUIRURGICO ESTERIL 10X20CM-SYRA
APOS ESTERIL (G+A) 10X20 IGALTEX S/POUCH
APOSITO ESTERIL (G+A) 10X20CM - INSXXI</v>
      </c>
      <c r="U149" s="9" t="str">
        <f>IF(VLOOKUP($A149,'Master vs SAP'!$A$8:$O$291,7,FALSE)="","",VLOOKUP($A149,'Master vs SAP'!$A$8:$O$291,7,FALSE))</f>
        <v>Alta</v>
      </c>
      <c r="V149" s="9" t="str">
        <f>IF(VLOOKUP($A149,'Master vs SAP'!$A$8:$O$291,6,FALSE)="","",VLOOKUP($A149,'Master vs SAP'!$A$8:$O$291,6,FALSE))</f>
        <v>Coincidencia</v>
      </c>
      <c r="W149" s="24" t="str">
        <f>IF(VLOOKUP($A149,'Master vs SAP'!$A$8:$O$291,15,FALSE)="Homologado",VLOOKUP($A149,'Master vs SAP'!$A$8:$O$291,10,FALSE),"")</f>
        <v/>
      </c>
    </row>
    <row r="150" spans="1:23" ht="61.95" customHeight="1">
      <c r="A150" s="9" t="s">
        <v>393</v>
      </c>
      <c r="B150" s="9" t="s">
        <v>357</v>
      </c>
      <c r="C150" s="9" t="s">
        <v>394</v>
      </c>
      <c r="D150" s="24" t="str">
        <f>IF(VLOOKUP($A150,Neuquén!$A$8:$O$291,4,FALSE)="","",VLOOKUP($A150,Neuquén!$A$8:$O$291,4,FALSE))</f>
        <v>334</v>
      </c>
      <c r="E150" s="9" t="str">
        <f>IF(VLOOKUP($A150,Neuquén!$A$8:$O$291,5,FALSE)="","",VLOOKUP($A150,Neuquén!$A$8:$O$291,5,FALSE))</f>
        <v>VENDACAMBRIC5CM</v>
      </c>
      <c r="F150" s="9" t="str">
        <f>IF(VLOOKUP($A150,Neuquén!$A$8:$O$291,7,FALSE)="","",VLOOKUP($A150,Neuquén!$A$8:$O$291,7,FALSE))</f>
        <v>Media</v>
      </c>
      <c r="G150" s="9" t="str">
        <f>IF(VLOOKUP($A150,Neuquén!$A$8:$O$291,6,FALSE)="","",VLOOKUP($A150,Neuquén!$A$8:$O$291,6,FALSE))</f>
        <v>Código compartido: revisar</v>
      </c>
      <c r="H150" s="24" t="str">
        <f>IF(VLOOKUP($A150,'San Juan'!$A$8:$O$291,4,FALSE)="","",VLOOKUP($A150,'San Juan'!$A$8:$O$291,4,FALSE))</f>
        <v>DESC171</v>
      </c>
      <c r="I150" s="9" t="str">
        <f>IF(VLOOKUP($A150,'San Juan'!$A$8:$O$291,5,FALSE)="","",VLOOKUP($A150,'San Juan'!$A$8:$O$291,5,FALSE))</f>
        <v>Vendas de 7 cm.</v>
      </c>
      <c r="J150" s="9" t="str">
        <f>IF(VLOOKUP($A150,'San Juan'!$A$8:$O$291,7,FALSE)="","",VLOOKUP($A150,'San Juan'!$A$8:$O$291,7,FALSE))</f>
        <v>Baja</v>
      </c>
      <c r="K150" s="9" t="str">
        <f>IF(VLOOKUP($A150,'San Juan'!$A$8:$O$291,6,FALSE)="","",VLOOKUP($A150,'San Juan'!$A$8:$O$291,6,FALSE))</f>
        <v>Código compartido: revisar</v>
      </c>
      <c r="L150" s="24" t="str">
        <f>IF(VLOOKUP($A150,Salta!$A$8:$O$291,4,FALSE)="","",VLOOKUP($A150,Salta!$A$8:$O$291,4,FALSE))</f>
        <v>250</v>
      </c>
      <c r="M150" s="9" t="str">
        <f>IF(VLOOKUP($A150,Salta!$A$8:$O$291,5,FALSE)="","",VLOOKUP($A150,Salta!$A$8:$O$291,5,FALSE))</f>
        <v>Vendas de 5 cm</v>
      </c>
      <c r="N150" s="9" t="str">
        <f>IF(VLOOKUP($A150,Salta!$A$8:$O$291,7,FALSE)="","",VLOOKUP($A150,Salta!$A$8:$O$291,7,FALSE))</f>
        <v>Media</v>
      </c>
      <c r="O150" s="9" t="str">
        <f>IF(VLOOKUP($A150,Salta!$A$8:$O$291,6,FALSE)="","",VLOOKUP($A150,Salta!$A$8:$O$291,6,FALSE))</f>
        <v>Revisar datos</v>
      </c>
      <c r="P150" s="24" t="str">
        <f>IF(VLOOKUP($A150,Neuquén!$A$8:$O$291,15,FALSE)="Homologado",VLOOKUP($A150,Neuquén!$A$8:$O$291,10,FALSE),"")</f>
        <v/>
      </c>
      <c r="Q150" s="24" t="str">
        <f>IF(VLOOKUP($A150,'San Juan'!$A$8:$O$291,15,FALSE)="Homologado",VLOOKUP($A150,'San Juan'!$A$8:$O$291,10,FALSE),"")</f>
        <v/>
      </c>
      <c r="R150" s="24" t="str">
        <f>IF(VLOOKUP($A150,Salta!$A$8:$O$291,15,FALSE)="Homologado",VLOOKUP($A150,Salta!$A$8:$O$291,10,FALSE),"")</f>
        <v/>
      </c>
      <c r="S150" s="24" t="str">
        <f>IF(VLOOKUP($A150,'Master vs SAP'!$A$8:$O$291,4,FALSE)="","",VLOOKUP($A150,'Master vs SAP'!$A$8:$O$291,4,FALSE))</f>
        <v>2000080
2000314</v>
      </c>
      <c r="T150" s="9" t="str">
        <f>IF(VLOOKUP($A150,'Master vs SAP'!$A$8:$O$291,5,FALSE)="","",VLOOKUP($A150,'Master vs SAP'!$A$8:$O$291,5,FALSE))</f>
        <v>VENDA TIPO CAMBRIC X 5 CM
VENDA TIPO CAMBRIC X 5 CM</v>
      </c>
      <c r="U150" s="9" t="str">
        <f>IF(VLOOKUP($A150,'Master vs SAP'!$A$8:$O$291,7,FALSE)="","",VLOOKUP($A150,'Master vs SAP'!$A$8:$O$291,7,FALSE))</f>
        <v>Alta</v>
      </c>
      <c r="V150" s="9" t="str">
        <f>IF(VLOOKUP($A150,'Master vs SAP'!$A$8:$O$291,6,FALSE)="","",VLOOKUP($A150,'Master vs SAP'!$A$8:$O$291,6,FALSE))</f>
        <v>Coincidencia</v>
      </c>
      <c r="W150" s="24" t="str">
        <f>IF(VLOOKUP($A150,'Master vs SAP'!$A$8:$O$291,15,FALSE)="Homologado",VLOOKUP($A150,'Master vs SAP'!$A$8:$O$291,10,FALSE),"")</f>
        <v/>
      </c>
    </row>
    <row r="151" spans="1:23" ht="61.95" customHeight="1">
      <c r="A151" s="9" t="s">
        <v>395</v>
      </c>
      <c r="B151" s="9" t="s">
        <v>357</v>
      </c>
      <c r="C151" s="9" t="s">
        <v>396</v>
      </c>
      <c r="D151" s="24" t="str">
        <f>IF(VLOOKUP($A151,Neuquén!$A$8:$O$291,4,FALSE)="","",VLOOKUP($A151,Neuquén!$A$8:$O$291,4,FALSE))</f>
        <v>335</v>
      </c>
      <c r="E151" s="9" t="str">
        <f>IF(VLOOKUP($A151,Neuquén!$A$8:$O$291,5,FALSE)="","",VLOOKUP($A151,Neuquén!$A$8:$O$291,5,FALSE))</f>
        <v>VENDACAMBRIC10CM</v>
      </c>
      <c r="F151" s="9" t="str">
        <f>IF(VLOOKUP($A151,Neuquén!$A$8:$O$291,7,FALSE)="","",VLOOKUP($A151,Neuquén!$A$8:$O$291,7,FALSE))</f>
        <v>Media</v>
      </c>
      <c r="G151" s="9" t="str">
        <f>IF(VLOOKUP($A151,Neuquén!$A$8:$O$291,6,FALSE)="","",VLOOKUP($A151,Neuquén!$A$8:$O$291,6,FALSE))</f>
        <v>Código compartido: revisar</v>
      </c>
      <c r="H151" s="24" t="str">
        <f>IF(VLOOKUP($A151,'San Juan'!$A$8:$O$291,4,FALSE)="","",VLOOKUP($A151,'San Juan'!$A$8:$O$291,4,FALSE))</f>
        <v>DESC171</v>
      </c>
      <c r="I151" s="9" t="str">
        <f>IF(VLOOKUP($A151,'San Juan'!$A$8:$O$291,5,FALSE)="","",VLOOKUP($A151,'San Juan'!$A$8:$O$291,5,FALSE))</f>
        <v>Vendas de 7 cm.</v>
      </c>
      <c r="J151" s="9" t="str">
        <f>IF(VLOOKUP($A151,'San Juan'!$A$8:$O$291,7,FALSE)="","",VLOOKUP($A151,'San Juan'!$A$8:$O$291,7,FALSE))</f>
        <v>Baja</v>
      </c>
      <c r="K151" s="9" t="str">
        <f>IF(VLOOKUP($A151,'San Juan'!$A$8:$O$291,6,FALSE)="","",VLOOKUP($A151,'San Juan'!$A$8:$O$291,6,FALSE))</f>
        <v>Código compartido: revisar</v>
      </c>
      <c r="L151" s="24" t="str">
        <f>IF(VLOOKUP($A151,Salta!$A$8:$O$291,4,FALSE)="","",VLOOKUP($A151,Salta!$A$8:$O$291,4,FALSE))</f>
        <v>249</v>
      </c>
      <c r="M151" s="9" t="str">
        <f>IF(VLOOKUP($A151,Salta!$A$8:$O$291,5,FALSE)="","",VLOOKUP($A151,Salta!$A$8:$O$291,5,FALSE))</f>
        <v>Vendas de 10 cm</v>
      </c>
      <c r="N151" s="9" t="str">
        <f>IF(VLOOKUP($A151,Salta!$A$8:$O$291,7,FALSE)="","",VLOOKUP($A151,Salta!$A$8:$O$291,7,FALSE))</f>
        <v>Media</v>
      </c>
      <c r="O151" s="9" t="str">
        <f>IF(VLOOKUP($A151,Salta!$A$8:$O$291,6,FALSE)="","",VLOOKUP($A151,Salta!$A$8:$O$291,6,FALSE))</f>
        <v>Revisar datos</v>
      </c>
      <c r="P151" s="24" t="str">
        <f>IF(VLOOKUP($A151,Neuquén!$A$8:$O$291,15,FALSE)="Homologado",VLOOKUP($A151,Neuquén!$A$8:$O$291,10,FALSE),"")</f>
        <v/>
      </c>
      <c r="Q151" s="24" t="str">
        <f>IF(VLOOKUP($A151,'San Juan'!$A$8:$O$291,15,FALSE)="Homologado",VLOOKUP($A151,'San Juan'!$A$8:$O$291,10,FALSE),"")</f>
        <v/>
      </c>
      <c r="R151" s="24" t="str">
        <f>IF(VLOOKUP($A151,Salta!$A$8:$O$291,15,FALSE)="Homologado",VLOOKUP($A151,Salta!$A$8:$O$291,10,FALSE),"")</f>
        <v/>
      </c>
      <c r="S151" s="24" t="str">
        <f>IF(VLOOKUP($A151,'Master vs SAP'!$A$8:$O$291,4,FALSE)="","",VLOOKUP($A151,'Master vs SAP'!$A$8:$O$291,4,FALSE))</f>
        <v>2000079</v>
      </c>
      <c r="T151" s="9" t="str">
        <f>IF(VLOOKUP($A151,'Master vs SAP'!$A$8:$O$291,5,FALSE)="","",VLOOKUP($A151,'Master vs SAP'!$A$8:$O$291,5,FALSE))</f>
        <v>VENDA TIPO CAMBRIC X 10 CM</v>
      </c>
      <c r="U151" s="9" t="str">
        <f>IF(VLOOKUP($A151,'Master vs SAP'!$A$8:$O$291,7,FALSE)="","",VLOOKUP($A151,'Master vs SAP'!$A$8:$O$291,7,FALSE))</f>
        <v>Alta</v>
      </c>
      <c r="V151" s="9" t="str">
        <f>IF(VLOOKUP($A151,'Master vs SAP'!$A$8:$O$291,6,FALSE)="","",VLOOKUP($A151,'Master vs SAP'!$A$8:$O$291,6,FALSE))</f>
        <v>Coincidencia</v>
      </c>
      <c r="W151" s="24" t="str">
        <f>IF(VLOOKUP($A151,'Master vs SAP'!$A$8:$O$291,15,FALSE)="Homologado",VLOOKUP($A151,'Master vs SAP'!$A$8:$O$291,10,FALSE),"")</f>
        <v/>
      </c>
    </row>
    <row r="152" spans="1:23" ht="78" customHeight="1">
      <c r="A152" s="9" t="s">
        <v>397</v>
      </c>
      <c r="B152" s="9" t="s">
        <v>357</v>
      </c>
      <c r="C152" s="9" t="s">
        <v>398</v>
      </c>
      <c r="D152" s="24" t="str">
        <f>IF(VLOOKUP($A152,Neuquén!$A$8:$O$291,4,FALSE)="","",VLOOKUP($A152,Neuquén!$A$8:$O$291,4,FALSE))</f>
        <v>483</v>
      </c>
      <c r="E152" s="9" t="str">
        <f>IF(VLOOKUP($A152,Neuquén!$A$8:$O$291,5,FALSE)="","",VLOOKUP($A152,Neuquén!$A$8:$O$291,5,FALSE))</f>
        <v>CINTAADHESIVA5CM</v>
      </c>
      <c r="F152" s="9" t="str">
        <f>IF(VLOOKUP($A152,Neuquén!$A$8:$O$291,7,FALSE)="","",VLOOKUP($A152,Neuquén!$A$8:$O$291,7,FALSE))</f>
        <v>Media</v>
      </c>
      <c r="G152" s="9" t="str">
        <f>IF(VLOOKUP($A152,Neuquén!$A$8:$O$291,6,FALSE)="","",VLOOKUP($A152,Neuquén!$A$8:$O$291,6,FALSE))</f>
        <v>Equivalencia a revisar</v>
      </c>
      <c r="H152" s="24" t="str">
        <f>IF(VLOOKUP($A152,'San Juan'!$A$8:$O$291,4,FALSE)="","",VLOOKUP($A152,'San Juan'!$A$8:$O$291,4,FALSE))</f>
        <v>DESC135</v>
      </c>
      <c r="I152" s="9" t="str">
        <f>IF(VLOOKUP($A152,'San Juan'!$A$8:$O$291,5,FALSE)="","",VLOOKUP($A152,'San Juan'!$A$8:$O$291,5,FALSE))</f>
        <v>Tela Hipoalergénica 5cm</v>
      </c>
      <c r="J152" s="9" t="str">
        <f>IF(VLOOKUP($A152,'San Juan'!$A$8:$O$291,7,FALSE)="","",VLOOKUP($A152,'San Juan'!$A$8:$O$291,7,FALSE))</f>
        <v>Alta</v>
      </c>
      <c r="K152" s="9" t="str">
        <f>IF(VLOOKUP($A152,'San Juan'!$A$8:$O$291,6,FALSE)="","",VLOOKUP($A152,'San Juan'!$A$8:$O$291,6,FALSE))</f>
        <v>Coincidencia por validar</v>
      </c>
      <c r="L152" s="24" t="str">
        <f>IF(VLOOKUP($A152,Salta!$A$8:$O$291,4,FALSE)="","",VLOOKUP($A152,Salta!$A$8:$O$291,4,FALSE))</f>
        <v>69</v>
      </c>
      <c r="M152" s="9" t="str">
        <f>IF(VLOOKUP($A152,Salta!$A$8:$O$291,5,FALSE)="","",VLOOKUP($A152,Salta!$A$8:$O$291,5,FALSE))</f>
        <v>Cinta Hipoalergénica 5cmx9m</v>
      </c>
      <c r="N152" s="9" t="str">
        <f>IF(VLOOKUP($A152,Salta!$A$8:$O$291,7,FALSE)="","",VLOOKUP($A152,Salta!$A$8:$O$291,7,FALSE))</f>
        <v>Alta</v>
      </c>
      <c r="O152" s="9" t="str">
        <f>IF(VLOOKUP($A152,Salta!$A$8:$O$291,6,FALSE)="","",VLOOKUP($A152,Salta!$A$8:$O$291,6,FALSE))</f>
        <v>Coincidencia</v>
      </c>
      <c r="P152" s="24" t="str">
        <f>IF(VLOOKUP($A152,Neuquén!$A$8:$O$291,15,FALSE)="Homologado",VLOOKUP($A152,Neuquén!$A$8:$O$291,10,FALSE),"")</f>
        <v/>
      </c>
      <c r="Q152" s="24" t="str">
        <f>IF(VLOOKUP($A152,'San Juan'!$A$8:$O$291,15,FALSE)="Homologado",VLOOKUP($A152,'San Juan'!$A$8:$O$291,10,FALSE),"")</f>
        <v/>
      </c>
      <c r="R152" s="24" t="str">
        <f>IF(VLOOKUP($A152,Salta!$A$8:$O$291,15,FALSE)="Homologado",VLOOKUP($A152,Salta!$A$8:$O$291,10,FALSE),"")</f>
        <v/>
      </c>
      <c r="S152" s="24" t="str">
        <f>IF(VLOOKUP($A152,'Master vs SAP'!$A$8:$O$291,4,FALSE)="","",VLOOKUP($A152,'Master vs SAP'!$A$8:$O$291,4,FALSE))</f>
        <v>2000205
2000289
2001334</v>
      </c>
      <c r="T152" s="9" t="str">
        <f>IF(VLOOKUP($A152,'Master vs SAP'!$A$8:$O$291,5,FALSE)="","",VLOOKUP($A152,'Master vs SAP'!$A$8:$O$291,5,FALSE))</f>
        <v>TELA ADHE HIPOALERGENICA DE SEDA 5CM
TELA ADHES DURAPORE X 5CM SEDA HIPOALARG
TELA ADHE MICROPOROSA HIPOALER 5CM</v>
      </c>
      <c r="U152" s="9" t="str">
        <f>IF(VLOOKUP($A152,'Master vs SAP'!$A$8:$O$291,7,FALSE)="","",VLOOKUP($A152,'Master vs SAP'!$A$8:$O$291,7,FALSE))</f>
        <v>Alta</v>
      </c>
      <c r="V152" s="9" t="str">
        <f>IF(VLOOKUP($A152,'Master vs SAP'!$A$8:$O$291,6,FALSE)="","",VLOOKUP($A152,'Master vs SAP'!$A$8:$O$291,6,FALSE))</f>
        <v>Coincidencia</v>
      </c>
      <c r="W152" s="24" t="str">
        <f>IF(VLOOKUP($A152,'Master vs SAP'!$A$8:$O$291,15,FALSE)="Homologado",VLOOKUP($A152,'Master vs SAP'!$A$8:$O$291,10,FALSE),"")</f>
        <v/>
      </c>
    </row>
    <row r="153" spans="1:23" ht="61.95" customHeight="1">
      <c r="A153" s="9" t="s">
        <v>399</v>
      </c>
      <c r="B153" s="9" t="s">
        <v>357</v>
      </c>
      <c r="C153" s="9" t="s">
        <v>400</v>
      </c>
      <c r="D153" s="24" t="str">
        <f>IF(VLOOKUP($A153,Neuquén!$A$8:$O$291,4,FALSE)="","",VLOOKUP($A153,Neuquén!$A$8:$O$291,4,FALSE))</f>
        <v>64</v>
      </c>
      <c r="E153" s="9" t="str">
        <f>IF(VLOOKUP($A153,Neuquén!$A$8:$O$291,5,FALSE)="","",VLOOKUP($A153,Neuquén!$A$8:$O$291,5,FALSE))</f>
        <v>CURITASXUNID</v>
      </c>
      <c r="F153" s="9" t="str">
        <f>IF(VLOOKUP($A153,Neuquén!$A$8:$O$291,7,FALSE)="","",VLOOKUP($A153,Neuquén!$A$8:$O$291,7,FALSE))</f>
        <v>Alta</v>
      </c>
      <c r="G153" s="9" t="str">
        <f>IF(VLOOKUP($A153,Neuquén!$A$8:$O$291,6,FALSE)="","",VLOOKUP($A153,Neuquén!$A$8:$O$291,6,FALSE))</f>
        <v>Coincidencia por validar</v>
      </c>
      <c r="H153" s="24" t="str">
        <f>IF(VLOOKUP($A153,'San Juan'!$A$8:$O$291,4,FALSE)="","",VLOOKUP($A153,'San Juan'!$A$8:$O$291,4,FALSE))</f>
        <v>DESC52</v>
      </c>
      <c r="I153" s="9" t="str">
        <f>IF(VLOOKUP($A153,'San Juan'!$A$8:$O$291,5,FALSE)="","",VLOOKUP($A153,'San Juan'!$A$8:$O$291,5,FALSE))</f>
        <v>Curitas x 1 ud</v>
      </c>
      <c r="J153" s="9" t="str">
        <f>IF(VLOOKUP($A153,'San Juan'!$A$8:$O$291,7,FALSE)="","",VLOOKUP($A153,'San Juan'!$A$8:$O$291,7,FALSE))</f>
        <v>Alta</v>
      </c>
      <c r="K153" s="9" t="str">
        <f>IF(VLOOKUP($A153,'San Juan'!$A$8:$O$291,6,FALSE)="","",VLOOKUP($A153,'San Juan'!$A$8:$O$291,6,FALSE))</f>
        <v>Coincidencia por validar</v>
      </c>
      <c r="L153" s="24" t="str">
        <f>IF(VLOOKUP($A153,Salta!$A$8:$O$291,4,FALSE)="","",VLOOKUP($A153,Salta!$A$8:$O$291,4,FALSE))</f>
        <v>88</v>
      </c>
      <c r="M153" s="9" t="str">
        <f>IF(VLOOKUP($A153,Salta!$A$8:$O$291,5,FALSE)="","",VLOOKUP($A153,Salta!$A$8:$O$291,5,FALSE))</f>
        <v>Curitas</v>
      </c>
      <c r="N153" s="9" t="str">
        <f>IF(VLOOKUP($A153,Salta!$A$8:$O$291,7,FALSE)="","",VLOOKUP($A153,Salta!$A$8:$O$291,7,FALSE))</f>
        <v>Alta</v>
      </c>
      <c r="O153" s="9" t="str">
        <f>IF(VLOOKUP($A153,Salta!$A$8:$O$291,6,FALSE)="","",VLOOKUP($A153,Salta!$A$8:$O$291,6,FALSE))</f>
        <v>Coincidencia</v>
      </c>
      <c r="P153" s="24" t="str">
        <f>IF(VLOOKUP($A153,Neuquén!$A$8:$O$291,15,FALSE)="Homologado",VLOOKUP($A153,Neuquén!$A$8:$O$291,10,FALSE),"")</f>
        <v/>
      </c>
      <c r="Q153" s="24" t="str">
        <f>IF(VLOOKUP($A153,'San Juan'!$A$8:$O$291,15,FALSE)="Homologado",VLOOKUP($A153,'San Juan'!$A$8:$O$291,10,FALSE),"")</f>
        <v/>
      </c>
      <c r="R153" s="24" t="str">
        <f>IF(VLOOKUP($A153,Salta!$A$8:$O$291,15,FALSE)="Homologado",VLOOKUP($A153,Salta!$A$8:$O$291,10,FALSE),"")</f>
        <v/>
      </c>
      <c r="S153" s="24" t="str">
        <f>IF(VLOOKUP($A153,'Master vs SAP'!$A$8:$O$291,4,FALSE)="","",VLOOKUP($A153,'Master vs SAP'!$A$8:$O$291,4,FALSE))</f>
        <v>2000532</v>
      </c>
      <c r="T153" s="9" t="str">
        <f>IF(VLOOKUP($A153,'Master vs SAP'!$A$8:$O$291,5,FALSE)="","",VLOOKUP($A153,'Master vs SAP'!$A$8:$O$291,5,FALSE))</f>
        <v>CURITAS TELA ELASTICA</v>
      </c>
      <c r="U153" s="9" t="str">
        <f>IF(VLOOKUP($A153,'Master vs SAP'!$A$8:$O$291,7,FALSE)="","",VLOOKUP($A153,'Master vs SAP'!$A$8:$O$291,7,FALSE))</f>
        <v>Alta</v>
      </c>
      <c r="V153" s="9" t="str">
        <f>IF(VLOOKUP($A153,'Master vs SAP'!$A$8:$O$291,6,FALSE)="","",VLOOKUP($A153,'Master vs SAP'!$A$8:$O$291,6,FALSE))</f>
        <v>Coincidencia</v>
      </c>
      <c r="W153" s="24" t="str">
        <f>IF(VLOOKUP($A153,'Master vs SAP'!$A$8:$O$291,15,FALSE)="Homologado",VLOOKUP($A153,'Master vs SAP'!$A$8:$O$291,10,FALSE),"")</f>
        <v/>
      </c>
    </row>
    <row r="154" spans="1:23" ht="61.95" customHeight="1">
      <c r="A154" s="9" t="s">
        <v>401</v>
      </c>
      <c r="B154" s="9" t="s">
        <v>357</v>
      </c>
      <c r="C154" s="9" t="s">
        <v>402</v>
      </c>
      <c r="D154" s="24" t="str">
        <f>IF(VLOOKUP($A154,Neuquén!$A$8:$O$291,4,FALSE)="","",VLOOKUP($A154,Neuquén!$A$8:$O$291,4,FALSE))</f>
        <v>536</v>
      </c>
      <c r="E154" s="9" t="str">
        <f>IF(VLOOKUP($A154,Neuquén!$A$8:$O$291,5,FALSE)="","",VLOOKUP($A154,Neuquén!$A$8:$O$291,5,FALSE))</f>
        <v>SUT.CUTANEA</v>
      </c>
      <c r="F154" s="9" t="str">
        <f>IF(VLOOKUP($A154,Neuquén!$A$8:$O$291,7,FALSE)="","",VLOOKUP($A154,Neuquén!$A$8:$O$291,7,FALSE))</f>
        <v>Sin coincidencia</v>
      </c>
      <c r="G154" s="9" t="str">
        <f>IF(VLOOKUP($A154,Neuquén!$A$8:$O$291,6,FALSE)="","",VLOOKUP($A154,Neuquén!$A$8:$O$291,6,FALSE))</f>
        <v>Código sin equivalencia validada</v>
      </c>
      <c r="H154" s="24" t="str">
        <f>IF(VLOOKUP($A154,'San Juan'!$A$8:$O$291,4,FALSE)="","",VLOOKUP($A154,'San Juan'!$A$8:$O$291,4,FALSE))</f>
        <v/>
      </c>
      <c r="I154" s="9" t="str">
        <f>IF(VLOOKUP($A154,'San Juan'!$A$8:$O$291,5,FALSE)="","",VLOOKUP($A154,'San Juan'!$A$8:$O$291,5,FALSE))</f>
        <v/>
      </c>
      <c r="J154" s="9" t="str">
        <f>IF(VLOOKUP($A154,'San Juan'!$A$8:$O$291,7,FALSE)="","",VLOOKUP($A154,'San Juan'!$A$8:$O$291,7,FALSE))</f>
        <v>Sin coincidencia</v>
      </c>
      <c r="K154" s="9" t="str">
        <f>IF(VLOOKUP($A154,'San Juan'!$A$8:$O$291,6,FALSE)="","",VLOOKUP($A154,'San Juan'!$A$8:$O$291,6,FALSE))</f>
        <v>Sin código encontrado</v>
      </c>
      <c r="L154" s="24" t="str">
        <f>IF(VLOOKUP($A154,Salta!$A$8:$O$291,4,FALSE)="","",VLOOKUP($A154,Salta!$A$8:$O$291,4,FALSE))</f>
        <v>227</v>
      </c>
      <c r="M154" s="9" t="str">
        <f>IF(VLOOKUP($A154,Salta!$A$8:$O$291,5,FALSE)="","",VLOOKUP($A154,Salta!$A$8:$O$291,5,FALSE))</f>
        <v>Steri-Strip</v>
      </c>
      <c r="N154" s="9" t="str">
        <f>IF(VLOOKUP($A154,Salta!$A$8:$O$291,7,FALSE)="","",VLOOKUP($A154,Salta!$A$8:$O$291,7,FALSE))</f>
        <v>Alta</v>
      </c>
      <c r="O154" s="9" t="str">
        <f>IF(VLOOKUP($A154,Salta!$A$8:$O$291,6,FALSE)="","",VLOOKUP($A154,Salta!$A$8:$O$291,6,FALSE))</f>
        <v>Coincidencia</v>
      </c>
      <c r="P154" s="24" t="str">
        <f>IF(VLOOKUP($A154,Neuquén!$A$8:$O$291,15,FALSE)="Homologado",VLOOKUP($A154,Neuquén!$A$8:$O$291,10,FALSE),"")</f>
        <v/>
      </c>
      <c r="Q154" s="24" t="str">
        <f>IF(VLOOKUP($A154,'San Juan'!$A$8:$O$291,15,FALSE)="Homologado",VLOOKUP($A154,'San Juan'!$A$8:$O$291,10,FALSE),"")</f>
        <v/>
      </c>
      <c r="R154" s="24" t="str">
        <f>IF(VLOOKUP($A154,Salta!$A$8:$O$291,15,FALSE)="Homologado",VLOOKUP($A154,Salta!$A$8:$O$291,10,FALSE),"")</f>
        <v/>
      </c>
      <c r="S154" s="24" t="str">
        <f>IF(VLOOKUP($A154,'Master vs SAP'!$A$8:$O$291,4,FALSE)="","",VLOOKUP($A154,'Master vs SAP'!$A$8:$O$291,4,FALSE))</f>
        <v>2000033</v>
      </c>
      <c r="T154" s="9" t="str">
        <f>IF(VLOOKUP($A154,'Master vs SAP'!$A$8:$O$291,5,FALSE)="","",VLOOKUP($A154,'Master vs SAP'!$A$8:$O$291,5,FALSE))</f>
        <v>STERI STRIP 3M REF 1547</v>
      </c>
      <c r="U154" s="9" t="str">
        <f>IF(VLOOKUP($A154,'Master vs SAP'!$A$8:$O$291,7,FALSE)="","",VLOOKUP($A154,'Master vs SAP'!$A$8:$O$291,7,FALSE))</f>
        <v>Alta</v>
      </c>
      <c r="V154" s="9" t="str">
        <f>IF(VLOOKUP($A154,'Master vs SAP'!$A$8:$O$291,6,FALSE)="","",VLOOKUP($A154,'Master vs SAP'!$A$8:$O$291,6,FALSE))</f>
        <v>Coincidencia</v>
      </c>
      <c r="W154" s="24" t="str">
        <f>IF(VLOOKUP($A154,'Master vs SAP'!$A$8:$O$291,15,FALSE)="Homologado",VLOOKUP($A154,'Master vs SAP'!$A$8:$O$291,10,FALSE),"")</f>
        <v/>
      </c>
    </row>
    <row r="155" spans="1:23" ht="61.95" customHeight="1">
      <c r="A155" s="9" t="s">
        <v>403</v>
      </c>
      <c r="B155" s="9" t="s">
        <v>357</v>
      </c>
      <c r="C155" s="9" t="s">
        <v>404</v>
      </c>
      <c r="D155" s="24" t="str">
        <f>IF(VLOOKUP($A155,Neuquén!$A$8:$O$291,4,FALSE)="","",VLOOKUP($A155,Neuquén!$A$8:$O$291,4,FALSE))</f>
        <v>132</v>
      </c>
      <c r="E155" s="9" t="str">
        <f>IF(VLOOKUP($A155,Neuquén!$A$8:$O$291,5,FALSE)="","",VLOOKUP($A155,Neuquén!$A$8:$O$291,5,FALSE))</f>
        <v>HOJABISTURI</v>
      </c>
      <c r="F155" s="9" t="str">
        <f>IF(VLOOKUP($A155,Neuquén!$A$8:$O$291,7,FALSE)="","",VLOOKUP($A155,Neuquén!$A$8:$O$291,7,FALSE))</f>
        <v>Baja</v>
      </c>
      <c r="G155" s="9" t="str">
        <f>IF(VLOOKUP($A155,Neuquén!$A$8:$O$291,6,FALSE)="","",VLOOKUP($A155,Neuquén!$A$8:$O$291,6,FALSE))</f>
        <v>Código compartido: revisar</v>
      </c>
      <c r="H155" s="24" t="str">
        <f>IF(VLOOKUP($A155,'San Juan'!$A$8:$O$291,4,FALSE)="","",VLOOKUP($A155,'San Juan'!$A$8:$O$291,4,FALSE))</f>
        <v/>
      </c>
      <c r="I155" s="9" t="str">
        <f>IF(VLOOKUP($A155,'San Juan'!$A$8:$O$291,5,FALSE)="","",VLOOKUP($A155,'San Juan'!$A$8:$O$291,5,FALSE))</f>
        <v/>
      </c>
      <c r="J155" s="9" t="str">
        <f>IF(VLOOKUP($A155,'San Juan'!$A$8:$O$291,7,FALSE)="","",VLOOKUP($A155,'San Juan'!$A$8:$O$291,7,FALSE))</f>
        <v>Sin coincidencia</v>
      </c>
      <c r="K155" s="9" t="str">
        <f>IF(VLOOKUP($A155,'San Juan'!$A$8:$O$291,6,FALSE)="","",VLOOKUP($A155,'San Juan'!$A$8:$O$291,6,FALSE))</f>
        <v>Sin código encontrado</v>
      </c>
      <c r="L155" s="24" t="str">
        <f>IF(VLOOKUP($A155,Salta!$A$8:$O$291,4,FALSE)="","",VLOOKUP($A155,Salta!$A$8:$O$291,4,FALSE))</f>
        <v>47</v>
      </c>
      <c r="M155" s="9" t="str">
        <f>IF(VLOOKUP($A155,Salta!$A$8:$O$291,5,FALSE)="","",VLOOKUP($A155,Salta!$A$8:$O$291,5,FALSE))</f>
        <v>Bisturi</v>
      </c>
      <c r="N155" s="9" t="str">
        <f>IF(VLOOKUP($A155,Salta!$A$8:$O$291,7,FALSE)="","",VLOOKUP($A155,Salta!$A$8:$O$291,7,FALSE))</f>
        <v>Media</v>
      </c>
      <c r="O155" s="9" t="str">
        <f>IF(VLOOKUP($A155,Salta!$A$8:$O$291,6,FALSE)="","",VLOOKUP($A155,Salta!$A$8:$O$291,6,FALSE))</f>
        <v>Revisar datos</v>
      </c>
      <c r="P155" s="24" t="str">
        <f>IF(VLOOKUP($A155,Neuquén!$A$8:$O$291,15,FALSE)="Homologado",VLOOKUP($A155,Neuquén!$A$8:$O$291,10,FALSE),"")</f>
        <v/>
      </c>
      <c r="Q155" s="24" t="str">
        <f>IF(VLOOKUP($A155,'San Juan'!$A$8:$O$291,15,FALSE)="Homologado",VLOOKUP($A155,'San Juan'!$A$8:$O$291,10,FALSE),"")</f>
        <v/>
      </c>
      <c r="R155" s="24" t="str">
        <f>IF(VLOOKUP($A155,Salta!$A$8:$O$291,15,FALSE)="Homologado",VLOOKUP($A155,Salta!$A$8:$O$291,10,FALSE),"")</f>
        <v/>
      </c>
      <c r="S155" s="24" t="str">
        <f>IF(VLOOKUP($A155,'Master vs SAP'!$A$8:$O$291,4,FALSE)="","",VLOOKUP($A155,'Master vs SAP'!$A$8:$O$291,4,FALSE))</f>
        <v>2000025</v>
      </c>
      <c r="T155" s="9" t="str">
        <f>IF(VLOOKUP($A155,'Master vs SAP'!$A$8:$O$291,5,FALSE)="","",VLOOKUP($A155,'Master vs SAP'!$A$8:$O$291,5,FALSE))</f>
        <v>HOJA DE BISTURI Nº20</v>
      </c>
      <c r="U155" s="9" t="str">
        <f>IF(VLOOKUP($A155,'Master vs SAP'!$A$8:$O$291,7,FALSE)="","",VLOOKUP($A155,'Master vs SAP'!$A$8:$O$291,7,FALSE))</f>
        <v>Media</v>
      </c>
      <c r="V155" s="9" t="str">
        <f>IF(VLOOKUP($A155,'Master vs SAP'!$A$8:$O$291,6,FALSE)="","",VLOOKUP($A155,'Master vs SAP'!$A$8:$O$291,6,FALSE))</f>
        <v>Revisar grupo</v>
      </c>
      <c r="W155" s="24" t="str">
        <f>IF(VLOOKUP($A155,'Master vs SAP'!$A$8:$O$291,15,FALSE)="Homologado",VLOOKUP($A155,'Master vs SAP'!$A$8:$O$291,10,FALSE),"")</f>
        <v/>
      </c>
    </row>
    <row r="156" spans="1:23" ht="94.05" customHeight="1">
      <c r="A156" s="9" t="s">
        <v>405</v>
      </c>
      <c r="B156" s="9" t="s">
        <v>357</v>
      </c>
      <c r="C156" s="9" t="s">
        <v>406</v>
      </c>
      <c r="D156" s="24" t="str">
        <f>IF(VLOOKUP($A156,Neuquén!$A$8:$O$291,4,FALSE)="","",VLOOKUP($A156,Neuquén!$A$8:$O$291,4,FALSE))</f>
        <v>12</v>
      </c>
      <c r="E156" s="9" t="str">
        <f>IF(VLOOKUP($A156,Neuquén!$A$8:$O$291,5,FALSE)="","",VLOOKUP($A156,Neuquén!$A$8:$O$291,5,FALSE))</f>
        <v>ALGODÓN</v>
      </c>
      <c r="F156" s="9" t="str">
        <f>IF(VLOOKUP($A156,Neuquén!$A$8:$O$291,7,FALSE)="","",VLOOKUP($A156,Neuquén!$A$8:$O$291,7,FALSE))</f>
        <v>Media</v>
      </c>
      <c r="G156" s="9" t="str">
        <f>IF(VLOOKUP($A156,Neuquén!$A$8:$O$291,6,FALSE)="","",VLOOKUP($A156,Neuquén!$A$8:$O$291,6,FALSE))</f>
        <v>Equivalencia a revisar</v>
      </c>
      <c r="H156" s="24" t="str">
        <f>IF(VLOOKUP($A156,'San Juan'!$A$8:$O$291,4,FALSE)="","",VLOOKUP($A156,'San Juan'!$A$8:$O$291,4,FALSE))</f>
        <v>DESC19</v>
      </c>
      <c r="I156" s="9" t="str">
        <f>IF(VLOOKUP($A156,'San Juan'!$A$8:$O$291,5,FALSE)="","",VLOOKUP($A156,'San Juan'!$A$8:$O$291,5,FALSE))</f>
        <v>Algodón (paquete)</v>
      </c>
      <c r="J156" s="9" t="str">
        <f>IF(VLOOKUP($A156,'San Juan'!$A$8:$O$291,7,FALSE)="","",VLOOKUP($A156,'San Juan'!$A$8:$O$291,7,FALSE))</f>
        <v>Alta</v>
      </c>
      <c r="K156" s="9" t="str">
        <f>IF(VLOOKUP($A156,'San Juan'!$A$8:$O$291,6,FALSE)="","",VLOOKUP($A156,'San Juan'!$A$8:$O$291,6,FALSE))</f>
        <v>Coincidencia por validar</v>
      </c>
      <c r="L156" s="24" t="str">
        <f>IF(VLOOKUP($A156,Salta!$A$8:$O$291,4,FALSE)="","",VLOOKUP($A156,Salta!$A$8:$O$291,4,FALSE))</f>
        <v>29</v>
      </c>
      <c r="M156" s="9" t="str">
        <f>IF(VLOOKUP($A156,Salta!$A$8:$O$291,5,FALSE)="","",VLOOKUP($A156,Salta!$A$8:$O$291,5,FALSE))</f>
        <v>Algodón (paquete)</v>
      </c>
      <c r="N156" s="9" t="str">
        <f>IF(VLOOKUP($A156,Salta!$A$8:$O$291,7,FALSE)="","",VLOOKUP($A156,Salta!$A$8:$O$291,7,FALSE))</f>
        <v>Alta</v>
      </c>
      <c r="O156" s="9" t="str">
        <f>IF(VLOOKUP($A156,Salta!$A$8:$O$291,6,FALSE)="","",VLOOKUP($A156,Salta!$A$8:$O$291,6,FALSE))</f>
        <v>Coincidencia</v>
      </c>
      <c r="P156" s="24" t="str">
        <f>IF(VLOOKUP($A156,Neuquén!$A$8:$O$291,15,FALSE)="Homologado",VLOOKUP($A156,Neuquén!$A$8:$O$291,10,FALSE),"")</f>
        <v/>
      </c>
      <c r="Q156" s="24" t="str">
        <f>IF(VLOOKUP($A156,'San Juan'!$A$8:$O$291,15,FALSE)="Homologado",VLOOKUP($A156,'San Juan'!$A$8:$O$291,10,FALSE),"")</f>
        <v/>
      </c>
      <c r="R156" s="24" t="str">
        <f>IF(VLOOKUP($A156,Salta!$A$8:$O$291,15,FALSE)="Homologado",VLOOKUP($A156,Salta!$A$8:$O$291,10,FALSE),"")</f>
        <v/>
      </c>
      <c r="S156" s="24" t="str">
        <f>IF(VLOOKUP($A156,'Master vs SAP'!$A$8:$O$291,4,FALSE)="","",VLOOKUP($A156,'Master vs SAP'!$A$8:$O$291,4,FALSE))</f>
        <v>2000038
2000339
2000459
2001054
2001699</v>
      </c>
      <c r="T156" s="9" t="str">
        <f>IF(VLOOKUP($A156,'Master vs SAP'!$A$8:$O$291,5,FALSE)="","",VLOOKUP($A156,'Master vs SAP'!$A$8:$O$291,5,FALSE))</f>
        <v>ALGODON HIDROFILO X 500GR
ALGODON HIDROFILO X 70GR
ALGODÓN HIDROFILO  X 200 Grs
ALGODÓN HIDROFILO CLASICO X 300 Grs
ALGODON HIDROFILO CLASICO X 140 Grs.</v>
      </c>
      <c r="U156" s="9" t="str">
        <f>IF(VLOOKUP($A156,'Master vs SAP'!$A$8:$O$291,7,FALSE)="","",VLOOKUP($A156,'Master vs SAP'!$A$8:$O$291,7,FALSE))</f>
        <v>Media</v>
      </c>
      <c r="V156" s="9" t="str">
        <f>IF(VLOOKUP($A156,'Master vs SAP'!$A$8:$O$291,6,FALSE)="","",VLOOKUP($A156,'Master vs SAP'!$A$8:$O$291,6,FALSE))</f>
        <v>Revisar grupo</v>
      </c>
      <c r="W156" s="24" t="str">
        <f>IF(VLOOKUP($A156,'Master vs SAP'!$A$8:$O$291,15,FALSE)="Homologado",VLOOKUP($A156,'Master vs SAP'!$A$8:$O$291,10,FALSE),"")</f>
        <v/>
      </c>
    </row>
    <row r="157" spans="1:23" ht="61.95" customHeight="1">
      <c r="A157" s="9" t="s">
        <v>407</v>
      </c>
      <c r="B157" s="9" t="s">
        <v>357</v>
      </c>
      <c r="C157" s="9" t="s">
        <v>408</v>
      </c>
      <c r="D157" s="24" t="str">
        <f>IF(VLOOKUP($A157,Neuquén!$A$8:$O$291,4,FALSE)="","",VLOOKUP($A157,Neuquén!$A$8:$O$291,4,FALSE))</f>
        <v>554</v>
      </c>
      <c r="E157" s="9" t="str">
        <f>IF(VLOOKUP($A157,Neuquén!$A$8:$O$291,5,FALSE)="","",VLOOKUP($A157,Neuquén!$A$8:$O$291,5,FALSE))</f>
        <v>HILO DE SUTURA</v>
      </c>
      <c r="F157" s="9" t="str">
        <f>IF(VLOOKUP($A157,Neuquén!$A$8:$O$291,7,FALSE)="","",VLOOKUP($A157,Neuquén!$A$8:$O$291,7,FALSE))</f>
        <v>Sin coincidencia</v>
      </c>
      <c r="G157" s="9" t="str">
        <f>IF(VLOOKUP($A157,Neuquén!$A$8:$O$291,6,FALSE)="","",VLOOKUP($A157,Neuquén!$A$8:$O$291,6,FALSE))</f>
        <v>Código compartido: revisar</v>
      </c>
      <c r="H157" s="24" t="str">
        <f>IF(VLOOKUP($A157,'San Juan'!$A$8:$O$291,4,FALSE)="","",VLOOKUP($A157,'San Juan'!$A$8:$O$291,4,FALSE))</f>
        <v/>
      </c>
      <c r="I157" s="9" t="str">
        <f>IF(VLOOKUP($A157,'San Juan'!$A$8:$O$291,5,FALSE)="","",VLOOKUP($A157,'San Juan'!$A$8:$O$291,5,FALSE))</f>
        <v/>
      </c>
      <c r="J157" s="9" t="str">
        <f>IF(VLOOKUP($A157,'San Juan'!$A$8:$O$291,7,FALSE)="","",VLOOKUP($A157,'San Juan'!$A$8:$O$291,7,FALSE))</f>
        <v>Sin coincidencia</v>
      </c>
      <c r="K157" s="9" t="str">
        <f>IF(VLOOKUP($A157,'San Juan'!$A$8:$O$291,6,FALSE)="","",VLOOKUP($A157,'San Juan'!$A$8:$O$291,6,FALSE))</f>
        <v>Sin código encontrado</v>
      </c>
      <c r="L157" s="24" t="str">
        <f>IF(VLOOKUP($A157,Salta!$A$8:$O$291,4,FALSE)="","",VLOOKUP($A157,Salta!$A$8:$O$291,4,FALSE))</f>
        <v>147</v>
      </c>
      <c r="M157" s="9" t="str">
        <f>IF(VLOOKUP($A157,Salta!$A$8:$O$291,5,FALSE)="","",VLOOKUP($A157,Salta!$A$8:$O$291,5,FALSE))</f>
        <v>Hilo Sutura Atramat N° 5</v>
      </c>
      <c r="N157" s="9" t="str">
        <f>IF(VLOOKUP($A157,Salta!$A$8:$O$291,7,FALSE)="","",VLOOKUP($A157,Salta!$A$8:$O$291,7,FALSE))</f>
        <v>Media</v>
      </c>
      <c r="O157" s="9" t="str">
        <f>IF(VLOOKUP($A157,Salta!$A$8:$O$291,6,FALSE)="","",VLOOKUP($A157,Salta!$A$8:$O$291,6,FALSE))</f>
        <v>Revisar datos</v>
      </c>
      <c r="P157" s="24" t="str">
        <f>IF(VLOOKUP($A157,Neuquén!$A$8:$O$291,15,FALSE)="Homologado",VLOOKUP($A157,Neuquén!$A$8:$O$291,10,FALSE),"")</f>
        <v/>
      </c>
      <c r="Q157" s="24" t="str">
        <f>IF(VLOOKUP($A157,'San Juan'!$A$8:$O$291,15,FALSE)="Homologado",VLOOKUP($A157,'San Juan'!$A$8:$O$291,10,FALSE),"")</f>
        <v/>
      </c>
      <c r="R157" s="24" t="str">
        <f>IF(VLOOKUP($A157,Salta!$A$8:$O$291,15,FALSE)="Homologado",VLOOKUP($A157,Salta!$A$8:$O$291,10,FALSE),"")</f>
        <v/>
      </c>
      <c r="S157" s="24" t="str">
        <f>IF(VLOOKUP($A157,'Master vs SAP'!$A$8:$O$291,4,FALSE)="","",VLOOKUP($A157,'Master vs SAP'!$A$8:$O$291,4,FALSE))</f>
        <v>2001051
2001052
2001053</v>
      </c>
      <c r="T157" s="9" t="str">
        <f>IF(VLOOKUP($A157,'Master vs SAP'!$A$8:$O$291,5,FALSE)="","",VLOOKUP($A157,'Master vs SAP'!$A$8:$O$291,5,FALSE))</f>
        <v>SUTURA MONONYLON 3-0 AGUJA REDONDA
SUTURA MONONYLON 4-0 AGUJA REDONDA
SUTURA MONONYLON 5-0 AGUJA REDONDA</v>
      </c>
      <c r="U157" s="9" t="str">
        <f>IF(VLOOKUP($A157,'Master vs SAP'!$A$8:$O$291,7,FALSE)="","",VLOOKUP($A157,'Master vs SAP'!$A$8:$O$291,7,FALSE))</f>
        <v>Media</v>
      </c>
      <c r="V157" s="9" t="str">
        <f>IF(VLOOKUP($A157,'Master vs SAP'!$A$8:$O$291,6,FALSE)="","",VLOOKUP($A157,'Master vs SAP'!$A$8:$O$291,6,FALSE))</f>
        <v>Revisar grupo</v>
      </c>
      <c r="W157" s="24" t="str">
        <f>IF(VLOOKUP($A157,'Master vs SAP'!$A$8:$O$291,15,FALSE)="Homologado",VLOOKUP($A157,'Master vs SAP'!$A$8:$O$291,10,FALSE),"")</f>
        <v/>
      </c>
    </row>
    <row r="158" spans="1:23" ht="61.95" customHeight="1">
      <c r="A158" s="9" t="s">
        <v>409</v>
      </c>
      <c r="B158" s="9" t="s">
        <v>357</v>
      </c>
      <c r="C158" s="9" t="s">
        <v>410</v>
      </c>
      <c r="D158" s="24" t="str">
        <f>IF(VLOOKUP($A158,Neuquén!$A$8:$O$291,4,FALSE)="","",VLOOKUP($A158,Neuquén!$A$8:$O$291,4,FALSE))</f>
        <v>554</v>
      </c>
      <c r="E158" s="9" t="str">
        <f>IF(VLOOKUP($A158,Neuquén!$A$8:$O$291,5,FALSE)="","",VLOOKUP($A158,Neuquén!$A$8:$O$291,5,FALSE))</f>
        <v>HILO DE SUTURA</v>
      </c>
      <c r="F158" s="9" t="str">
        <f>IF(VLOOKUP($A158,Neuquén!$A$8:$O$291,7,FALSE)="","",VLOOKUP($A158,Neuquén!$A$8:$O$291,7,FALSE))</f>
        <v>Sin coincidencia</v>
      </c>
      <c r="G158" s="9" t="str">
        <f>IF(VLOOKUP($A158,Neuquén!$A$8:$O$291,6,FALSE)="","",VLOOKUP($A158,Neuquén!$A$8:$O$291,6,FALSE))</f>
        <v>Código compartido: revisar</v>
      </c>
      <c r="H158" s="24" t="str">
        <f>IF(VLOOKUP($A158,'San Juan'!$A$8:$O$291,4,FALSE)="","",VLOOKUP($A158,'San Juan'!$A$8:$O$291,4,FALSE))</f>
        <v/>
      </c>
      <c r="I158" s="9" t="str">
        <f>IF(VLOOKUP($A158,'San Juan'!$A$8:$O$291,5,FALSE)="","",VLOOKUP($A158,'San Juan'!$A$8:$O$291,5,FALSE))</f>
        <v/>
      </c>
      <c r="J158" s="9" t="str">
        <f>IF(VLOOKUP($A158,'San Juan'!$A$8:$O$291,7,FALSE)="","",VLOOKUP($A158,'San Juan'!$A$8:$O$291,7,FALSE))</f>
        <v>Sin coincidencia</v>
      </c>
      <c r="K158" s="9" t="str">
        <f>IF(VLOOKUP($A158,'San Juan'!$A$8:$O$291,6,FALSE)="","",VLOOKUP($A158,'San Juan'!$A$8:$O$291,6,FALSE))</f>
        <v>Sin código encontrado</v>
      </c>
      <c r="L158" s="24" t="str">
        <f>IF(VLOOKUP($A158,Salta!$A$8:$O$291,4,FALSE)="","",VLOOKUP($A158,Salta!$A$8:$O$291,4,FALSE))</f>
        <v>147</v>
      </c>
      <c r="M158" s="9" t="str">
        <f>IF(VLOOKUP($A158,Salta!$A$8:$O$291,5,FALSE)="","",VLOOKUP($A158,Salta!$A$8:$O$291,5,FALSE))</f>
        <v>Hilo Sutura Atramat N° 5</v>
      </c>
      <c r="N158" s="9" t="str">
        <f>IF(VLOOKUP($A158,Salta!$A$8:$O$291,7,FALSE)="","",VLOOKUP($A158,Salta!$A$8:$O$291,7,FALSE))</f>
        <v>Media</v>
      </c>
      <c r="O158" s="9" t="str">
        <f>IF(VLOOKUP($A158,Salta!$A$8:$O$291,6,FALSE)="","",VLOOKUP($A158,Salta!$A$8:$O$291,6,FALSE))</f>
        <v>Revisar datos</v>
      </c>
      <c r="P158" s="24" t="str">
        <f>IF(VLOOKUP($A158,Neuquén!$A$8:$O$291,15,FALSE)="Homologado",VLOOKUP($A158,Neuquén!$A$8:$O$291,10,FALSE),"")</f>
        <v/>
      </c>
      <c r="Q158" s="24" t="str">
        <f>IF(VLOOKUP($A158,'San Juan'!$A$8:$O$291,15,FALSE)="Homologado",VLOOKUP($A158,'San Juan'!$A$8:$O$291,10,FALSE),"")</f>
        <v/>
      </c>
      <c r="R158" s="24" t="str">
        <f>IF(VLOOKUP($A158,Salta!$A$8:$O$291,15,FALSE)="Homologado",VLOOKUP($A158,Salta!$A$8:$O$291,10,FALSE),"")</f>
        <v/>
      </c>
      <c r="S158" s="24" t="str">
        <f>IF(VLOOKUP($A158,'Master vs SAP'!$A$8:$O$291,4,FALSE)="","",VLOOKUP($A158,'Master vs SAP'!$A$8:$O$291,4,FALSE))</f>
        <v/>
      </c>
      <c r="T158" s="9" t="str">
        <f>IF(VLOOKUP($A158,'Master vs SAP'!$A$8:$O$291,5,FALSE)="","",VLOOKUP($A158,'Master vs SAP'!$A$8:$O$291,5,FALSE))</f>
        <v/>
      </c>
      <c r="U158" s="9" t="str">
        <f>IF(VLOOKUP($A158,'Master vs SAP'!$A$8:$O$291,7,FALSE)="","",VLOOKUP($A158,'Master vs SAP'!$A$8:$O$291,7,FALSE))</f>
        <v>Sin coincidencia</v>
      </c>
      <c r="V158" s="9" t="str">
        <f>IF(VLOOKUP($A158,'Master vs SAP'!$A$8:$O$291,6,FALSE)="","",VLOOKUP($A158,'Master vs SAP'!$A$8:$O$291,6,FALSE))</f>
        <v>Sin coincidencia</v>
      </c>
      <c r="W158" s="24" t="str">
        <f>IF(VLOOKUP($A158,'Master vs SAP'!$A$8:$O$291,15,FALSE)="Homologado",VLOOKUP($A158,'Master vs SAP'!$A$8:$O$291,10,FALSE),"")</f>
        <v/>
      </c>
    </row>
    <row r="159" spans="1:23" ht="61.95" customHeight="1">
      <c r="A159" s="9" t="s">
        <v>411</v>
      </c>
      <c r="B159" s="9" t="s">
        <v>357</v>
      </c>
      <c r="C159" s="9" t="s">
        <v>412</v>
      </c>
      <c r="D159" s="24" t="str">
        <f>IF(VLOOKUP($A159,Neuquén!$A$8:$O$291,4,FALSE)="","",VLOOKUP($A159,Neuquén!$A$8:$O$291,4,FALSE))</f>
        <v>402</v>
      </c>
      <c r="E159" s="9" t="str">
        <f>IF(VLOOKUP($A159,Neuquén!$A$8:$O$291,5,FALSE)="","",VLOOKUP($A159,Neuquén!$A$8:$O$291,5,FALSE))</f>
        <v>guanteslatexs</v>
      </c>
      <c r="F159" s="9" t="str">
        <f>IF(VLOOKUP($A159,Neuquén!$A$8:$O$291,7,FALSE)="","",VLOOKUP($A159,Neuquén!$A$8:$O$291,7,FALSE))</f>
        <v>Baja</v>
      </c>
      <c r="G159" s="9" t="str">
        <f>IF(VLOOKUP($A159,Neuquén!$A$8:$O$291,6,FALSE)="","",VLOOKUP($A159,Neuquén!$A$8:$O$291,6,FALSE))</f>
        <v>Equivalencia a revisar</v>
      </c>
      <c r="H159" s="24" t="str">
        <f>IF(VLOOKUP($A159,'San Juan'!$A$8:$O$291,4,FALSE)="","",VLOOKUP($A159,'San Juan'!$A$8:$O$291,4,FALSE))</f>
        <v>32</v>
      </c>
      <c r="I159" s="9" t="str">
        <f>IF(VLOOKUP($A159,'San Juan'!$A$8:$O$291,5,FALSE)="","",VLOOKUP($A159,'San Juan'!$A$8:$O$291,5,FALSE))</f>
        <v>GUANTES DE EXAMINACIÓN TALLE S</v>
      </c>
      <c r="J159" s="9" t="str">
        <f>IF(VLOOKUP($A159,'San Juan'!$A$8:$O$291,7,FALSE)="","",VLOOKUP($A159,'San Juan'!$A$8:$O$291,7,FALSE))</f>
        <v>Media</v>
      </c>
      <c r="K159" s="9" t="str">
        <f>IF(VLOOKUP($A159,'San Juan'!$A$8:$O$291,6,FALSE)="","",VLOOKUP($A159,'San Juan'!$A$8:$O$291,6,FALSE))</f>
        <v>Código compartido: revisar</v>
      </c>
      <c r="L159" s="24" t="str">
        <f>IF(VLOOKUP($A159,Salta!$A$8:$O$291,4,FALSE)="","",VLOOKUP($A159,Salta!$A$8:$O$291,4,FALSE))</f>
        <v>133
135
134</v>
      </c>
      <c r="M159" s="9" t="str">
        <f>IF(VLOOKUP($A159,Salta!$A$8:$O$291,5,FALSE)="","",VLOOKUP($A159,Salta!$A$8:$O$291,5,FALSE))</f>
        <v>Guantes de latex chico no esteriles
Guantes de latex mediano no esteril
Guantes de latex grande no esteril</v>
      </c>
      <c r="N159" s="9" t="str">
        <f>IF(VLOOKUP($A159,Salta!$A$8:$O$291,7,FALSE)="","",VLOOKUP($A159,Salta!$A$8:$O$291,7,FALSE))</f>
        <v>Media</v>
      </c>
      <c r="O159" s="9" t="str">
        <f>IF(VLOOKUP($A159,Salta!$A$8:$O$291,6,FALSE)="","",VLOOKUP($A159,Salta!$A$8:$O$291,6,FALSE))</f>
        <v>Revisar grupo</v>
      </c>
      <c r="P159" s="24" t="str">
        <f>IF(VLOOKUP($A159,Neuquén!$A$8:$O$291,15,FALSE)="Homologado",VLOOKUP($A159,Neuquén!$A$8:$O$291,10,FALSE),"")</f>
        <v/>
      </c>
      <c r="Q159" s="24" t="str">
        <f>IF(VLOOKUP($A159,'San Juan'!$A$8:$O$291,15,FALSE)="Homologado",VLOOKUP($A159,'San Juan'!$A$8:$O$291,10,FALSE),"")</f>
        <v/>
      </c>
      <c r="R159" s="24" t="str">
        <f>IF(VLOOKUP($A159,Salta!$A$8:$O$291,15,FALSE)="Homologado",VLOOKUP($A159,Salta!$A$8:$O$291,10,FALSE),"")</f>
        <v/>
      </c>
      <c r="S159" s="24" t="str">
        <f>IF(VLOOKUP($A159,'Master vs SAP'!$A$8:$O$291,4,FALSE)="","",VLOOKUP($A159,'Master vs SAP'!$A$8:$O$291,4,FALSE))</f>
        <v>2000270
2000158
2000157</v>
      </c>
      <c r="T159" s="9" t="str">
        <f>IF(VLOOKUP($A159,'Master vs SAP'!$A$8:$O$291,5,FALSE)="","",VLOOKUP($A159,'Master vs SAP'!$A$8:$O$291,5,FALSE))</f>
        <v>GUANTES DE EXAMINACION TALLE S
GUANTES DE EXAMINACIÓN TALLE M
GUANTES DE EXAMINACIÓN TALLE L</v>
      </c>
      <c r="U159" s="9" t="str">
        <f>IF(VLOOKUP($A159,'Master vs SAP'!$A$8:$O$291,7,FALSE)="","",VLOOKUP($A159,'Master vs SAP'!$A$8:$O$291,7,FALSE))</f>
        <v>Media</v>
      </c>
      <c r="V159" s="9" t="str">
        <f>IF(VLOOKUP($A159,'Master vs SAP'!$A$8:$O$291,6,FALSE)="","",VLOOKUP($A159,'Master vs SAP'!$A$8:$O$291,6,FALSE))</f>
        <v>Revisar grupo</v>
      </c>
      <c r="W159" s="24" t="str">
        <f>IF(VLOOKUP($A159,'Master vs SAP'!$A$8:$O$291,15,FALSE)="Homologado",VLOOKUP($A159,'Master vs SAP'!$A$8:$O$291,10,FALSE),"")</f>
        <v/>
      </c>
    </row>
    <row r="160" spans="1:23" ht="61.95" customHeight="1">
      <c r="A160" s="9" t="s">
        <v>413</v>
      </c>
      <c r="B160" s="9" t="s">
        <v>357</v>
      </c>
      <c r="C160" s="9" t="s">
        <v>414</v>
      </c>
      <c r="D160" s="24" t="str">
        <f>IF(VLOOKUP($A160,Neuquén!$A$8:$O$291,4,FALSE)="","",VLOOKUP($A160,Neuquén!$A$8:$O$291,4,FALSE))</f>
        <v>276</v>
      </c>
      <c r="E160" s="9" t="str">
        <f>IF(VLOOKUP($A160,Neuquén!$A$8:$O$291,5,FALSE)="","",VLOOKUP($A160,Neuquén!$A$8:$O$291,5,FALSE))</f>
        <v>Guantesn°71/2</v>
      </c>
      <c r="F160" s="9" t="str">
        <f>IF(VLOOKUP($A160,Neuquén!$A$8:$O$291,7,FALSE)="","",VLOOKUP($A160,Neuquén!$A$8:$O$291,7,FALSE))</f>
        <v>Alta</v>
      </c>
      <c r="G160" s="9" t="str">
        <f>IF(VLOOKUP($A160,Neuquén!$A$8:$O$291,6,FALSE)="","",VLOOKUP($A160,Neuquén!$A$8:$O$291,6,FALSE))</f>
        <v>Coincidencia por validar</v>
      </c>
      <c r="H160" s="24" t="str">
        <f>IF(VLOOKUP($A160,'San Juan'!$A$8:$O$291,4,FALSE)="","",VLOOKUP($A160,'San Juan'!$A$8:$O$291,4,FALSE))</f>
        <v/>
      </c>
      <c r="I160" s="9" t="str">
        <f>IF(VLOOKUP($A160,'San Juan'!$A$8:$O$291,5,FALSE)="","",VLOOKUP($A160,'San Juan'!$A$8:$O$291,5,FALSE))</f>
        <v/>
      </c>
      <c r="J160" s="9" t="str">
        <f>IF(VLOOKUP($A160,'San Juan'!$A$8:$O$291,7,FALSE)="","",VLOOKUP($A160,'San Juan'!$A$8:$O$291,7,FALSE))</f>
        <v>Sin coincidencia</v>
      </c>
      <c r="K160" s="9" t="str">
        <f>IF(VLOOKUP($A160,'San Juan'!$A$8:$O$291,6,FALSE)="","",VLOOKUP($A160,'San Juan'!$A$8:$O$291,6,FALSE))</f>
        <v>Sin código encontrado</v>
      </c>
      <c r="L160" s="24" t="str">
        <f>IF(VLOOKUP($A160,Salta!$A$8:$O$291,4,FALSE)="","",VLOOKUP($A160,Salta!$A$8:$O$291,4,FALSE))</f>
        <v>137</v>
      </c>
      <c r="M160" s="9" t="str">
        <f>IF(VLOOKUP($A160,Salta!$A$8:$O$291,5,FALSE)="","",VLOOKUP($A160,Salta!$A$8:$O$291,5,FALSE))</f>
        <v>Guantes esteriles 7.5</v>
      </c>
      <c r="N160" s="9" t="str">
        <f>IF(VLOOKUP($A160,Salta!$A$8:$O$291,7,FALSE)="","",VLOOKUP($A160,Salta!$A$8:$O$291,7,FALSE))</f>
        <v>Media</v>
      </c>
      <c r="O160" s="9" t="str">
        <f>IF(VLOOKUP($A160,Salta!$A$8:$O$291,6,FALSE)="","",VLOOKUP($A160,Salta!$A$8:$O$291,6,FALSE))</f>
        <v>Revisar datos</v>
      </c>
      <c r="P160" s="24" t="str">
        <f>IF(VLOOKUP($A160,Neuquén!$A$8:$O$291,15,FALSE)="Homologado",VLOOKUP($A160,Neuquén!$A$8:$O$291,10,FALSE),"")</f>
        <v/>
      </c>
      <c r="Q160" s="24" t="str">
        <f>IF(VLOOKUP($A160,'San Juan'!$A$8:$O$291,15,FALSE)="Homologado",VLOOKUP($A160,'San Juan'!$A$8:$O$291,10,FALSE),"")</f>
        <v/>
      </c>
      <c r="R160" s="24" t="str">
        <f>IF(VLOOKUP($A160,Salta!$A$8:$O$291,15,FALSE)="Homologado",VLOOKUP($A160,Salta!$A$8:$O$291,10,FALSE),"")</f>
        <v/>
      </c>
      <c r="S160" s="24" t="str">
        <f>IF(VLOOKUP($A160,'Master vs SAP'!$A$8:$O$291,4,FALSE)="","",VLOOKUP($A160,'Master vs SAP'!$A$8:$O$291,4,FALSE))</f>
        <v>2000021</v>
      </c>
      <c r="T160" s="9" t="str">
        <f>IF(VLOOKUP($A160,'Master vs SAP'!$A$8:$O$291,5,FALSE)="","",VLOOKUP($A160,'Master vs SAP'!$A$8:$O$291,5,FALSE))</f>
        <v>GUANTES ESTERILES Nº 7.5 POR PAR</v>
      </c>
      <c r="U160" s="9" t="str">
        <f>IF(VLOOKUP($A160,'Master vs SAP'!$A$8:$O$291,7,FALSE)="","",VLOOKUP($A160,'Master vs SAP'!$A$8:$O$291,7,FALSE))</f>
        <v>Alta</v>
      </c>
      <c r="V160" s="9" t="str">
        <f>IF(VLOOKUP($A160,'Master vs SAP'!$A$8:$O$291,6,FALSE)="","",VLOOKUP($A160,'Master vs SAP'!$A$8:$O$291,6,FALSE))</f>
        <v>Coincidencia</v>
      </c>
      <c r="W160" s="24" t="str">
        <f>IF(VLOOKUP($A160,'Master vs SAP'!$A$8:$O$291,15,FALSE)="Homologado",VLOOKUP($A160,'Master vs SAP'!$A$8:$O$291,10,FALSE),"")</f>
        <v/>
      </c>
    </row>
    <row r="161" spans="1:23" ht="61.95" customHeight="1">
      <c r="A161" s="9" t="s">
        <v>415</v>
      </c>
      <c r="B161" s="9" t="s">
        <v>357</v>
      </c>
      <c r="C161" s="9" t="s">
        <v>416</v>
      </c>
      <c r="D161" s="24" t="str">
        <f>IF(VLOOKUP($A161,Neuquén!$A$8:$O$291,4,FALSE)="","",VLOOKUP($A161,Neuquén!$A$8:$O$291,4,FALSE))</f>
        <v>275</v>
      </c>
      <c r="E161" s="9" t="str">
        <f>IF(VLOOKUP($A161,Neuquén!$A$8:$O$291,5,FALSE)="","",VLOOKUP($A161,Neuquén!$A$8:$O$291,5,FALSE))</f>
        <v>Guantesn°8</v>
      </c>
      <c r="F161" s="9" t="str">
        <f>IF(VLOOKUP($A161,Neuquén!$A$8:$O$291,7,FALSE)="","",VLOOKUP($A161,Neuquén!$A$8:$O$291,7,FALSE))</f>
        <v>Alta</v>
      </c>
      <c r="G161" s="9" t="str">
        <f>IF(VLOOKUP($A161,Neuquén!$A$8:$O$291,6,FALSE)="","",VLOOKUP($A161,Neuquén!$A$8:$O$291,6,FALSE))</f>
        <v>Coincidencia por validar</v>
      </c>
      <c r="H161" s="24" t="str">
        <f>IF(VLOOKUP($A161,'San Juan'!$A$8:$O$291,4,FALSE)="","",VLOOKUP($A161,'San Juan'!$A$8:$O$291,4,FALSE))</f>
        <v/>
      </c>
      <c r="I161" s="9" t="str">
        <f>IF(VLOOKUP($A161,'San Juan'!$A$8:$O$291,5,FALSE)="","",VLOOKUP($A161,'San Juan'!$A$8:$O$291,5,FALSE))</f>
        <v/>
      </c>
      <c r="J161" s="9" t="str">
        <f>IF(VLOOKUP($A161,'San Juan'!$A$8:$O$291,7,FALSE)="","",VLOOKUP($A161,'San Juan'!$A$8:$O$291,7,FALSE))</f>
        <v>Sin coincidencia</v>
      </c>
      <c r="K161" s="9" t="str">
        <f>IF(VLOOKUP($A161,'San Juan'!$A$8:$O$291,6,FALSE)="","",VLOOKUP($A161,'San Juan'!$A$8:$O$291,6,FALSE))</f>
        <v>Sin código encontrado</v>
      </c>
      <c r="L161" s="24" t="str">
        <f>IF(VLOOKUP($A161,Salta!$A$8:$O$291,4,FALSE)="","",VLOOKUP($A161,Salta!$A$8:$O$291,4,FALSE))</f>
        <v>138</v>
      </c>
      <c r="M161" s="9" t="str">
        <f>IF(VLOOKUP($A161,Salta!$A$8:$O$291,5,FALSE)="","",VLOOKUP($A161,Salta!$A$8:$O$291,5,FALSE))</f>
        <v>Guantes Estériles 8.0</v>
      </c>
      <c r="N161" s="9" t="str">
        <f>IF(VLOOKUP($A161,Salta!$A$8:$O$291,7,FALSE)="","",VLOOKUP($A161,Salta!$A$8:$O$291,7,FALSE))</f>
        <v>Media</v>
      </c>
      <c r="O161" s="9" t="str">
        <f>IF(VLOOKUP($A161,Salta!$A$8:$O$291,6,FALSE)="","",VLOOKUP($A161,Salta!$A$8:$O$291,6,FALSE))</f>
        <v>Revisar datos</v>
      </c>
      <c r="P161" s="24" t="str">
        <f>IF(VLOOKUP($A161,Neuquén!$A$8:$O$291,15,FALSE)="Homologado",VLOOKUP($A161,Neuquén!$A$8:$O$291,10,FALSE),"")</f>
        <v/>
      </c>
      <c r="Q161" s="24" t="str">
        <f>IF(VLOOKUP($A161,'San Juan'!$A$8:$O$291,15,FALSE)="Homologado",VLOOKUP($A161,'San Juan'!$A$8:$O$291,10,FALSE),"")</f>
        <v/>
      </c>
      <c r="R161" s="24" t="str">
        <f>IF(VLOOKUP($A161,Salta!$A$8:$O$291,15,FALSE)="Homologado",VLOOKUP($A161,Salta!$A$8:$O$291,10,FALSE),"")</f>
        <v/>
      </c>
      <c r="S161" s="24" t="str">
        <f>IF(VLOOKUP($A161,'Master vs SAP'!$A$8:$O$291,4,FALSE)="","",VLOOKUP($A161,'Master vs SAP'!$A$8:$O$291,4,FALSE))</f>
        <v>2000022</v>
      </c>
      <c r="T161" s="9" t="str">
        <f>IF(VLOOKUP($A161,'Master vs SAP'!$A$8:$O$291,5,FALSE)="","",VLOOKUP($A161,'Master vs SAP'!$A$8:$O$291,5,FALSE))</f>
        <v>GUANTES ESTERILES Nº 8 POR PAR</v>
      </c>
      <c r="U161" s="9" t="str">
        <f>IF(VLOOKUP($A161,'Master vs SAP'!$A$8:$O$291,7,FALSE)="","",VLOOKUP($A161,'Master vs SAP'!$A$8:$O$291,7,FALSE))</f>
        <v>Alta</v>
      </c>
      <c r="V161" s="9" t="str">
        <f>IF(VLOOKUP($A161,'Master vs SAP'!$A$8:$O$291,6,FALSE)="","",VLOOKUP($A161,'Master vs SAP'!$A$8:$O$291,6,FALSE))</f>
        <v>Coincidencia</v>
      </c>
      <c r="W161" s="24" t="str">
        <f>IF(VLOOKUP($A161,'Master vs SAP'!$A$8:$O$291,15,FALSE)="Homologado",VLOOKUP($A161,'Master vs SAP'!$A$8:$O$291,10,FALSE),"")</f>
        <v/>
      </c>
    </row>
    <row r="162" spans="1:23" ht="61.95" customHeight="1">
      <c r="A162" s="9" t="s">
        <v>417</v>
      </c>
      <c r="B162" s="9" t="s">
        <v>357</v>
      </c>
      <c r="C162" s="9" t="s">
        <v>418</v>
      </c>
      <c r="D162" s="24" t="str">
        <f>IF(VLOOKUP($A162,Neuquén!$A$8:$O$291,4,FALSE)="","",VLOOKUP($A162,Neuquén!$A$8:$O$291,4,FALSE))</f>
        <v>338</v>
      </c>
      <c r="E162" s="9" t="str">
        <f>IF(VLOOKUP($A162,Neuquén!$A$8:$O$291,5,FALSE)="","",VLOOKUP($A162,Neuquén!$A$8:$O$291,5,FALSE))</f>
        <v>BARBIJOS</v>
      </c>
      <c r="F162" s="9" t="str">
        <f>IF(VLOOKUP($A162,Neuquén!$A$8:$O$291,7,FALSE)="","",VLOOKUP($A162,Neuquén!$A$8:$O$291,7,FALSE))</f>
        <v>Media</v>
      </c>
      <c r="G162" s="9" t="str">
        <f>IF(VLOOKUP($A162,Neuquén!$A$8:$O$291,6,FALSE)="","",VLOOKUP($A162,Neuquén!$A$8:$O$291,6,FALSE))</f>
        <v>Código compartido: revisar</v>
      </c>
      <c r="H162" s="24" t="str">
        <f>IF(VLOOKUP($A162,'San Juan'!$A$8:$O$291,4,FALSE)="","",VLOOKUP($A162,'San Juan'!$A$8:$O$291,4,FALSE))</f>
        <v>DESC25</v>
      </c>
      <c r="I162" s="9" t="str">
        <f>IF(VLOOKUP($A162,'San Juan'!$A$8:$O$291,5,FALSE)="","",VLOOKUP($A162,'San Juan'!$A$8:$O$291,5,FALSE))</f>
        <v>Barbijos quirúrgicos x 1 ud</v>
      </c>
      <c r="J162" s="9" t="str">
        <f>IF(VLOOKUP($A162,'San Juan'!$A$8:$O$291,7,FALSE)="","",VLOOKUP($A162,'San Juan'!$A$8:$O$291,7,FALSE))</f>
        <v>Alta</v>
      </c>
      <c r="K162" s="9" t="str">
        <f>IF(VLOOKUP($A162,'San Juan'!$A$8:$O$291,6,FALSE)="","",VLOOKUP($A162,'San Juan'!$A$8:$O$291,6,FALSE))</f>
        <v>Coincidencia por validar</v>
      </c>
      <c r="L162" s="24" t="str">
        <f>IF(VLOOKUP($A162,Salta!$A$8:$O$291,4,FALSE)="","",VLOOKUP($A162,Salta!$A$8:$O$291,4,FALSE))</f>
        <v>43</v>
      </c>
      <c r="M162" s="9" t="str">
        <f>IF(VLOOKUP($A162,Salta!$A$8:$O$291,5,FALSE)="","",VLOOKUP($A162,Salta!$A$8:$O$291,5,FALSE))</f>
        <v>Barbijos quirúrgicos pqte 50u.</v>
      </c>
      <c r="N162" s="9" t="str">
        <f>IF(VLOOKUP($A162,Salta!$A$8:$O$291,7,FALSE)="","",VLOOKUP($A162,Salta!$A$8:$O$291,7,FALSE))</f>
        <v>Alta</v>
      </c>
      <c r="O162" s="9" t="str">
        <f>IF(VLOOKUP($A162,Salta!$A$8:$O$291,6,FALSE)="","",VLOOKUP($A162,Salta!$A$8:$O$291,6,FALSE))</f>
        <v>Coincidencia</v>
      </c>
      <c r="P162" s="24" t="str">
        <f>IF(VLOOKUP($A162,Neuquén!$A$8:$O$291,15,FALSE)="Homologado",VLOOKUP($A162,Neuquén!$A$8:$O$291,10,FALSE),"")</f>
        <v/>
      </c>
      <c r="Q162" s="24" t="str">
        <f>IF(VLOOKUP($A162,'San Juan'!$A$8:$O$291,15,FALSE)="Homologado",VLOOKUP($A162,'San Juan'!$A$8:$O$291,10,FALSE),"")</f>
        <v/>
      </c>
      <c r="R162" s="24" t="str">
        <f>IF(VLOOKUP($A162,Salta!$A$8:$O$291,15,FALSE)="Homologado",VLOOKUP($A162,Salta!$A$8:$O$291,10,FALSE),"")</f>
        <v/>
      </c>
      <c r="S162" s="24" t="str">
        <f>IF(VLOOKUP($A162,'Master vs SAP'!$A$8:$O$291,4,FALSE)="","",VLOOKUP($A162,'Master vs SAP'!$A$8:$O$291,4,FALSE))</f>
        <v>2001263</v>
      </c>
      <c r="T162" s="9" t="str">
        <f>IF(VLOOKUP($A162,'Master vs SAP'!$A$8:$O$291,5,FALSE)="","",VLOOKUP($A162,'Master vs SAP'!$A$8:$O$291,5,FALSE))</f>
        <v>BARBIJOS QUIRURGICOS IMPORTADOS</v>
      </c>
      <c r="U162" s="9" t="str">
        <f>IF(VLOOKUP($A162,'Master vs SAP'!$A$8:$O$291,7,FALSE)="","",VLOOKUP($A162,'Master vs SAP'!$A$8:$O$291,7,FALSE))</f>
        <v>Alta</v>
      </c>
      <c r="V162" s="9" t="str">
        <f>IF(VLOOKUP($A162,'Master vs SAP'!$A$8:$O$291,6,FALSE)="","",VLOOKUP($A162,'Master vs SAP'!$A$8:$O$291,6,FALSE))</f>
        <v>Coincidencia</v>
      </c>
      <c r="W162" s="24" t="str">
        <f>IF(VLOOKUP($A162,'Master vs SAP'!$A$8:$O$291,15,FALSE)="Homologado",VLOOKUP($A162,'Master vs SAP'!$A$8:$O$291,10,FALSE),"")</f>
        <v/>
      </c>
    </row>
    <row r="163" spans="1:23" ht="61.95" customHeight="1">
      <c r="A163" s="9" t="s">
        <v>419</v>
      </c>
      <c r="B163" s="9" t="s">
        <v>357</v>
      </c>
      <c r="C163" s="9" t="s">
        <v>420</v>
      </c>
      <c r="D163" s="24" t="str">
        <f>IF(VLOOKUP($A163,Neuquén!$A$8:$O$291,4,FALSE)="","",VLOOKUP($A163,Neuquén!$A$8:$O$291,4,FALSE))</f>
        <v>338</v>
      </c>
      <c r="E163" s="9" t="str">
        <f>IF(VLOOKUP($A163,Neuquén!$A$8:$O$291,5,FALSE)="","",VLOOKUP($A163,Neuquén!$A$8:$O$291,5,FALSE))</f>
        <v>BARBIJOS</v>
      </c>
      <c r="F163" s="9" t="str">
        <f>IF(VLOOKUP($A163,Neuquén!$A$8:$O$291,7,FALSE)="","",VLOOKUP($A163,Neuquén!$A$8:$O$291,7,FALSE))</f>
        <v>Media</v>
      </c>
      <c r="G163" s="9" t="str">
        <f>IF(VLOOKUP($A163,Neuquén!$A$8:$O$291,6,FALSE)="","",VLOOKUP($A163,Neuquén!$A$8:$O$291,6,FALSE))</f>
        <v>Código compartido: revisar</v>
      </c>
      <c r="H163" s="24" t="str">
        <f>IF(VLOOKUP($A163,'San Juan'!$A$8:$O$291,4,FALSE)="","",VLOOKUP($A163,'San Juan'!$A$8:$O$291,4,FALSE))</f>
        <v>DESC24</v>
      </c>
      <c r="I163" s="9" t="str">
        <f>IF(VLOOKUP($A163,'San Juan'!$A$8:$O$291,5,FALSE)="","",VLOOKUP($A163,'San Juan'!$A$8:$O$291,5,FALSE))</f>
        <v>Barbijos N95 c/válvula</v>
      </c>
      <c r="J163" s="9" t="str">
        <f>IF(VLOOKUP($A163,'San Juan'!$A$8:$O$291,7,FALSE)="","",VLOOKUP($A163,'San Juan'!$A$8:$O$291,7,FALSE))</f>
        <v>Media</v>
      </c>
      <c r="K163" s="9" t="str">
        <f>IF(VLOOKUP($A163,'San Juan'!$A$8:$O$291,6,FALSE)="","",VLOOKUP($A163,'San Juan'!$A$8:$O$291,6,FALSE))</f>
        <v>Código compartido: revisar</v>
      </c>
      <c r="L163" s="24" t="str">
        <f>IF(VLOOKUP($A163,Salta!$A$8:$O$291,4,FALSE)="","",VLOOKUP($A163,Salta!$A$8:$O$291,4,FALSE))</f>
        <v>403</v>
      </c>
      <c r="M163" s="9" t="str">
        <f>IF(VLOOKUP($A163,Salta!$A$8:$O$291,5,FALSE)="","",VLOOKUP($A163,Salta!$A$8:$O$291,5,FALSE))</f>
        <v>Barbijo N95</v>
      </c>
      <c r="N163" s="9" t="str">
        <f>IF(VLOOKUP($A163,Salta!$A$8:$O$291,7,FALSE)="","",VLOOKUP($A163,Salta!$A$8:$O$291,7,FALSE))</f>
        <v>Alta</v>
      </c>
      <c r="O163" s="9" t="str">
        <f>IF(VLOOKUP($A163,Salta!$A$8:$O$291,6,FALSE)="","",VLOOKUP($A163,Salta!$A$8:$O$291,6,FALSE))</f>
        <v>Coincidencia</v>
      </c>
      <c r="P163" s="24" t="str">
        <f>IF(VLOOKUP($A163,Neuquén!$A$8:$O$291,15,FALSE)="Homologado",VLOOKUP($A163,Neuquén!$A$8:$O$291,10,FALSE),"")</f>
        <v/>
      </c>
      <c r="Q163" s="24" t="str">
        <f>IF(VLOOKUP($A163,'San Juan'!$A$8:$O$291,15,FALSE)="Homologado",VLOOKUP($A163,'San Juan'!$A$8:$O$291,10,FALSE),"")</f>
        <v/>
      </c>
      <c r="R163" s="24" t="str">
        <f>IF(VLOOKUP($A163,Salta!$A$8:$O$291,15,FALSE)="Homologado",VLOOKUP($A163,Salta!$A$8:$O$291,10,FALSE),"")</f>
        <v/>
      </c>
      <c r="S163" s="24" t="str">
        <f>IF(VLOOKUP($A163,'Master vs SAP'!$A$8:$O$291,4,FALSE)="","",VLOOKUP($A163,'Master vs SAP'!$A$8:$O$291,4,FALSE))</f>
        <v>2000917</v>
      </c>
      <c r="T163" s="9" t="str">
        <f>IF(VLOOKUP($A163,'Master vs SAP'!$A$8:$O$291,5,FALSE)="","",VLOOKUP($A163,'Master vs SAP'!$A$8:$O$291,5,FALSE))</f>
        <v>Barbijo 3M N95 mod 8210</v>
      </c>
      <c r="U163" s="9" t="str">
        <f>IF(VLOOKUP($A163,'Master vs SAP'!$A$8:$O$291,7,FALSE)="","",VLOOKUP($A163,'Master vs SAP'!$A$8:$O$291,7,FALSE))</f>
        <v>Alta</v>
      </c>
      <c r="V163" s="9" t="str">
        <f>IF(VLOOKUP($A163,'Master vs SAP'!$A$8:$O$291,6,FALSE)="","",VLOOKUP($A163,'Master vs SAP'!$A$8:$O$291,6,FALSE))</f>
        <v>Coincidencia</v>
      </c>
      <c r="W163" s="24" t="str">
        <f>IF(VLOOKUP($A163,'Master vs SAP'!$A$8:$O$291,15,FALSE)="Homologado",VLOOKUP($A163,'Master vs SAP'!$A$8:$O$291,10,FALSE),"")</f>
        <v/>
      </c>
    </row>
    <row r="164" spans="1:23" ht="61.95" customHeight="1">
      <c r="A164" s="9" t="s">
        <v>421</v>
      </c>
      <c r="B164" s="9" t="s">
        <v>357</v>
      </c>
      <c r="C164" s="9" t="s">
        <v>422</v>
      </c>
      <c r="D164" s="24" t="str">
        <f>IF(VLOOKUP($A164,Neuquén!$A$8:$O$291,4,FALSE)="","",VLOOKUP($A164,Neuquén!$A$8:$O$291,4,FALSE))</f>
        <v>361</v>
      </c>
      <c r="E164" s="9" t="str">
        <f>IF(VLOOKUP($A164,Neuquén!$A$8:$O$291,5,FALSE)="","",VLOOKUP($A164,Neuquén!$A$8:$O$291,5,FALSE))</f>
        <v>DESCARTADORCORTOPUNZANTES4LTS</v>
      </c>
      <c r="F164" s="9" t="str">
        <f>IF(VLOOKUP($A164,Neuquén!$A$8:$O$291,7,FALSE)="","",VLOOKUP($A164,Neuquén!$A$8:$O$291,7,FALSE))</f>
        <v>Media</v>
      </c>
      <c r="G164" s="9" t="str">
        <f>IF(VLOOKUP($A164,Neuquén!$A$8:$O$291,6,FALSE)="","",VLOOKUP($A164,Neuquén!$A$8:$O$291,6,FALSE))</f>
        <v>Equivalencia a revisar</v>
      </c>
      <c r="H164" s="24" t="str">
        <f>IF(VLOOKUP($A164,'San Juan'!$A$8:$O$291,4,FALSE)="","",VLOOKUP($A164,'San Juan'!$A$8:$O$291,4,FALSE))</f>
        <v>DESC54</v>
      </c>
      <c r="I164" s="9" t="str">
        <f>IF(VLOOKUP($A164,'San Juan'!$A$8:$O$291,5,FALSE)="","",VLOOKUP($A164,'San Juan'!$A$8:$O$291,5,FALSE))</f>
        <v>Descartador Grande</v>
      </c>
      <c r="J164" s="9" t="str">
        <f>IF(VLOOKUP($A164,'San Juan'!$A$8:$O$291,7,FALSE)="","",VLOOKUP($A164,'San Juan'!$A$8:$O$291,7,FALSE))</f>
        <v>Alta</v>
      </c>
      <c r="K164" s="9" t="str">
        <f>IF(VLOOKUP($A164,'San Juan'!$A$8:$O$291,6,FALSE)="","",VLOOKUP($A164,'San Juan'!$A$8:$O$291,6,FALSE))</f>
        <v>Coincidencia por validar</v>
      </c>
      <c r="L164" s="24" t="str">
        <f>IF(VLOOKUP($A164,Salta!$A$8:$O$291,4,FALSE)="","",VLOOKUP($A164,Salta!$A$8:$O$291,4,FALSE))</f>
        <v/>
      </c>
      <c r="M164" s="9" t="str">
        <f>IF(VLOOKUP($A164,Salta!$A$8:$O$291,5,FALSE)="","",VLOOKUP($A164,Salta!$A$8:$O$291,5,FALSE))</f>
        <v/>
      </c>
      <c r="N164" s="9" t="str">
        <f>IF(VLOOKUP($A164,Salta!$A$8:$O$291,7,FALSE)="","",VLOOKUP($A164,Salta!$A$8:$O$291,7,FALSE))</f>
        <v>Sin coincidencia</v>
      </c>
      <c r="O164" s="9" t="str">
        <f>IF(VLOOKUP($A164,Salta!$A$8:$O$291,6,FALSE)="","",VLOOKUP($A164,Salta!$A$8:$O$291,6,FALSE))</f>
        <v>Sin coincidencia</v>
      </c>
      <c r="P164" s="24" t="str">
        <f>IF(VLOOKUP($A164,Neuquén!$A$8:$O$291,15,FALSE)="Homologado",VLOOKUP($A164,Neuquén!$A$8:$O$291,10,FALSE),"")</f>
        <v/>
      </c>
      <c r="Q164" s="24" t="str">
        <f>IF(VLOOKUP($A164,'San Juan'!$A$8:$O$291,15,FALSE)="Homologado",VLOOKUP($A164,'San Juan'!$A$8:$O$291,10,FALSE),"")</f>
        <v/>
      </c>
      <c r="R164" s="24" t="str">
        <f>IF(VLOOKUP($A164,Salta!$A$8:$O$291,15,FALSE)="Homologado",VLOOKUP($A164,Salta!$A$8:$O$291,10,FALSE),"")</f>
        <v/>
      </c>
      <c r="S164" s="24" t="str">
        <f>IF(VLOOKUP($A164,'Master vs SAP'!$A$8:$O$291,4,FALSE)="","",VLOOKUP($A164,'Master vs SAP'!$A$8:$O$291,4,FALSE))</f>
        <v>2000014
1005328</v>
      </c>
      <c r="T164" s="9" t="str">
        <f>IF(VLOOKUP($A164,'Master vs SAP'!$A$8:$O$291,5,FALSE)="","",VLOOKUP($A164,'Master vs SAP'!$A$8:$O$291,5,FALSE))</f>
        <v>DESCARTADOR DE PUNZANTES DE 5LT
DESCARTADOR DE PUNZANTES CHICO DE 1/2LT</v>
      </c>
      <c r="U164" s="9" t="str">
        <f>IF(VLOOKUP($A164,'Master vs SAP'!$A$8:$O$291,7,FALSE)="","",VLOOKUP($A164,'Master vs SAP'!$A$8:$O$291,7,FALSE))</f>
        <v>Media</v>
      </c>
      <c r="V164" s="9" t="str">
        <f>IF(VLOOKUP($A164,'Master vs SAP'!$A$8:$O$291,6,FALSE)="","",VLOOKUP($A164,'Master vs SAP'!$A$8:$O$291,6,FALSE))</f>
        <v>Revisar grupo</v>
      </c>
      <c r="W164" s="24" t="str">
        <f>IF(VLOOKUP($A164,'Master vs SAP'!$A$8:$O$291,15,FALSE)="Homologado",VLOOKUP($A164,'Master vs SAP'!$A$8:$O$291,10,FALSE),"")</f>
        <v/>
      </c>
    </row>
    <row r="165" spans="1:23" ht="61.95" customHeight="1">
      <c r="A165" s="9" t="s">
        <v>423</v>
      </c>
      <c r="B165" s="9" t="s">
        <v>357</v>
      </c>
      <c r="C165" s="9" t="s">
        <v>424</v>
      </c>
      <c r="D165" s="24" t="str">
        <f>IF(VLOOKUP($A165,Neuquén!$A$8:$O$291,4,FALSE)="","",VLOOKUP($A165,Neuquén!$A$8:$O$291,4,FALSE))</f>
        <v>304</v>
      </c>
      <c r="E165" s="9" t="str">
        <f>IF(VLOOKUP($A165,Neuquén!$A$8:$O$291,5,FALSE)="","",VLOOKUP($A165,Neuquén!$A$8:$O$291,5,FALSE))</f>
        <v>BOLSASROJAS</v>
      </c>
      <c r="F165" s="9" t="str">
        <f>IF(VLOOKUP($A165,Neuquén!$A$8:$O$291,7,FALSE)="","",VLOOKUP($A165,Neuquén!$A$8:$O$291,7,FALSE))</f>
        <v>Media</v>
      </c>
      <c r="G165" s="9" t="str">
        <f>IF(VLOOKUP($A165,Neuquén!$A$8:$O$291,6,FALSE)="","",VLOOKUP($A165,Neuquén!$A$8:$O$291,6,FALSE))</f>
        <v>Equivalencia a revisar</v>
      </c>
      <c r="H165" s="24" t="str">
        <f>IF(VLOOKUP($A165,'San Juan'!$A$8:$O$291,4,FALSE)="","",VLOOKUP($A165,'San Juan'!$A$8:$O$291,4,FALSE))</f>
        <v/>
      </c>
      <c r="I165" s="9" t="str">
        <f>IF(VLOOKUP($A165,'San Juan'!$A$8:$O$291,5,FALSE)="","",VLOOKUP($A165,'San Juan'!$A$8:$O$291,5,FALSE))</f>
        <v/>
      </c>
      <c r="J165" s="9" t="str">
        <f>IF(VLOOKUP($A165,'San Juan'!$A$8:$O$291,7,FALSE)="","",VLOOKUP($A165,'San Juan'!$A$8:$O$291,7,FALSE))</f>
        <v>Sin coincidencia</v>
      </c>
      <c r="K165" s="9" t="str">
        <f>IF(VLOOKUP($A165,'San Juan'!$A$8:$O$291,6,FALSE)="","",VLOOKUP($A165,'San Juan'!$A$8:$O$291,6,FALSE))</f>
        <v>Sin código encontrado</v>
      </c>
      <c r="L165" s="24" t="str">
        <f>IF(VLOOKUP($A165,Salta!$A$8:$O$291,4,FALSE)="","",VLOOKUP($A165,Salta!$A$8:$O$291,4,FALSE))</f>
        <v/>
      </c>
      <c r="M165" s="9" t="str">
        <f>IF(VLOOKUP($A165,Salta!$A$8:$O$291,5,FALSE)="","",VLOOKUP($A165,Salta!$A$8:$O$291,5,FALSE))</f>
        <v/>
      </c>
      <c r="N165" s="9" t="str">
        <f>IF(VLOOKUP($A165,Salta!$A$8:$O$291,7,FALSE)="","",VLOOKUP($A165,Salta!$A$8:$O$291,7,FALSE))</f>
        <v>Sin coincidencia</v>
      </c>
      <c r="O165" s="9" t="str">
        <f>IF(VLOOKUP($A165,Salta!$A$8:$O$291,6,FALSE)="","",VLOOKUP($A165,Salta!$A$8:$O$291,6,FALSE))</f>
        <v>Sin coincidencia</v>
      </c>
      <c r="P165" s="24" t="str">
        <f>IF(VLOOKUP($A165,Neuquén!$A$8:$O$291,15,FALSE)="Homologado",VLOOKUP($A165,Neuquén!$A$8:$O$291,10,FALSE),"")</f>
        <v/>
      </c>
      <c r="Q165" s="24" t="str">
        <f>IF(VLOOKUP($A165,'San Juan'!$A$8:$O$291,15,FALSE)="Homologado",VLOOKUP($A165,'San Juan'!$A$8:$O$291,10,FALSE),"")</f>
        <v/>
      </c>
      <c r="R165" s="24" t="str">
        <f>IF(VLOOKUP($A165,Salta!$A$8:$O$291,15,FALSE)="Homologado",VLOOKUP($A165,Salta!$A$8:$O$291,10,FALSE),"")</f>
        <v/>
      </c>
      <c r="S165" s="24" t="str">
        <f>IF(VLOOKUP($A165,'Master vs SAP'!$A$8:$O$291,4,FALSE)="","",VLOOKUP($A165,'Master vs SAP'!$A$8:$O$291,4,FALSE))</f>
        <v>2000101
5000149</v>
      </c>
      <c r="T165" s="9" t="str">
        <f>IF(VLOOKUP($A165,'Master vs SAP'!$A$8:$O$291,5,FALSE)="","",VLOOKUP($A165,'Master vs SAP'!$A$8:$O$291,5,FALSE))</f>
        <v>BOLSA ROJA GRANDE
BOLSA ROJA</v>
      </c>
      <c r="U165" s="9" t="str">
        <f>IF(VLOOKUP($A165,'Master vs SAP'!$A$8:$O$291,7,FALSE)="","",VLOOKUP($A165,'Master vs SAP'!$A$8:$O$291,7,FALSE))</f>
        <v>Media</v>
      </c>
      <c r="V165" s="9" t="str">
        <f>IF(VLOOKUP($A165,'Master vs SAP'!$A$8:$O$291,6,FALSE)="","",VLOOKUP($A165,'Master vs SAP'!$A$8:$O$291,6,FALSE))</f>
        <v>Revisar datos</v>
      </c>
      <c r="W165" s="24" t="str">
        <f>IF(VLOOKUP($A165,'Master vs SAP'!$A$8:$O$291,15,FALSE)="Homologado",VLOOKUP($A165,'Master vs SAP'!$A$8:$O$291,10,FALSE),"")</f>
        <v/>
      </c>
    </row>
    <row r="166" spans="1:23" ht="61.95" customHeight="1">
      <c r="A166" s="9" t="s">
        <v>425</v>
      </c>
      <c r="B166" s="9" t="s">
        <v>357</v>
      </c>
      <c r="C166" s="9" t="s">
        <v>426</v>
      </c>
      <c r="D166" s="24" t="str">
        <f>IF(VLOOKUP($A166,Neuquén!$A$8:$O$291,4,FALSE)="","",VLOOKUP($A166,Neuquén!$A$8:$O$291,4,FALSE))</f>
        <v>318</v>
      </c>
      <c r="E166" s="9" t="str">
        <f>IF(VLOOKUP($A166,Neuquén!$A$8:$O$291,5,FALSE)="","",VLOOKUP($A166,Neuquén!$A$8:$O$291,5,FALSE))</f>
        <v>MASCARAC/RESERVORIOnousar</v>
      </c>
      <c r="F166" s="9" t="str">
        <f>IF(VLOOKUP($A166,Neuquén!$A$8:$O$291,7,FALSE)="","",VLOOKUP($A166,Neuquén!$A$8:$O$291,7,FALSE))</f>
        <v>Media</v>
      </c>
      <c r="G166" s="9" t="str">
        <f>IF(VLOOKUP($A166,Neuquén!$A$8:$O$291,6,FALSE)="","",VLOOKUP($A166,Neuquén!$A$8:$O$291,6,FALSE))</f>
        <v>Código compartido: revisar</v>
      </c>
      <c r="H166" s="24" t="str">
        <f>IF(VLOOKUP($A166,'San Juan'!$A$8:$O$291,4,FALSE)="","",VLOOKUP($A166,'San Juan'!$A$8:$O$291,4,FALSE))</f>
        <v>DESC93</v>
      </c>
      <c r="I166" s="9" t="str">
        <f>IF(VLOOKUP($A166,'San Juan'!$A$8:$O$291,5,FALSE)="","",VLOOKUP($A166,'San Juan'!$A$8:$O$291,5,FALSE))</f>
        <v>Mascaras para oxigeno c/ reservorio</v>
      </c>
      <c r="J166" s="9" t="str">
        <f>IF(VLOOKUP($A166,'San Juan'!$A$8:$O$291,7,FALSE)="","",VLOOKUP($A166,'San Juan'!$A$8:$O$291,7,FALSE))</f>
        <v>Media</v>
      </c>
      <c r="K166" s="9" t="str">
        <f>IF(VLOOKUP($A166,'San Juan'!$A$8:$O$291,6,FALSE)="","",VLOOKUP($A166,'San Juan'!$A$8:$O$291,6,FALSE))</f>
        <v>Código compartido: revisar</v>
      </c>
      <c r="L166" s="24" t="str">
        <f>IF(VLOOKUP($A166,Salta!$A$8:$O$291,4,FALSE)="","",VLOOKUP($A166,Salta!$A$8:$O$291,4,FALSE))</f>
        <v>182</v>
      </c>
      <c r="M166" s="9" t="str">
        <f>IF(VLOOKUP($A166,Salta!$A$8:$O$291,5,FALSE)="","",VLOOKUP($A166,Salta!$A$8:$O$291,5,FALSE))</f>
        <v>Máscaras para oxigeno c/ reservorio</v>
      </c>
      <c r="N166" s="9" t="str">
        <f>IF(VLOOKUP($A166,Salta!$A$8:$O$291,7,FALSE)="","",VLOOKUP($A166,Salta!$A$8:$O$291,7,FALSE))</f>
        <v>Alta</v>
      </c>
      <c r="O166" s="9" t="str">
        <f>IF(VLOOKUP($A166,Salta!$A$8:$O$291,6,FALSE)="","",VLOOKUP($A166,Salta!$A$8:$O$291,6,FALSE))</f>
        <v>Coincidencia</v>
      </c>
      <c r="P166" s="24" t="str">
        <f>IF(VLOOKUP($A166,Neuquén!$A$8:$O$291,15,FALSE)="Homologado",VLOOKUP($A166,Neuquén!$A$8:$O$291,10,FALSE),"")</f>
        <v/>
      </c>
      <c r="Q166" s="24" t="str">
        <f>IF(VLOOKUP($A166,'San Juan'!$A$8:$O$291,15,FALSE)="Homologado",VLOOKUP($A166,'San Juan'!$A$8:$O$291,10,FALSE),"")</f>
        <v/>
      </c>
      <c r="R166" s="24" t="str">
        <f>IF(VLOOKUP($A166,Salta!$A$8:$O$291,15,FALSE)="Homologado",VLOOKUP($A166,Salta!$A$8:$O$291,10,FALSE),"")</f>
        <v/>
      </c>
      <c r="S166" s="24" t="str">
        <f>IF(VLOOKUP($A166,'Master vs SAP'!$A$8:$O$291,4,FALSE)="","",VLOOKUP($A166,'Master vs SAP'!$A$8:$O$291,4,FALSE))</f>
        <v>2000363
2000364</v>
      </c>
      <c r="T166" s="9" t="str">
        <f>IF(VLOOKUP($A166,'Master vs SAP'!$A$8:$O$291,5,FALSE)="","",VLOOKUP($A166,'Master vs SAP'!$A$8:$O$291,5,FALSE))</f>
        <v>MASCARA PARA O2 ADULTO CON RESERVORIO
MASCARA PARA O2 PEDIATRICA CON RESERVORI</v>
      </c>
      <c r="U166" s="9" t="str">
        <f>IF(VLOOKUP($A166,'Master vs SAP'!$A$8:$O$291,7,FALSE)="","",VLOOKUP($A166,'Master vs SAP'!$A$8:$O$291,7,FALSE))</f>
        <v>Media</v>
      </c>
      <c r="V166" s="9" t="str">
        <f>IF(VLOOKUP($A166,'Master vs SAP'!$A$8:$O$291,6,FALSE)="","",VLOOKUP($A166,'Master vs SAP'!$A$8:$O$291,6,FALSE))</f>
        <v>Revisar grupo</v>
      </c>
      <c r="W166" s="24" t="str">
        <f>IF(VLOOKUP($A166,'Master vs SAP'!$A$8:$O$291,15,FALSE)="Homologado",VLOOKUP($A166,'Master vs SAP'!$A$8:$O$291,10,FALSE),"")</f>
        <v/>
      </c>
    </row>
    <row r="167" spans="1:23" ht="61.95" customHeight="1">
      <c r="A167" s="9" t="s">
        <v>427</v>
      </c>
      <c r="B167" s="9" t="s">
        <v>357</v>
      </c>
      <c r="C167" s="9" t="s">
        <v>428</v>
      </c>
      <c r="D167" s="24" t="str">
        <f>IF(VLOOKUP($A167,Neuquén!$A$8:$O$291,4,FALSE)="","",VLOOKUP($A167,Neuquén!$A$8:$O$291,4,FALSE))</f>
        <v>345</v>
      </c>
      <c r="E167" s="9" t="str">
        <f>IF(VLOOKUP($A167,Neuquén!$A$8:$O$291,5,FALSE)="","",VLOOKUP($A167,Neuquén!$A$8:$O$291,5,FALSE))</f>
        <v>mascaranebulizar</v>
      </c>
      <c r="F167" s="9" t="str">
        <f>IF(VLOOKUP($A167,Neuquén!$A$8:$O$291,7,FALSE)="","",VLOOKUP($A167,Neuquén!$A$8:$O$291,7,FALSE))</f>
        <v>Media</v>
      </c>
      <c r="G167" s="9" t="str">
        <f>IF(VLOOKUP($A167,Neuquén!$A$8:$O$291,6,FALSE)="","",VLOOKUP($A167,Neuquén!$A$8:$O$291,6,FALSE))</f>
        <v>Código compartido: revisar</v>
      </c>
      <c r="H167" s="24" t="str">
        <f>IF(VLOOKUP($A167,'San Juan'!$A$8:$O$291,4,FALSE)="","",VLOOKUP($A167,'San Juan'!$A$8:$O$291,4,FALSE))</f>
        <v>DESC92</v>
      </c>
      <c r="I167" s="9" t="str">
        <f>IF(VLOOKUP($A167,'San Juan'!$A$8:$O$291,5,FALSE)="","",VLOOKUP($A167,'San Juan'!$A$8:$O$291,5,FALSE))</f>
        <v>Mascaras para nebulizar</v>
      </c>
      <c r="J167" s="9" t="str">
        <f>IF(VLOOKUP($A167,'San Juan'!$A$8:$O$291,7,FALSE)="","",VLOOKUP($A167,'San Juan'!$A$8:$O$291,7,FALSE))</f>
        <v>Media</v>
      </c>
      <c r="K167" s="9" t="str">
        <f>IF(VLOOKUP($A167,'San Juan'!$A$8:$O$291,6,FALSE)="","",VLOOKUP($A167,'San Juan'!$A$8:$O$291,6,FALSE))</f>
        <v>Código compartido: revisar</v>
      </c>
      <c r="L167" s="24" t="str">
        <f>IF(VLOOKUP($A167,Salta!$A$8:$O$291,4,FALSE)="","",VLOOKUP($A167,Salta!$A$8:$O$291,4,FALSE))</f>
        <v>181</v>
      </c>
      <c r="M167" s="9" t="str">
        <f>IF(VLOOKUP($A167,Salta!$A$8:$O$291,5,FALSE)="","",VLOOKUP($A167,Salta!$A$8:$O$291,5,FALSE))</f>
        <v>Mascara NBZ</v>
      </c>
      <c r="N167" s="9" t="str">
        <f>IF(VLOOKUP($A167,Salta!$A$8:$O$291,7,FALSE)="","",VLOOKUP($A167,Salta!$A$8:$O$291,7,FALSE))</f>
        <v>Alta</v>
      </c>
      <c r="O167" s="9" t="str">
        <f>IF(VLOOKUP($A167,Salta!$A$8:$O$291,6,FALSE)="","",VLOOKUP($A167,Salta!$A$8:$O$291,6,FALSE))</f>
        <v>Coincidencia</v>
      </c>
      <c r="P167" s="24" t="str">
        <f>IF(VLOOKUP($A167,Neuquén!$A$8:$O$291,15,FALSE)="Homologado",VLOOKUP($A167,Neuquén!$A$8:$O$291,10,FALSE),"")</f>
        <v/>
      </c>
      <c r="Q167" s="24" t="str">
        <f>IF(VLOOKUP($A167,'San Juan'!$A$8:$O$291,15,FALSE)="Homologado",VLOOKUP($A167,'San Juan'!$A$8:$O$291,10,FALSE),"")</f>
        <v/>
      </c>
      <c r="R167" s="24" t="str">
        <f>IF(VLOOKUP($A167,Salta!$A$8:$O$291,15,FALSE)="Homologado",VLOOKUP($A167,Salta!$A$8:$O$291,10,FALSE),"")</f>
        <v/>
      </c>
      <c r="S167" s="24" t="str">
        <f>IF(VLOOKUP($A167,'Master vs SAP'!$A$8:$O$291,4,FALSE)="","",VLOOKUP($A167,'Master vs SAP'!$A$8:$O$291,4,FALSE))</f>
        <v>2000090
2000167</v>
      </c>
      <c r="T167" s="9" t="str">
        <f>IF(VLOOKUP($A167,'Master vs SAP'!$A$8:$O$291,5,FALSE)="","",VLOOKUP($A167,'Master vs SAP'!$A$8:$O$291,5,FALSE))</f>
        <v>MASCARA PARA NEBULIZAR ADULTO
MASCARA PARA NEBULIZAR PEDIATRICA</v>
      </c>
      <c r="U167" s="9" t="str">
        <f>IF(VLOOKUP($A167,'Master vs SAP'!$A$8:$O$291,7,FALSE)="","",VLOOKUP($A167,'Master vs SAP'!$A$8:$O$291,7,FALSE))</f>
        <v>Media</v>
      </c>
      <c r="V167" s="9" t="str">
        <f>IF(VLOOKUP($A167,'Master vs SAP'!$A$8:$O$291,6,FALSE)="","",VLOOKUP($A167,'Master vs SAP'!$A$8:$O$291,6,FALSE))</f>
        <v>Revisar grupo</v>
      </c>
      <c r="W167" s="24" t="str">
        <f>IF(VLOOKUP($A167,'Master vs SAP'!$A$8:$O$291,15,FALSE)="Homologado",VLOOKUP($A167,'Master vs SAP'!$A$8:$O$291,10,FALSE),"")</f>
        <v/>
      </c>
    </row>
    <row r="168" spans="1:23" ht="61.95" customHeight="1">
      <c r="A168" s="9" t="s">
        <v>429</v>
      </c>
      <c r="B168" s="9" t="s">
        <v>357</v>
      </c>
      <c r="C168" s="9" t="s">
        <v>430</v>
      </c>
      <c r="D168" s="24" t="str">
        <f>IF(VLOOKUP($A168,Neuquén!$A$8:$O$291,4,FALSE)="","",VLOOKUP($A168,Neuquén!$A$8:$O$291,4,FALSE))</f>
        <v>352</v>
      </c>
      <c r="E168" s="9" t="str">
        <f>IF(VLOOKUP($A168,Neuquén!$A$8:$O$291,5,FALSE)="","",VLOOKUP($A168,Neuquén!$A$8:$O$291,5,FALSE))</f>
        <v>bigoteras</v>
      </c>
      <c r="F168" s="9" t="str">
        <f>IF(VLOOKUP($A168,Neuquén!$A$8:$O$291,7,FALSE)="","",VLOOKUP($A168,Neuquén!$A$8:$O$291,7,FALSE))</f>
        <v>Sin coincidencia</v>
      </c>
      <c r="G168" s="9" t="str">
        <f>IF(VLOOKUP($A168,Neuquén!$A$8:$O$291,6,FALSE)="","",VLOOKUP($A168,Neuquén!$A$8:$O$291,6,FALSE))</f>
        <v>Código sin equivalencia validada</v>
      </c>
      <c r="H168" s="24" t="str">
        <f>IF(VLOOKUP($A168,'San Juan'!$A$8:$O$291,4,FALSE)="","",VLOOKUP($A168,'San Juan'!$A$8:$O$291,4,FALSE))</f>
        <v>DESC36</v>
      </c>
      <c r="I168" s="9" t="str">
        <f>IF(VLOOKUP($A168,'San Juan'!$A$8:$O$291,5,FALSE)="","",VLOOKUP($A168,'San Juan'!$A$8:$O$291,5,FALSE))</f>
        <v>Canula nasal</v>
      </c>
      <c r="J168" s="9" t="str">
        <f>IF(VLOOKUP($A168,'San Juan'!$A$8:$O$291,7,FALSE)="","",VLOOKUP($A168,'San Juan'!$A$8:$O$291,7,FALSE))</f>
        <v>Media</v>
      </c>
      <c r="K168" s="9" t="str">
        <f>IF(VLOOKUP($A168,'San Juan'!$A$8:$O$291,6,FALSE)="","",VLOOKUP($A168,'San Juan'!$A$8:$O$291,6,FALSE))</f>
        <v>Código compartido: revisar</v>
      </c>
      <c r="L168" s="24" t="str">
        <f>IF(VLOOKUP($A168,Salta!$A$8:$O$291,4,FALSE)="","",VLOOKUP($A168,Salta!$A$8:$O$291,4,FALSE))</f>
        <v>56</v>
      </c>
      <c r="M168" s="9" t="str">
        <f>IF(VLOOKUP($A168,Salta!$A$8:$O$291,5,FALSE)="","",VLOOKUP($A168,Salta!$A$8:$O$291,5,FALSE))</f>
        <v>Canula nasal para oxigeno</v>
      </c>
      <c r="N168" s="9" t="str">
        <f>IF(VLOOKUP($A168,Salta!$A$8:$O$291,7,FALSE)="","",VLOOKUP($A168,Salta!$A$8:$O$291,7,FALSE))</f>
        <v>Alta</v>
      </c>
      <c r="O168" s="9" t="str">
        <f>IF(VLOOKUP($A168,Salta!$A$8:$O$291,6,FALSE)="","",VLOOKUP($A168,Salta!$A$8:$O$291,6,FALSE))</f>
        <v>Coincidencia</v>
      </c>
      <c r="P168" s="24" t="str">
        <f>IF(VLOOKUP($A168,Neuquén!$A$8:$O$291,15,FALSE)="Homologado",VLOOKUP($A168,Neuquén!$A$8:$O$291,10,FALSE),"")</f>
        <v/>
      </c>
      <c r="Q168" s="24" t="str">
        <f>IF(VLOOKUP($A168,'San Juan'!$A$8:$O$291,15,FALSE)="Homologado",VLOOKUP($A168,'San Juan'!$A$8:$O$291,10,FALSE),"")</f>
        <v/>
      </c>
      <c r="R168" s="24" t="str">
        <f>IF(VLOOKUP($A168,Salta!$A$8:$O$291,15,FALSE)="Homologado",VLOOKUP($A168,Salta!$A$8:$O$291,10,FALSE),"")</f>
        <v/>
      </c>
      <c r="S168" s="24" t="str">
        <f>IF(VLOOKUP($A168,'Master vs SAP'!$A$8:$O$291,4,FALSE)="","",VLOOKUP($A168,'Master vs SAP'!$A$8:$O$291,4,FALSE))</f>
        <v>2000462</v>
      </c>
      <c r="T168" s="9" t="str">
        <f>IF(VLOOKUP($A168,'Master vs SAP'!$A$8:$O$291,5,FALSE)="","",VLOOKUP($A168,'Master vs SAP'!$A$8:$O$291,5,FALSE))</f>
        <v>BIGOTERA DESCARTABLE</v>
      </c>
      <c r="U168" s="9" t="str">
        <f>IF(VLOOKUP($A168,'Master vs SAP'!$A$8:$O$291,7,FALSE)="","",VLOOKUP($A168,'Master vs SAP'!$A$8:$O$291,7,FALSE))</f>
        <v>Alta</v>
      </c>
      <c r="V168" s="9" t="str">
        <f>IF(VLOOKUP($A168,'Master vs SAP'!$A$8:$O$291,6,FALSE)="","",VLOOKUP($A168,'Master vs SAP'!$A$8:$O$291,6,FALSE))</f>
        <v>Coincidencia</v>
      </c>
      <c r="W168" s="24" t="str">
        <f>IF(VLOOKUP($A168,'Master vs SAP'!$A$8:$O$291,15,FALSE)="Homologado",VLOOKUP($A168,'Master vs SAP'!$A$8:$O$291,10,FALSE),"")</f>
        <v/>
      </c>
    </row>
    <row r="169" spans="1:23" ht="94.05" customHeight="1">
      <c r="A169" s="9" t="s">
        <v>431</v>
      </c>
      <c r="B169" s="9" t="s">
        <v>357</v>
      </c>
      <c r="C169" s="9" t="s">
        <v>432</v>
      </c>
      <c r="D169" s="24" t="str">
        <f>IF(VLOOKUP($A169,Neuquén!$A$8:$O$291,4,FALSE)="","",VLOOKUP($A169,Neuquén!$A$8:$O$291,4,FALSE))</f>
        <v>285</v>
      </c>
      <c r="E169" s="9" t="str">
        <f>IF(VLOOKUP($A169,Neuquén!$A$8:$O$291,5,FALSE)="","",VLOOKUP($A169,Neuquén!$A$8:$O$291,5,FALSE))</f>
        <v>Sondadeaspiracion</v>
      </c>
      <c r="F169" s="9" t="str">
        <f>IF(VLOOKUP($A169,Neuquén!$A$8:$O$291,7,FALSE)="","",VLOOKUP($A169,Neuquén!$A$8:$O$291,7,FALSE))</f>
        <v>Alta</v>
      </c>
      <c r="G169" s="9" t="str">
        <f>IF(VLOOKUP($A169,Neuquén!$A$8:$O$291,6,FALSE)="","",VLOOKUP($A169,Neuquén!$A$8:$O$291,6,FALSE))</f>
        <v>Coincidencia por validar</v>
      </c>
      <c r="H169" s="24" t="str">
        <f>IF(VLOOKUP($A169,'San Juan'!$A$8:$O$291,4,FALSE)="","",VLOOKUP($A169,'San Juan'!$A$8:$O$291,4,FALSE))</f>
        <v>DESC119</v>
      </c>
      <c r="I169" s="9" t="str">
        <f>IF(VLOOKUP($A169,'San Juan'!$A$8:$O$291,5,FALSE)="","",VLOOKUP($A169,'San Juan'!$A$8:$O$291,5,FALSE))</f>
        <v>Sonda para aspiración K 29</v>
      </c>
      <c r="J169" s="9" t="str">
        <f>IF(VLOOKUP($A169,'San Juan'!$A$8:$O$291,7,FALSE)="","",VLOOKUP($A169,'San Juan'!$A$8:$O$291,7,FALSE))</f>
        <v>Media</v>
      </c>
      <c r="K169" s="9" t="str">
        <f>IF(VLOOKUP($A169,'San Juan'!$A$8:$O$291,6,FALSE)="","",VLOOKUP($A169,'San Juan'!$A$8:$O$291,6,FALSE))</f>
        <v>Código compartido: revisar</v>
      </c>
      <c r="L169" s="24" t="str">
        <f>IF(VLOOKUP($A169,Salta!$A$8:$O$291,4,FALSE)="","",VLOOKUP($A169,Salta!$A$8:$O$291,4,FALSE))</f>
        <v>430</v>
      </c>
      <c r="M169" s="9" t="str">
        <f>IF(VLOOKUP($A169,Salta!$A$8:$O$291,5,FALSE)="","",VLOOKUP($A169,Salta!$A$8:$O$291,5,FALSE))</f>
        <v>Sonda de Aspiracion K30</v>
      </c>
      <c r="N169" s="9" t="str">
        <f>IF(VLOOKUP($A169,Salta!$A$8:$O$291,7,FALSE)="","",VLOOKUP($A169,Salta!$A$8:$O$291,7,FALSE))</f>
        <v>Alta</v>
      </c>
      <c r="O169" s="9" t="str">
        <f>IF(VLOOKUP($A169,Salta!$A$8:$O$291,6,FALSE)="","",VLOOKUP($A169,Salta!$A$8:$O$291,6,FALSE))</f>
        <v>Coincidencia</v>
      </c>
      <c r="P169" s="24" t="str">
        <f>IF(VLOOKUP($A169,Neuquén!$A$8:$O$291,15,FALSE)="Homologado",VLOOKUP($A169,Neuquén!$A$8:$O$291,10,FALSE),"")</f>
        <v/>
      </c>
      <c r="Q169" s="24" t="str">
        <f>IF(VLOOKUP($A169,'San Juan'!$A$8:$O$291,15,FALSE)="Homologado",VLOOKUP($A169,'San Juan'!$A$8:$O$291,10,FALSE),"")</f>
        <v/>
      </c>
      <c r="R169" s="24" t="str">
        <f>IF(VLOOKUP($A169,Salta!$A$8:$O$291,15,FALSE)="Homologado",VLOOKUP($A169,Salta!$A$8:$O$291,10,FALSE),"")</f>
        <v/>
      </c>
      <c r="S169" s="24" t="str">
        <f>IF(VLOOKUP($A169,'Master vs SAP'!$A$8:$O$291,4,FALSE)="","",VLOOKUP($A169,'Master vs SAP'!$A$8:$O$291,4,FALSE))</f>
        <v>2000243
2000369
2000811
2001270</v>
      </c>
      <c r="T169" s="9" t="str">
        <f>IF(VLOOKUP($A169,'Master vs SAP'!$A$8:$O$291,5,FALSE)="","",VLOOKUP($A169,'Master vs SAP'!$A$8:$O$291,5,FALSE))</f>
        <v>SONDA DE ASPIRACION K-30P TOM FAC
SONDA DE ASPIRACION K-30P BIOFIL
SONDA C/REGULADOR PARA ASPIRACION N°K30
SONDA ASPIRACION K30 S/REGUL</v>
      </c>
      <c r="U169" s="9" t="str">
        <f>IF(VLOOKUP($A169,'Master vs SAP'!$A$8:$O$291,7,FALSE)="","",VLOOKUP($A169,'Master vs SAP'!$A$8:$O$291,7,FALSE))</f>
        <v>Media</v>
      </c>
      <c r="V169" s="9" t="str">
        <f>IF(VLOOKUP($A169,'Master vs SAP'!$A$8:$O$291,6,FALSE)="","",VLOOKUP($A169,'Master vs SAP'!$A$8:$O$291,6,FALSE))</f>
        <v>Revisar grupo</v>
      </c>
      <c r="W169" s="24" t="str">
        <f>IF(VLOOKUP($A169,'Master vs SAP'!$A$8:$O$291,15,FALSE)="Homologado",VLOOKUP($A169,'Master vs SAP'!$A$8:$O$291,10,FALSE),"")</f>
        <v/>
      </c>
    </row>
    <row r="170" spans="1:23" ht="61.95" customHeight="1">
      <c r="A170" s="9" t="s">
        <v>433</v>
      </c>
      <c r="B170" s="9" t="s">
        <v>357</v>
      </c>
      <c r="C170" s="9" t="s">
        <v>434</v>
      </c>
      <c r="D170" s="24" t="str">
        <f>IF(VLOOKUP($A170,Neuquén!$A$8:$O$291,4,FALSE)="","",VLOOKUP($A170,Neuquén!$A$8:$O$291,4,FALSE))</f>
        <v>287</v>
      </c>
      <c r="E170" s="9" t="str">
        <f>IF(VLOOKUP($A170,Neuquén!$A$8:$O$291,5,FALSE)="","",VLOOKUP($A170,Neuquén!$A$8:$O$291,5,FALSE))</f>
        <v>SondanasogastricaN°10</v>
      </c>
      <c r="F170" s="9" t="str">
        <f>IF(VLOOKUP($A170,Neuquén!$A$8:$O$291,7,FALSE)="","",VLOOKUP($A170,Neuquén!$A$8:$O$291,7,FALSE))</f>
        <v>Media</v>
      </c>
      <c r="G170" s="9" t="str">
        <f>IF(VLOOKUP($A170,Neuquén!$A$8:$O$291,6,FALSE)="","",VLOOKUP($A170,Neuquén!$A$8:$O$291,6,FALSE))</f>
        <v>Código compartido: revisar</v>
      </c>
      <c r="H170" s="24" t="str">
        <f>IF(VLOOKUP($A170,'San Juan'!$A$8:$O$291,4,FALSE)="","",VLOOKUP($A170,'San Juan'!$A$8:$O$291,4,FALSE))</f>
        <v>DESC116</v>
      </c>
      <c r="I170" s="9" t="str">
        <f>IF(VLOOKUP($A170,'San Juan'!$A$8:$O$291,5,FALSE)="","",VLOOKUP($A170,'San Juan'!$A$8:$O$291,5,FALSE))</f>
        <v>Sonda nasogástrica K 10</v>
      </c>
      <c r="J170" s="9" t="str">
        <f>IF(VLOOKUP($A170,'San Juan'!$A$8:$O$291,7,FALSE)="","",VLOOKUP($A170,'San Juan'!$A$8:$O$291,7,FALSE))</f>
        <v>Alta</v>
      </c>
      <c r="K170" s="9" t="str">
        <f>IF(VLOOKUP($A170,'San Juan'!$A$8:$O$291,6,FALSE)="","",VLOOKUP($A170,'San Juan'!$A$8:$O$291,6,FALSE))</f>
        <v>Coincidencia por validar</v>
      </c>
      <c r="L170" s="24" t="str">
        <f>IF(VLOOKUP($A170,Salta!$A$8:$O$291,4,FALSE)="","",VLOOKUP($A170,Salta!$A$8:$O$291,4,FALSE))</f>
        <v>224
432
306</v>
      </c>
      <c r="M170" s="9" t="str">
        <f>IF(VLOOKUP($A170,Salta!$A$8:$O$291,5,FALSE)="","",VLOOKUP($A170,Salta!$A$8:$O$291,5,FALSE))</f>
        <v>Sonda Gastrica Fr 16
Sonda Gastrica Fr 12 
SONDA NASOGASTRICA K11 o 18FR</v>
      </c>
      <c r="N170" s="9" t="str">
        <f>IF(VLOOKUP($A170,Salta!$A$8:$O$291,7,FALSE)="","",VLOOKUP($A170,Salta!$A$8:$O$291,7,FALSE))</f>
        <v>Media</v>
      </c>
      <c r="O170" s="9" t="str">
        <f>IF(VLOOKUP($A170,Salta!$A$8:$O$291,6,FALSE)="","",VLOOKUP($A170,Salta!$A$8:$O$291,6,FALSE))</f>
        <v>Revisar datos</v>
      </c>
      <c r="P170" s="24" t="str">
        <f>IF(VLOOKUP($A170,Neuquén!$A$8:$O$291,15,FALSE)="Homologado",VLOOKUP($A170,Neuquén!$A$8:$O$291,10,FALSE),"")</f>
        <v/>
      </c>
      <c r="Q170" s="24" t="str">
        <f>IF(VLOOKUP($A170,'San Juan'!$A$8:$O$291,15,FALSE)="Homologado",VLOOKUP($A170,'San Juan'!$A$8:$O$291,10,FALSE),"")</f>
        <v/>
      </c>
      <c r="R170" s="24" t="str">
        <f>IF(VLOOKUP($A170,Salta!$A$8:$O$291,15,FALSE)="Homologado",VLOOKUP($A170,Salta!$A$8:$O$291,10,FALSE),"")</f>
        <v/>
      </c>
      <c r="S170" s="24" t="str">
        <f>IF(VLOOKUP($A170,'Master vs SAP'!$A$8:$O$291,4,FALSE)="","",VLOOKUP($A170,'Master vs SAP'!$A$8:$O$291,4,FALSE))</f>
        <v>2000867</v>
      </c>
      <c r="T170" s="9" t="str">
        <f>IF(VLOOKUP($A170,'Master vs SAP'!$A$8:$O$291,5,FALSE)="","",VLOOKUP($A170,'Master vs SAP'!$A$8:$O$291,5,FALSE))</f>
        <v>SONDA NASOGASTRICA K-10</v>
      </c>
      <c r="U170" s="9" t="str">
        <f>IF(VLOOKUP($A170,'Master vs SAP'!$A$8:$O$291,7,FALSE)="","",VLOOKUP($A170,'Master vs SAP'!$A$8:$O$291,7,FALSE))</f>
        <v>Alta</v>
      </c>
      <c r="V170" s="9" t="str">
        <f>IF(VLOOKUP($A170,'Master vs SAP'!$A$8:$O$291,6,FALSE)="","",VLOOKUP($A170,'Master vs SAP'!$A$8:$O$291,6,FALSE))</f>
        <v>Coincidencia</v>
      </c>
      <c r="W170" s="24" t="str">
        <f>IF(VLOOKUP($A170,'Master vs SAP'!$A$8:$O$291,15,FALSE)="Homologado",VLOOKUP($A170,'Master vs SAP'!$A$8:$O$291,10,FALSE),"")</f>
        <v/>
      </c>
    </row>
    <row r="171" spans="1:23" ht="94.05" customHeight="1">
      <c r="A171" s="9" t="s">
        <v>435</v>
      </c>
      <c r="B171" s="9" t="s">
        <v>357</v>
      </c>
      <c r="C171" s="9" t="s">
        <v>436</v>
      </c>
      <c r="D171" s="24" t="str">
        <f>IF(VLOOKUP($A171,Neuquén!$A$8:$O$291,4,FALSE)="","",VLOOKUP($A171,Neuquén!$A$8:$O$291,4,FALSE))</f>
        <v>346</v>
      </c>
      <c r="E171" s="9" t="str">
        <f>IF(VLOOKUP($A171,Neuquén!$A$8:$O$291,5,FALSE)="","",VLOOKUP($A171,Neuquén!$A$8:$O$291,5,FALSE))</f>
        <v>sondafoley16</v>
      </c>
      <c r="F171" s="9" t="str">
        <f>IF(VLOOKUP($A171,Neuquén!$A$8:$O$291,7,FALSE)="","",VLOOKUP($A171,Neuquén!$A$8:$O$291,7,FALSE))</f>
        <v>Media</v>
      </c>
      <c r="G171" s="9" t="str">
        <f>IF(VLOOKUP($A171,Neuquén!$A$8:$O$291,6,FALSE)="","",VLOOKUP($A171,Neuquén!$A$8:$O$291,6,FALSE))</f>
        <v>Equivalencia a revisar</v>
      </c>
      <c r="H171" s="24" t="str">
        <f>IF(VLOOKUP($A171,'San Juan'!$A$8:$O$291,4,FALSE)="","",VLOOKUP($A171,'San Juan'!$A$8:$O$291,4,FALSE))</f>
        <v/>
      </c>
      <c r="I171" s="9" t="str">
        <f>IF(VLOOKUP($A171,'San Juan'!$A$8:$O$291,5,FALSE)="","",VLOOKUP($A171,'San Juan'!$A$8:$O$291,5,FALSE))</f>
        <v/>
      </c>
      <c r="J171" s="9" t="str">
        <f>IF(VLOOKUP($A171,'San Juan'!$A$8:$O$291,7,FALSE)="","",VLOOKUP($A171,'San Juan'!$A$8:$O$291,7,FALSE))</f>
        <v>Sin coincidencia</v>
      </c>
      <c r="K171" s="9" t="str">
        <f>IF(VLOOKUP($A171,'San Juan'!$A$8:$O$291,6,FALSE)="","",VLOOKUP($A171,'San Juan'!$A$8:$O$291,6,FALSE))</f>
        <v>Sin código encontrado</v>
      </c>
      <c r="L171" s="24" t="str">
        <f>IF(VLOOKUP($A171,Salta!$A$8:$O$291,4,FALSE)="","",VLOOKUP($A171,Salta!$A$8:$O$291,4,FALSE))</f>
        <v>221
222</v>
      </c>
      <c r="M171" s="9" t="str">
        <f>IF(VLOOKUP($A171,Salta!$A$8:$O$291,5,FALSE)="","",VLOOKUP($A171,Salta!$A$8:$O$291,5,FALSE))</f>
        <v>Sonda Foley Fr 16
Sonda Foley Fr 18</v>
      </c>
      <c r="N171" s="9" t="str">
        <f>IF(VLOOKUP($A171,Salta!$A$8:$O$291,7,FALSE)="","",VLOOKUP($A171,Salta!$A$8:$O$291,7,FALSE))</f>
        <v>Media</v>
      </c>
      <c r="O171" s="9" t="str">
        <f>IF(VLOOKUP($A171,Salta!$A$8:$O$291,6,FALSE)="","",VLOOKUP($A171,Salta!$A$8:$O$291,6,FALSE))</f>
        <v>Revisar grupo</v>
      </c>
      <c r="P171" s="24" t="str">
        <f>IF(VLOOKUP($A171,Neuquén!$A$8:$O$291,15,FALSE)="Homologado",VLOOKUP($A171,Neuquén!$A$8:$O$291,10,FALSE),"")</f>
        <v/>
      </c>
      <c r="Q171" s="24" t="str">
        <f>IF(VLOOKUP($A171,'San Juan'!$A$8:$O$291,15,FALSE)="Homologado",VLOOKUP($A171,'San Juan'!$A$8:$O$291,10,FALSE),"")</f>
        <v/>
      </c>
      <c r="R171" s="24" t="str">
        <f>IF(VLOOKUP($A171,Salta!$A$8:$O$291,15,FALSE)="Homologado",VLOOKUP($A171,Salta!$A$8:$O$291,10,FALSE),"")</f>
        <v/>
      </c>
      <c r="S171" s="24" t="str">
        <f>IF(VLOOKUP($A171,'Master vs SAP'!$A$8:$O$291,4,FALSE)="","",VLOOKUP($A171,'Master vs SAP'!$A$8:$O$291,4,FALSE))</f>
        <v>2000244
2000093
2000066
2000330
2000201</v>
      </c>
      <c r="T171" s="9" t="str">
        <f>IF(VLOOKUP($A171,'Master vs SAP'!$A$8:$O$291,5,FALSE)="","",VLOOKUP($A171,'Master vs SAP'!$A$8:$O$291,5,FALSE))</f>
        <v>SONDA FOLEY 2 VIAS Nº16 DE LÁTEX
SONDA VESICAL DE 2 VIAS Nº 16  (LÁTEX)
SONDA FOLEY 100% SILICONA 2 VÍAS Nº18
SONDA FOLEY 2 VIAS Nº 18 100% SILICONA
SONDA VESICAL DE 2 VIAS Nº 18 (LATEX)</v>
      </c>
      <c r="U171" s="9" t="str">
        <f>IF(VLOOKUP($A171,'Master vs SAP'!$A$8:$O$291,7,FALSE)="","",VLOOKUP($A171,'Master vs SAP'!$A$8:$O$291,7,FALSE))</f>
        <v>Media</v>
      </c>
      <c r="V171" s="9" t="str">
        <f>IF(VLOOKUP($A171,'Master vs SAP'!$A$8:$O$291,6,FALSE)="","",VLOOKUP($A171,'Master vs SAP'!$A$8:$O$291,6,FALSE))</f>
        <v>Revisar grupo</v>
      </c>
      <c r="W171" s="24" t="str">
        <f>IF(VLOOKUP($A171,'Master vs SAP'!$A$8:$O$291,15,FALSE)="Homologado",VLOOKUP($A171,'Master vs SAP'!$A$8:$O$291,10,FALSE),"")</f>
        <v/>
      </c>
    </row>
    <row r="172" spans="1:23" ht="61.95" customHeight="1">
      <c r="A172" s="9" t="s">
        <v>437</v>
      </c>
      <c r="B172" s="9" t="s">
        <v>357</v>
      </c>
      <c r="C172" s="9" t="s">
        <v>438</v>
      </c>
      <c r="D172" s="24" t="str">
        <f>IF(VLOOKUP($A172,Neuquén!$A$8:$O$291,4,FALSE)="","",VLOOKUP($A172,Neuquén!$A$8:$O$291,4,FALSE))</f>
        <v>307</v>
      </c>
      <c r="E172" s="9" t="str">
        <f>IF(VLOOKUP($A172,Neuquén!$A$8:$O$291,5,FALSE)="","",VLOOKUP($A172,Neuquén!$A$8:$O$291,5,FALSE))</f>
        <v>BOLSACOLECTORAORINA</v>
      </c>
      <c r="F172" s="9" t="str">
        <f>IF(VLOOKUP($A172,Neuquén!$A$8:$O$291,7,FALSE)="","",VLOOKUP($A172,Neuquén!$A$8:$O$291,7,FALSE))</f>
        <v>Alta</v>
      </c>
      <c r="G172" s="9" t="str">
        <f>IF(VLOOKUP($A172,Neuquén!$A$8:$O$291,6,FALSE)="","",VLOOKUP($A172,Neuquén!$A$8:$O$291,6,FALSE))</f>
        <v>Coincidencia por validar</v>
      </c>
      <c r="H172" s="24" t="str">
        <f>IF(VLOOKUP($A172,'San Juan'!$A$8:$O$291,4,FALSE)="","",VLOOKUP($A172,'San Juan'!$A$8:$O$291,4,FALSE))</f>
        <v/>
      </c>
      <c r="I172" s="9" t="str">
        <f>IF(VLOOKUP($A172,'San Juan'!$A$8:$O$291,5,FALSE)="","",VLOOKUP($A172,'San Juan'!$A$8:$O$291,5,FALSE))</f>
        <v/>
      </c>
      <c r="J172" s="9" t="str">
        <f>IF(VLOOKUP($A172,'San Juan'!$A$8:$O$291,7,FALSE)="","",VLOOKUP($A172,'San Juan'!$A$8:$O$291,7,FALSE))</f>
        <v>Sin coincidencia</v>
      </c>
      <c r="K172" s="9" t="str">
        <f>IF(VLOOKUP($A172,'San Juan'!$A$8:$O$291,6,FALSE)="","",VLOOKUP($A172,'San Juan'!$A$8:$O$291,6,FALSE))</f>
        <v>Sin código encontrado</v>
      </c>
      <c r="L172" s="24" t="str">
        <f>IF(VLOOKUP($A172,Salta!$A$8:$O$291,4,FALSE)="","",VLOOKUP($A172,Salta!$A$8:$O$291,4,FALSE))</f>
        <v>48</v>
      </c>
      <c r="M172" s="9" t="str">
        <f>IF(VLOOKUP($A172,Salta!$A$8:$O$291,5,FALSE)="","",VLOOKUP($A172,Salta!$A$8:$O$291,5,FALSE))</f>
        <v>Bolsa Colectora p/orina</v>
      </c>
      <c r="N172" s="9" t="str">
        <f>IF(VLOOKUP($A172,Salta!$A$8:$O$291,7,FALSE)="","",VLOOKUP($A172,Salta!$A$8:$O$291,7,FALSE))</f>
        <v>Alta</v>
      </c>
      <c r="O172" s="9" t="str">
        <f>IF(VLOOKUP($A172,Salta!$A$8:$O$291,6,FALSE)="","",VLOOKUP($A172,Salta!$A$8:$O$291,6,FALSE))</f>
        <v>Coincidencia</v>
      </c>
      <c r="P172" s="24" t="str">
        <f>IF(VLOOKUP($A172,Neuquén!$A$8:$O$291,15,FALSE)="Homologado",VLOOKUP($A172,Neuquén!$A$8:$O$291,10,FALSE),"")</f>
        <v/>
      </c>
      <c r="Q172" s="24" t="str">
        <f>IF(VLOOKUP($A172,'San Juan'!$A$8:$O$291,15,FALSE)="Homologado",VLOOKUP($A172,'San Juan'!$A$8:$O$291,10,FALSE),"")</f>
        <v/>
      </c>
      <c r="R172" s="24" t="str">
        <f>IF(VLOOKUP($A172,Salta!$A$8:$O$291,15,FALSE)="Homologado",VLOOKUP($A172,Salta!$A$8:$O$291,10,FALSE),"")</f>
        <v/>
      </c>
      <c r="S172" s="24" t="str">
        <f>IF(VLOOKUP($A172,'Master vs SAP'!$A$8:$O$291,4,FALSE)="","",VLOOKUP($A172,'Master vs SAP'!$A$8:$O$291,4,FALSE))</f>
        <v>2000100</v>
      </c>
      <c r="T172" s="9" t="str">
        <f>IF(VLOOKUP($A172,'Master vs SAP'!$A$8:$O$291,5,FALSE)="","",VLOOKUP($A172,'Master vs SAP'!$A$8:$O$291,5,FALSE))</f>
        <v>BOLSA COLECTORA DE ORINA X 2000 ML</v>
      </c>
      <c r="U172" s="9" t="str">
        <f>IF(VLOOKUP($A172,'Master vs SAP'!$A$8:$O$291,7,FALSE)="","",VLOOKUP($A172,'Master vs SAP'!$A$8:$O$291,7,FALSE))</f>
        <v>Alta</v>
      </c>
      <c r="V172" s="9" t="str">
        <f>IF(VLOOKUP($A172,'Master vs SAP'!$A$8:$O$291,6,FALSE)="","",VLOOKUP($A172,'Master vs SAP'!$A$8:$O$291,6,FALSE))</f>
        <v>Coincidencia</v>
      </c>
      <c r="W172" s="24" t="str">
        <f>IF(VLOOKUP($A172,'Master vs SAP'!$A$8:$O$291,15,FALSE)="Homologado",VLOOKUP($A172,'Master vs SAP'!$A$8:$O$291,10,FALSE),"")</f>
        <v/>
      </c>
    </row>
    <row r="173" spans="1:23" ht="94.05" customHeight="1">
      <c r="A173" s="9" t="s">
        <v>439</v>
      </c>
      <c r="B173" s="9" t="s">
        <v>357</v>
      </c>
      <c r="C173" s="9" t="s">
        <v>440</v>
      </c>
      <c r="D173" s="24" t="str">
        <f>IF(VLOOKUP($A173,Neuquén!$A$8:$O$291,4,FALSE)="","",VLOOKUP($A173,Neuquén!$A$8:$O$291,4,FALSE))</f>
        <v>337</v>
      </c>
      <c r="E173" s="9" t="str">
        <f>IF(VLOOKUP($A173,Neuquén!$A$8:$O$291,5,FALSE)="","",VLOOKUP($A173,Neuquén!$A$8:$O$291,5,FALSE))</f>
        <v>TUBOENDOTRAQUEAL7.5</v>
      </c>
      <c r="F173" s="9" t="str">
        <f>IF(VLOOKUP($A173,Neuquén!$A$8:$O$291,7,FALSE)="","",VLOOKUP($A173,Neuquén!$A$8:$O$291,7,FALSE))</f>
        <v>Media</v>
      </c>
      <c r="G173" s="9" t="str">
        <f>IF(VLOOKUP($A173,Neuquén!$A$8:$O$291,6,FALSE)="","",VLOOKUP($A173,Neuquén!$A$8:$O$291,6,FALSE))</f>
        <v>Código compartido: revisar</v>
      </c>
      <c r="H173" s="24" t="str">
        <f>IF(VLOOKUP($A173,'San Juan'!$A$8:$O$291,4,FALSE)="","",VLOOKUP($A173,'San Juan'!$A$8:$O$291,4,FALSE))</f>
        <v>DESC156</v>
      </c>
      <c r="I173" s="9" t="str">
        <f>IF(VLOOKUP($A173,'San Juan'!$A$8:$O$291,5,FALSE)="","",VLOOKUP($A173,'San Juan'!$A$8:$O$291,5,FALSE))</f>
        <v>Tubo endotraqueal N7.5</v>
      </c>
      <c r="J173" s="9" t="str">
        <f>IF(VLOOKUP($A173,'San Juan'!$A$8:$O$291,7,FALSE)="","",VLOOKUP($A173,'San Juan'!$A$8:$O$291,7,FALSE))</f>
        <v>Media</v>
      </c>
      <c r="K173" s="9" t="str">
        <f>IF(VLOOKUP($A173,'San Juan'!$A$8:$O$291,6,FALSE)="","",VLOOKUP($A173,'San Juan'!$A$8:$O$291,6,FALSE))</f>
        <v>Código compartido: revisar</v>
      </c>
      <c r="L173" s="24" t="str">
        <f>IF(VLOOKUP($A173,Salta!$A$8:$O$291,4,FALSE)="","",VLOOKUP($A173,Salta!$A$8:$O$291,4,FALSE))</f>
        <v>243
244
245</v>
      </c>
      <c r="M173" s="9" t="str">
        <f>IF(VLOOKUP($A173,Salta!$A$8:$O$291,5,FALSE)="","",VLOOKUP($A173,Salta!$A$8:$O$291,5,FALSE))</f>
        <v>Tubo endotraqueal Fr 28 N7
Tubo endotraqueal Fr 30 N7.5
Tubo endotraqueal Fr 32 N8</v>
      </c>
      <c r="N173" s="9" t="str">
        <f>IF(VLOOKUP($A173,Salta!$A$8:$O$291,7,FALSE)="","",VLOOKUP($A173,Salta!$A$8:$O$291,7,FALSE))</f>
        <v>Media</v>
      </c>
      <c r="O173" s="9" t="str">
        <f>IF(VLOOKUP($A173,Salta!$A$8:$O$291,6,FALSE)="","",VLOOKUP($A173,Salta!$A$8:$O$291,6,FALSE))</f>
        <v>Revisar grupo</v>
      </c>
      <c r="P173" s="24" t="str">
        <f>IF(VLOOKUP($A173,Neuquén!$A$8:$O$291,15,FALSE)="Homologado",VLOOKUP($A173,Neuquén!$A$8:$O$291,10,FALSE),"")</f>
        <v/>
      </c>
      <c r="Q173" s="24" t="str">
        <f>IF(VLOOKUP($A173,'San Juan'!$A$8:$O$291,15,FALSE)="Homologado",VLOOKUP($A173,'San Juan'!$A$8:$O$291,10,FALSE),"")</f>
        <v/>
      </c>
      <c r="R173" s="24" t="str">
        <f>IF(VLOOKUP($A173,Salta!$A$8:$O$291,15,FALSE)="Homologado",VLOOKUP($A173,Salta!$A$8:$O$291,10,FALSE),"")</f>
        <v/>
      </c>
      <c r="S173" s="24" t="str">
        <f>IF(VLOOKUP($A173,'Master vs SAP'!$A$8:$O$291,4,FALSE)="","",VLOOKUP($A173,'Master vs SAP'!$A$8:$O$291,4,FALSE))</f>
        <v>2000077
2000019
2000078
2000442
2001365</v>
      </c>
      <c r="T173" s="9" t="str">
        <f>IF(VLOOKUP($A173,'Master vs SAP'!$A$8:$O$291,5,FALSE)="","",VLOOKUP($A173,'Master vs SAP'!$A$8:$O$291,5,FALSE))</f>
        <v>TUBO ENDOTRAQ Nº 7 C/BALON
TUBO ENDOTRAQ N° 7.5 C/BALON
TUBO ENDOTRAQ N° 8 C/BALON
TUBO ENDOTRAQ N° 7 S/BALON
TUBO ENDOTRAQ Nº 8 S/BALON</v>
      </c>
      <c r="U173" s="9" t="str">
        <f>IF(VLOOKUP($A173,'Master vs SAP'!$A$8:$O$291,7,FALSE)="","",VLOOKUP($A173,'Master vs SAP'!$A$8:$O$291,7,FALSE))</f>
        <v>Media</v>
      </c>
      <c r="V173" s="9" t="str">
        <f>IF(VLOOKUP($A173,'Master vs SAP'!$A$8:$O$291,6,FALSE)="","",VLOOKUP($A173,'Master vs SAP'!$A$8:$O$291,6,FALSE))</f>
        <v>Revisar grupo</v>
      </c>
      <c r="W173" s="24" t="str">
        <f>IF(VLOOKUP($A173,'Master vs SAP'!$A$8:$O$291,15,FALSE)="Homologado",VLOOKUP($A173,'Master vs SAP'!$A$8:$O$291,10,FALSE),"")</f>
        <v/>
      </c>
    </row>
    <row r="174" spans="1:23" ht="78" customHeight="1">
      <c r="A174" s="9" t="s">
        <v>441</v>
      </c>
      <c r="B174" s="9" t="s">
        <v>357</v>
      </c>
      <c r="C174" s="9" t="s">
        <v>442</v>
      </c>
      <c r="D174" s="24" t="str">
        <f>IF(VLOOKUP($A174,Neuquén!$A$8:$O$291,4,FALSE)="","",VLOOKUP($A174,Neuquén!$A$8:$O$291,4,FALSE))</f>
        <v>354</v>
      </c>
      <c r="E174" s="9" t="str">
        <f>IF(VLOOKUP($A174,Neuquén!$A$8:$O$291,5,FALSE)="","",VLOOKUP($A174,Neuquén!$A$8:$O$291,5,FALSE))</f>
        <v>CANULASDEMAYON°3</v>
      </c>
      <c r="F174" s="9" t="str">
        <f>IF(VLOOKUP($A174,Neuquén!$A$8:$O$291,7,FALSE)="","",VLOOKUP($A174,Neuquén!$A$8:$O$291,7,FALSE))</f>
        <v>Media</v>
      </c>
      <c r="G174" s="9" t="str">
        <f>IF(VLOOKUP($A174,Neuquén!$A$8:$O$291,6,FALSE)="","",VLOOKUP($A174,Neuquén!$A$8:$O$291,6,FALSE))</f>
        <v>Código compartido: revisar</v>
      </c>
      <c r="H174" s="24" t="str">
        <f>IF(VLOOKUP($A174,'San Juan'!$A$8:$O$291,4,FALSE)="","",VLOOKUP($A174,'San Juan'!$A$8:$O$291,4,FALSE))</f>
        <v/>
      </c>
      <c r="I174" s="9" t="str">
        <f>IF(VLOOKUP($A174,'San Juan'!$A$8:$O$291,5,FALSE)="","",VLOOKUP($A174,'San Juan'!$A$8:$O$291,5,FALSE))</f>
        <v/>
      </c>
      <c r="J174" s="9" t="str">
        <f>IF(VLOOKUP($A174,'San Juan'!$A$8:$O$291,7,FALSE)="","",VLOOKUP($A174,'San Juan'!$A$8:$O$291,7,FALSE))</f>
        <v>Sin coincidencia</v>
      </c>
      <c r="K174" s="9" t="str">
        <f>IF(VLOOKUP($A174,'San Juan'!$A$8:$O$291,6,FALSE)="","",VLOOKUP($A174,'San Juan'!$A$8:$O$291,6,FALSE))</f>
        <v>Sin código encontrado</v>
      </c>
      <c r="L174" s="24" t="str">
        <f>IF(VLOOKUP($A174,Salta!$A$8:$O$291,4,FALSE)="","",VLOOKUP($A174,Salta!$A$8:$O$291,4,FALSE))</f>
        <v>304
258
412
312</v>
      </c>
      <c r="M174" s="9" t="str">
        <f>IF(VLOOKUP($A174,Salta!$A$8:$O$291,5,FALSE)="","",VLOOKUP($A174,Salta!$A$8:$O$291,5,FALSE))</f>
        <v>Canula de guedel 90mm
Canula de Guedel 100mm
Canula de Guedel 120mm
Canula de Guedel 80mm</v>
      </c>
      <c r="N174" s="9" t="str">
        <f>IF(VLOOKUP($A174,Salta!$A$8:$O$291,7,FALSE)="","",VLOOKUP($A174,Salta!$A$8:$O$291,7,FALSE))</f>
        <v>Media</v>
      </c>
      <c r="O174" s="9" t="str">
        <f>IF(VLOOKUP($A174,Salta!$A$8:$O$291,6,FALSE)="","",VLOOKUP($A174,Salta!$A$8:$O$291,6,FALSE))</f>
        <v>Revisar datos</v>
      </c>
      <c r="P174" s="24" t="str">
        <f>IF(VLOOKUP($A174,Neuquén!$A$8:$O$291,15,FALSE)="Homologado",VLOOKUP($A174,Neuquén!$A$8:$O$291,10,FALSE),"")</f>
        <v/>
      </c>
      <c r="Q174" s="24" t="str">
        <f>IF(VLOOKUP($A174,'San Juan'!$A$8:$O$291,15,FALSE)="Homologado",VLOOKUP($A174,'San Juan'!$A$8:$O$291,10,FALSE),"")</f>
        <v/>
      </c>
      <c r="R174" s="24" t="str">
        <f>IF(VLOOKUP($A174,Salta!$A$8:$O$291,15,FALSE)="Homologado",VLOOKUP($A174,Salta!$A$8:$O$291,10,FALSE),"")</f>
        <v/>
      </c>
      <c r="S174" s="24" t="str">
        <f>IF(VLOOKUP($A174,'Master vs SAP'!$A$8:$O$291,4,FALSE)="","",VLOOKUP($A174,'Master vs SAP'!$A$8:$O$291,4,FALSE))</f>
        <v>2000414
2000404
2001254</v>
      </c>
      <c r="T174" s="9" t="str">
        <f>IF(VLOOKUP($A174,'Master vs SAP'!$A$8:$O$291,5,FALSE)="","",VLOOKUP($A174,'Master vs SAP'!$A$8:$O$291,5,FALSE))</f>
        <v>CANULA DE GUEDEL 11CM N3 CELESTE
CANULA DE GUEDEL 10CM N4 ROJO
CANULA DE GUEDEL 12CM N5 NARANJA</v>
      </c>
      <c r="U174" s="9" t="str">
        <f>IF(VLOOKUP($A174,'Master vs SAP'!$A$8:$O$291,7,FALSE)="","",VLOOKUP($A174,'Master vs SAP'!$A$8:$O$291,7,FALSE))</f>
        <v>Media</v>
      </c>
      <c r="V174" s="9" t="str">
        <f>IF(VLOOKUP($A174,'Master vs SAP'!$A$8:$O$291,6,FALSE)="","",VLOOKUP($A174,'Master vs SAP'!$A$8:$O$291,6,FALSE))</f>
        <v>Revisar grupo</v>
      </c>
      <c r="W174" s="24" t="str">
        <f>IF(VLOOKUP($A174,'Master vs SAP'!$A$8:$O$291,15,FALSE)="Homologado",VLOOKUP($A174,'Master vs SAP'!$A$8:$O$291,10,FALSE),"")</f>
        <v/>
      </c>
    </row>
    <row r="175" spans="1:23" ht="61.95" customHeight="1">
      <c r="A175" s="9" t="s">
        <v>443</v>
      </c>
      <c r="B175" s="9" t="s">
        <v>357</v>
      </c>
      <c r="C175" s="9" t="s">
        <v>444</v>
      </c>
      <c r="D175" s="24" t="str">
        <f>IF(VLOOKUP($A175,Neuquén!$A$8:$O$291,4,FALSE)="","",VLOOKUP($A175,Neuquén!$A$8:$O$291,4,FALSE))</f>
        <v>284</v>
      </c>
      <c r="E175" s="9" t="str">
        <f>IF(VLOOKUP($A175,Neuquén!$A$8:$O$291,5,FALSE)="","",VLOOKUP($A175,Neuquén!$A$8:$O$291,5,FALSE))</f>
        <v>MascaralaringeaN°5</v>
      </c>
      <c r="F175" s="9" t="str">
        <f>IF(VLOOKUP($A175,Neuquén!$A$8:$O$291,7,FALSE)="","",VLOOKUP($A175,Neuquén!$A$8:$O$291,7,FALSE))</f>
        <v>Media</v>
      </c>
      <c r="G175" s="9" t="str">
        <f>IF(VLOOKUP($A175,Neuquén!$A$8:$O$291,6,FALSE)="","",VLOOKUP($A175,Neuquén!$A$8:$O$291,6,FALSE))</f>
        <v>Código compartido: revisar</v>
      </c>
      <c r="H175" s="24" t="str">
        <f>IF(VLOOKUP($A175,'San Juan'!$A$8:$O$291,4,FALSE)="","",VLOOKUP($A175,'San Juan'!$A$8:$O$291,4,FALSE))</f>
        <v/>
      </c>
      <c r="I175" s="9" t="str">
        <f>IF(VLOOKUP($A175,'San Juan'!$A$8:$O$291,5,FALSE)="","",VLOOKUP($A175,'San Juan'!$A$8:$O$291,5,FALSE))</f>
        <v/>
      </c>
      <c r="J175" s="9" t="str">
        <f>IF(VLOOKUP($A175,'San Juan'!$A$8:$O$291,7,FALSE)="","",VLOOKUP($A175,'San Juan'!$A$8:$O$291,7,FALSE))</f>
        <v>Sin coincidencia</v>
      </c>
      <c r="K175" s="9" t="str">
        <f>IF(VLOOKUP($A175,'San Juan'!$A$8:$O$291,6,FALSE)="","",VLOOKUP($A175,'San Juan'!$A$8:$O$291,6,FALSE))</f>
        <v>Sin código encontrado</v>
      </c>
      <c r="L175" s="24" t="str">
        <f>IF(VLOOKUP($A175,Salta!$A$8:$O$291,4,FALSE)="","",VLOOKUP($A175,Salta!$A$8:$O$291,4,FALSE))</f>
        <v>405
406</v>
      </c>
      <c r="M175" s="9" t="str">
        <f>IF(VLOOKUP($A175,Salta!$A$8:$O$291,5,FALSE)="","",VLOOKUP($A175,Salta!$A$8:$O$291,5,FALSE))</f>
        <v>Mascara Laringea N 4
Mascara Laringea N 5</v>
      </c>
      <c r="N175" s="9" t="str">
        <f>IF(VLOOKUP($A175,Salta!$A$8:$O$291,7,FALSE)="","",VLOOKUP($A175,Salta!$A$8:$O$291,7,FALSE))</f>
        <v>Media</v>
      </c>
      <c r="O175" s="9" t="str">
        <f>IF(VLOOKUP($A175,Salta!$A$8:$O$291,6,FALSE)="","",VLOOKUP($A175,Salta!$A$8:$O$291,6,FALSE))</f>
        <v>Revisar grupo</v>
      </c>
      <c r="P175" s="24" t="str">
        <f>IF(VLOOKUP($A175,Neuquén!$A$8:$O$291,15,FALSE)="Homologado",VLOOKUP($A175,Neuquén!$A$8:$O$291,10,FALSE),"")</f>
        <v/>
      </c>
      <c r="Q175" s="24" t="str">
        <f>IF(VLOOKUP($A175,'San Juan'!$A$8:$O$291,15,FALSE)="Homologado",VLOOKUP($A175,'San Juan'!$A$8:$O$291,10,FALSE),"")</f>
        <v/>
      </c>
      <c r="R175" s="24" t="str">
        <f>IF(VLOOKUP($A175,Salta!$A$8:$O$291,15,FALSE)="Homologado",VLOOKUP($A175,Salta!$A$8:$O$291,10,FALSE),"")</f>
        <v/>
      </c>
      <c r="S175" s="24" t="str">
        <f>IF(VLOOKUP($A175,'Master vs SAP'!$A$8:$O$291,4,FALSE)="","",VLOOKUP($A175,'Master vs SAP'!$A$8:$O$291,4,FALSE))</f>
        <v>2000397
2000398</v>
      </c>
      <c r="T175" s="9" t="str">
        <f>IF(VLOOKUP($A175,'Master vs SAP'!$A$8:$O$291,5,FALSE)="","",VLOOKUP($A175,'Master vs SAP'!$A$8:$O$291,5,FALSE))</f>
        <v>MASCARA LARINGEA Nº 4
MASCARA LARINGEA Nº 5</v>
      </c>
      <c r="U175" s="9" t="str">
        <f>IF(VLOOKUP($A175,'Master vs SAP'!$A$8:$O$291,7,FALSE)="","",VLOOKUP($A175,'Master vs SAP'!$A$8:$O$291,7,FALSE))</f>
        <v>Media</v>
      </c>
      <c r="V175" s="9" t="str">
        <f>IF(VLOOKUP($A175,'Master vs SAP'!$A$8:$O$291,6,FALSE)="","",VLOOKUP($A175,'Master vs SAP'!$A$8:$O$291,6,FALSE))</f>
        <v>Revisar grupo</v>
      </c>
      <c r="W175" s="24" t="str">
        <f>IF(VLOOKUP($A175,'Master vs SAP'!$A$8:$O$291,15,FALSE)="Homologado",VLOOKUP($A175,'Master vs SAP'!$A$8:$O$291,10,FALSE),"")</f>
        <v/>
      </c>
    </row>
    <row r="176" spans="1:23" ht="61.95" customHeight="1">
      <c r="A176" s="9" t="s">
        <v>445</v>
      </c>
      <c r="B176" s="9" t="s">
        <v>357</v>
      </c>
      <c r="C176" s="9" t="s">
        <v>446</v>
      </c>
      <c r="D176" s="24" t="str">
        <f>IF(VLOOKUP($A176,Neuquén!$A$8:$O$291,4,FALSE)="","",VLOOKUP($A176,Neuquén!$A$8:$O$291,4,FALSE))</f>
        <v>552</v>
      </c>
      <c r="E176" s="9" t="str">
        <f>IF(VLOOKUP($A176,Neuquén!$A$8:$O$291,5,FALSE)="","",VLOOKUP($A176,Neuquén!$A$8:$O$291,5,FALSE))</f>
        <v>Electrodos</v>
      </c>
      <c r="F176" s="9" t="str">
        <f>IF(VLOOKUP($A176,Neuquén!$A$8:$O$291,7,FALSE)="","",VLOOKUP($A176,Neuquén!$A$8:$O$291,7,FALSE))</f>
        <v>Sin coincidencia</v>
      </c>
      <c r="G176" s="9" t="str">
        <f>IF(VLOOKUP($A176,Neuquén!$A$8:$O$291,6,FALSE)="","",VLOOKUP($A176,Neuquén!$A$8:$O$291,6,FALSE))</f>
        <v>Código sin equivalencia validada</v>
      </c>
      <c r="H176" s="24" t="str">
        <f>IF(VLOOKUP($A176,'San Juan'!$A$8:$O$291,4,FALSE)="","",VLOOKUP($A176,'San Juan'!$A$8:$O$291,4,FALSE))</f>
        <v>DESC55</v>
      </c>
      <c r="I176" s="9" t="str">
        <f>IF(VLOOKUP($A176,'San Juan'!$A$8:$O$291,5,FALSE)="","",VLOOKUP($A176,'San Juan'!$A$8:$O$291,5,FALSE))</f>
        <v>Electrodos</v>
      </c>
      <c r="J176" s="9" t="str">
        <f>IF(VLOOKUP($A176,'San Juan'!$A$8:$O$291,7,FALSE)="","",VLOOKUP($A176,'San Juan'!$A$8:$O$291,7,FALSE))</f>
        <v>Alta</v>
      </c>
      <c r="K176" s="9" t="str">
        <f>IF(VLOOKUP($A176,'San Juan'!$A$8:$O$291,6,FALSE)="","",VLOOKUP($A176,'San Juan'!$A$8:$O$291,6,FALSE))</f>
        <v>Coincidencia por validar</v>
      </c>
      <c r="L176" s="24" t="str">
        <f>IF(VLOOKUP($A176,Salta!$A$8:$O$291,4,FALSE)="","",VLOOKUP($A176,Salta!$A$8:$O$291,4,FALSE))</f>
        <v>421</v>
      </c>
      <c r="M176" s="9" t="str">
        <f>IF(VLOOKUP($A176,Salta!$A$8:$O$291,5,FALSE)="","",VLOOKUP($A176,Salta!$A$8:$O$291,5,FALSE))</f>
        <v>Electrodos</v>
      </c>
      <c r="N176" s="9" t="str">
        <f>IF(VLOOKUP($A176,Salta!$A$8:$O$291,7,FALSE)="","",VLOOKUP($A176,Salta!$A$8:$O$291,7,FALSE))</f>
        <v>Media</v>
      </c>
      <c r="O176" s="9" t="str">
        <f>IF(VLOOKUP($A176,Salta!$A$8:$O$291,6,FALSE)="","",VLOOKUP($A176,Salta!$A$8:$O$291,6,FALSE))</f>
        <v>Revisar datos</v>
      </c>
      <c r="P176" s="24" t="str">
        <f>IF(VLOOKUP($A176,Neuquén!$A$8:$O$291,15,FALSE)="Homologado",VLOOKUP($A176,Neuquén!$A$8:$O$291,10,FALSE),"")</f>
        <v/>
      </c>
      <c r="Q176" s="24" t="str">
        <f>IF(VLOOKUP($A176,'San Juan'!$A$8:$O$291,15,FALSE)="Homologado",VLOOKUP($A176,'San Juan'!$A$8:$O$291,10,FALSE),"")</f>
        <v/>
      </c>
      <c r="R176" s="24" t="str">
        <f>IF(VLOOKUP($A176,Salta!$A$8:$O$291,15,FALSE)="Homologado",VLOOKUP($A176,Salta!$A$8:$O$291,10,FALSE),"")</f>
        <v/>
      </c>
      <c r="S176" s="24" t="str">
        <f>IF(VLOOKUP($A176,'Master vs SAP'!$A$8:$O$291,4,FALSE)="","",VLOOKUP($A176,'Master vs SAP'!$A$8:$O$291,4,FALSE))</f>
        <v>2001464</v>
      </c>
      <c r="T176" s="9" t="str">
        <f>IF(VLOOKUP($A176,'Master vs SAP'!$A$8:$O$291,5,FALSE)="","",VLOOKUP($A176,'Master vs SAP'!$A$8:$O$291,5,FALSE))</f>
        <v>ELECTRODOS ECG</v>
      </c>
      <c r="U176" s="9" t="str">
        <f>IF(VLOOKUP($A176,'Master vs SAP'!$A$8:$O$291,7,FALSE)="","",VLOOKUP($A176,'Master vs SAP'!$A$8:$O$291,7,FALSE))</f>
        <v>Alta</v>
      </c>
      <c r="V176" s="9" t="str">
        <f>IF(VLOOKUP($A176,'Master vs SAP'!$A$8:$O$291,6,FALSE)="","",VLOOKUP($A176,'Master vs SAP'!$A$8:$O$291,6,FALSE))</f>
        <v>Coincidencia</v>
      </c>
      <c r="W176" s="24" t="str">
        <f>IF(VLOOKUP($A176,'Master vs SAP'!$A$8:$O$291,15,FALSE)="Homologado",VLOOKUP($A176,'Master vs SAP'!$A$8:$O$291,10,FALSE),"")</f>
        <v/>
      </c>
    </row>
    <row r="177" spans="1:23" ht="78" customHeight="1">
      <c r="A177" s="9" t="s">
        <v>447</v>
      </c>
      <c r="B177" s="9" t="s">
        <v>357</v>
      </c>
      <c r="C177" s="9" t="s">
        <v>448</v>
      </c>
      <c r="D177" s="24" t="str">
        <f>IF(VLOOKUP($A177,Neuquén!$A$8:$O$291,4,FALSE)="","",VLOOKUP($A177,Neuquén!$A$8:$O$291,4,FALSE))</f>
        <v>340</v>
      </c>
      <c r="E177" s="9" t="str">
        <f>IF(VLOOKUP($A177,Neuquén!$A$8:$O$291,5,FALSE)="","",VLOOKUP($A177,Neuquén!$A$8:$O$291,5,FALSE))</f>
        <v>TIRASREACTIVASHGT</v>
      </c>
      <c r="F177" s="9" t="str">
        <f>IF(VLOOKUP($A177,Neuquén!$A$8:$O$291,7,FALSE)="","",VLOOKUP($A177,Neuquén!$A$8:$O$291,7,FALSE))</f>
        <v>Alta</v>
      </c>
      <c r="G177" s="9" t="str">
        <f>IF(VLOOKUP($A177,Neuquén!$A$8:$O$291,6,FALSE)="","",VLOOKUP($A177,Neuquén!$A$8:$O$291,6,FALSE))</f>
        <v>Coincidencia por validar</v>
      </c>
      <c r="H177" s="24" t="str">
        <f>IF(VLOOKUP($A177,'San Juan'!$A$8:$O$291,4,FALSE)="","",VLOOKUP($A177,'San Juan'!$A$8:$O$291,4,FALSE))</f>
        <v/>
      </c>
      <c r="I177" s="9" t="str">
        <f>IF(VLOOKUP($A177,'San Juan'!$A$8:$O$291,5,FALSE)="","",VLOOKUP($A177,'San Juan'!$A$8:$O$291,5,FALSE))</f>
        <v/>
      </c>
      <c r="J177" s="9" t="str">
        <f>IF(VLOOKUP($A177,'San Juan'!$A$8:$O$291,7,FALSE)="","",VLOOKUP($A177,'San Juan'!$A$8:$O$291,7,FALSE))</f>
        <v>Sin coincidencia</v>
      </c>
      <c r="K177" s="9" t="str">
        <f>IF(VLOOKUP($A177,'San Juan'!$A$8:$O$291,6,FALSE)="","",VLOOKUP($A177,'San Juan'!$A$8:$O$291,6,FALSE))</f>
        <v>Sin código encontrado</v>
      </c>
      <c r="L177" s="24" t="str">
        <f>IF(VLOOKUP($A177,Salta!$A$8:$O$291,4,FALSE)="","",VLOOKUP($A177,Salta!$A$8:$O$291,4,FALSE))</f>
        <v>237</v>
      </c>
      <c r="M177" s="9" t="str">
        <f>IF(VLOOKUP($A177,Salta!$A$8:$O$291,5,FALSE)="","",VLOOKUP($A177,Salta!$A$8:$O$291,5,FALSE))</f>
        <v>Tiras reactivas FREESTYLE</v>
      </c>
      <c r="N177" s="9" t="str">
        <f>IF(VLOOKUP($A177,Salta!$A$8:$O$291,7,FALSE)="","",VLOOKUP($A177,Salta!$A$8:$O$291,7,FALSE))</f>
        <v>Alta</v>
      </c>
      <c r="O177" s="9" t="str">
        <f>IF(VLOOKUP($A177,Salta!$A$8:$O$291,6,FALSE)="","",VLOOKUP($A177,Salta!$A$8:$O$291,6,FALSE))</f>
        <v>Coincidencia</v>
      </c>
      <c r="P177" s="24" t="str">
        <f>IF(VLOOKUP($A177,Neuquén!$A$8:$O$291,15,FALSE)="Homologado",VLOOKUP($A177,Neuquén!$A$8:$O$291,10,FALSE),"")</f>
        <v/>
      </c>
      <c r="Q177" s="24" t="str">
        <f>IF(VLOOKUP($A177,'San Juan'!$A$8:$O$291,15,FALSE)="Homologado",VLOOKUP($A177,'San Juan'!$A$8:$O$291,10,FALSE),"")</f>
        <v/>
      </c>
      <c r="R177" s="24" t="str">
        <f>IF(VLOOKUP($A177,Salta!$A$8:$O$291,15,FALSE)="Homologado",VLOOKUP($A177,Salta!$A$8:$O$291,10,FALSE),"")</f>
        <v/>
      </c>
      <c r="S177" s="24" t="str">
        <f>IF(VLOOKUP($A177,'Master vs SAP'!$A$8:$O$291,4,FALSE)="","",VLOOKUP($A177,'Master vs SAP'!$A$8:$O$291,4,FALSE))</f>
        <v>2001249
2001327
2001422</v>
      </c>
      <c r="T177" s="9" t="str">
        <f>IF(VLOOKUP($A177,'Master vs SAP'!$A$8:$O$291,5,FALSE)="","",VLOOKUP($A177,'Master vs SAP'!$A$8:$O$291,5,FALSE))</f>
        <v>TIRAS REACTIVAS OPTIUM NEO H
TIRAS REACTIVAS FREESTYLE OPTIUM S/CODIF
TIRAS REACTIVAS ON CALL PLUS</v>
      </c>
      <c r="U177" s="9" t="str">
        <f>IF(VLOOKUP($A177,'Master vs SAP'!$A$8:$O$291,7,FALSE)="","",VLOOKUP($A177,'Master vs SAP'!$A$8:$O$291,7,FALSE))</f>
        <v>Media</v>
      </c>
      <c r="V177" s="9" t="str">
        <f>IF(VLOOKUP($A177,'Master vs SAP'!$A$8:$O$291,6,FALSE)="","",VLOOKUP($A177,'Master vs SAP'!$A$8:$O$291,6,FALSE))</f>
        <v>Revisar datos</v>
      </c>
      <c r="W177" s="24" t="str">
        <f>IF(VLOOKUP($A177,'Master vs SAP'!$A$8:$O$291,15,FALSE)="Homologado",VLOOKUP($A177,'Master vs SAP'!$A$8:$O$291,10,FALSE),"")</f>
        <v/>
      </c>
    </row>
    <row r="178" spans="1:23" ht="61.95" customHeight="1">
      <c r="A178" s="9" t="s">
        <v>449</v>
      </c>
      <c r="B178" s="9" t="s">
        <v>357</v>
      </c>
      <c r="C178" s="9" t="s">
        <v>450</v>
      </c>
      <c r="D178" s="24" t="str">
        <f>IF(VLOOKUP($A178,Neuquén!$A$8:$O$291,4,FALSE)="","",VLOOKUP($A178,Neuquén!$A$8:$O$291,4,FALSE))</f>
        <v>551</v>
      </c>
      <c r="E178" s="9" t="str">
        <f>IF(VLOOKUP($A178,Neuquén!$A$8:$O$291,5,FALSE)="","",VLOOKUP($A178,Neuquén!$A$8:$O$291,5,FALSE))</f>
        <v>Lancetas</v>
      </c>
      <c r="F178" s="9" t="str">
        <f>IF(VLOOKUP($A178,Neuquén!$A$8:$O$291,7,FALSE)="","",VLOOKUP($A178,Neuquén!$A$8:$O$291,7,FALSE))</f>
        <v>Sin coincidencia</v>
      </c>
      <c r="G178" s="9" t="str">
        <f>IF(VLOOKUP($A178,Neuquén!$A$8:$O$291,6,FALSE)="","",VLOOKUP($A178,Neuquén!$A$8:$O$291,6,FALSE))</f>
        <v>Código sin equivalencia validada</v>
      </c>
      <c r="H178" s="24" t="str">
        <f>IF(VLOOKUP($A178,'San Juan'!$A$8:$O$291,4,FALSE)="","",VLOOKUP($A178,'San Juan'!$A$8:$O$291,4,FALSE))</f>
        <v/>
      </c>
      <c r="I178" s="9" t="str">
        <f>IF(VLOOKUP($A178,'San Juan'!$A$8:$O$291,5,FALSE)="","",VLOOKUP($A178,'San Juan'!$A$8:$O$291,5,FALSE))</f>
        <v/>
      </c>
      <c r="J178" s="9" t="str">
        <f>IF(VLOOKUP($A178,'San Juan'!$A$8:$O$291,7,FALSE)="","",VLOOKUP($A178,'San Juan'!$A$8:$O$291,7,FALSE))</f>
        <v>Sin coincidencia</v>
      </c>
      <c r="K178" s="9" t="str">
        <f>IF(VLOOKUP($A178,'San Juan'!$A$8:$O$291,6,FALSE)="","",VLOOKUP($A178,'San Juan'!$A$8:$O$291,6,FALSE))</f>
        <v>Sin código encontrado</v>
      </c>
      <c r="L178" s="24" t="str">
        <f>IF(VLOOKUP($A178,Salta!$A$8:$O$291,4,FALSE)="","",VLOOKUP($A178,Salta!$A$8:$O$291,4,FALSE))</f>
        <v/>
      </c>
      <c r="M178" s="9" t="str">
        <f>IF(VLOOKUP($A178,Salta!$A$8:$O$291,5,FALSE)="","",VLOOKUP($A178,Salta!$A$8:$O$291,5,FALSE))</f>
        <v/>
      </c>
      <c r="N178" s="9" t="str">
        <f>IF(VLOOKUP($A178,Salta!$A$8:$O$291,7,FALSE)="","",VLOOKUP($A178,Salta!$A$8:$O$291,7,FALSE))</f>
        <v>Sin coincidencia</v>
      </c>
      <c r="O178" s="9" t="str">
        <f>IF(VLOOKUP($A178,Salta!$A$8:$O$291,6,FALSE)="","",VLOOKUP($A178,Salta!$A$8:$O$291,6,FALSE))</f>
        <v>Sin coincidencia</v>
      </c>
      <c r="P178" s="24" t="str">
        <f>IF(VLOOKUP($A178,Neuquén!$A$8:$O$291,15,FALSE)="Homologado",VLOOKUP($A178,Neuquén!$A$8:$O$291,10,FALSE),"")</f>
        <v/>
      </c>
      <c r="Q178" s="24" t="str">
        <f>IF(VLOOKUP($A178,'San Juan'!$A$8:$O$291,15,FALSE)="Homologado",VLOOKUP($A178,'San Juan'!$A$8:$O$291,10,FALSE),"")</f>
        <v/>
      </c>
      <c r="R178" s="24" t="str">
        <f>IF(VLOOKUP($A178,Salta!$A$8:$O$291,15,FALSE)="Homologado",VLOOKUP($A178,Salta!$A$8:$O$291,10,FALSE),"")</f>
        <v/>
      </c>
      <c r="S178" s="24" t="str">
        <f>IF(VLOOKUP($A178,'Master vs SAP'!$A$8:$O$291,4,FALSE)="","",VLOOKUP($A178,'Master vs SAP'!$A$8:$O$291,4,FALSE))</f>
        <v>2000058</v>
      </c>
      <c r="T178" s="9" t="str">
        <f>IF(VLOOKUP($A178,'Master vs SAP'!$A$8:$O$291,5,FALSE)="","",VLOOKUP($A178,'Master vs SAP'!$A$8:$O$291,5,FALSE))</f>
        <v>LANCETA ESTERIL</v>
      </c>
      <c r="U178" s="9" t="str">
        <f>IF(VLOOKUP($A178,'Master vs SAP'!$A$8:$O$291,7,FALSE)="","",VLOOKUP($A178,'Master vs SAP'!$A$8:$O$291,7,FALSE))</f>
        <v>Alta</v>
      </c>
      <c r="V178" s="9" t="str">
        <f>IF(VLOOKUP($A178,'Master vs SAP'!$A$8:$O$291,6,FALSE)="","",VLOOKUP($A178,'Master vs SAP'!$A$8:$O$291,6,FALSE))</f>
        <v>Coincidencia</v>
      </c>
      <c r="W178" s="24" t="str">
        <f>IF(VLOOKUP($A178,'Master vs SAP'!$A$8:$O$291,15,FALSE)="Homologado",VLOOKUP($A178,'Master vs SAP'!$A$8:$O$291,10,FALSE),"")</f>
        <v/>
      </c>
    </row>
    <row r="179" spans="1:23" ht="61.95" customHeight="1">
      <c r="A179" s="9" t="s">
        <v>451</v>
      </c>
      <c r="B179" s="9" t="s">
        <v>357</v>
      </c>
      <c r="C179" s="9" t="s">
        <v>452</v>
      </c>
      <c r="D179" s="24" t="str">
        <f>IF(VLOOKUP($A179,Neuquén!$A$8:$O$291,4,FALSE)="","",VLOOKUP($A179,Neuquén!$A$8:$O$291,4,FALSE))</f>
        <v>1001</v>
      </c>
      <c r="E179" s="9" t="str">
        <f>IF(VLOOKUP($A179,Neuquén!$A$8:$O$291,5,FALSE)="","",VLOOKUP($A179,Neuquén!$A$8:$O$291,5,FALSE))</f>
        <v>TEST TROPONINA</v>
      </c>
      <c r="F179" s="9" t="str">
        <f>IF(VLOOKUP($A179,Neuquén!$A$8:$O$291,7,FALSE)="","",VLOOKUP($A179,Neuquén!$A$8:$O$291,7,FALSE))</f>
        <v>Sin coincidencia</v>
      </c>
      <c r="G179" s="9" t="str">
        <f>IF(VLOOKUP($A179,Neuquén!$A$8:$O$291,6,FALSE)="","",VLOOKUP($A179,Neuquén!$A$8:$O$291,6,FALSE))</f>
        <v>Código sin equivalencia validada</v>
      </c>
      <c r="H179" s="24" t="str">
        <f>IF(VLOOKUP($A179,'San Juan'!$A$8:$O$291,4,FALSE)="","",VLOOKUP($A179,'San Juan'!$A$8:$O$291,4,FALSE))</f>
        <v/>
      </c>
      <c r="I179" s="9" t="str">
        <f>IF(VLOOKUP($A179,'San Juan'!$A$8:$O$291,5,FALSE)="","",VLOOKUP($A179,'San Juan'!$A$8:$O$291,5,FALSE))</f>
        <v/>
      </c>
      <c r="J179" s="9" t="str">
        <f>IF(VLOOKUP($A179,'San Juan'!$A$8:$O$291,7,FALSE)="","",VLOOKUP($A179,'San Juan'!$A$8:$O$291,7,FALSE))</f>
        <v>Sin coincidencia</v>
      </c>
      <c r="K179" s="9" t="str">
        <f>IF(VLOOKUP($A179,'San Juan'!$A$8:$O$291,6,FALSE)="","",VLOOKUP($A179,'San Juan'!$A$8:$O$291,6,FALSE))</f>
        <v>Sin código encontrado</v>
      </c>
      <c r="L179" s="24" t="str">
        <f>IF(VLOOKUP($A179,Salta!$A$8:$O$291,4,FALSE)="","",VLOOKUP($A179,Salta!$A$8:$O$291,4,FALSE))</f>
        <v/>
      </c>
      <c r="M179" s="9" t="str">
        <f>IF(VLOOKUP($A179,Salta!$A$8:$O$291,5,FALSE)="","",VLOOKUP($A179,Salta!$A$8:$O$291,5,FALSE))</f>
        <v/>
      </c>
      <c r="N179" s="9" t="str">
        <f>IF(VLOOKUP($A179,Salta!$A$8:$O$291,7,FALSE)="","",VLOOKUP($A179,Salta!$A$8:$O$291,7,FALSE))</f>
        <v>Sin coincidencia</v>
      </c>
      <c r="O179" s="9" t="str">
        <f>IF(VLOOKUP($A179,Salta!$A$8:$O$291,6,FALSE)="","",VLOOKUP($A179,Salta!$A$8:$O$291,6,FALSE))</f>
        <v>Sin coincidencia</v>
      </c>
      <c r="P179" s="24" t="str">
        <f>IF(VLOOKUP($A179,Neuquén!$A$8:$O$291,15,FALSE)="Homologado",VLOOKUP($A179,Neuquén!$A$8:$O$291,10,FALSE),"")</f>
        <v/>
      </c>
      <c r="Q179" s="24" t="str">
        <f>IF(VLOOKUP($A179,'San Juan'!$A$8:$O$291,15,FALSE)="Homologado",VLOOKUP($A179,'San Juan'!$A$8:$O$291,10,FALSE),"")</f>
        <v/>
      </c>
      <c r="R179" s="24" t="str">
        <f>IF(VLOOKUP($A179,Salta!$A$8:$O$291,15,FALSE)="Homologado",VLOOKUP($A179,Salta!$A$8:$O$291,10,FALSE),"")</f>
        <v/>
      </c>
      <c r="S179" s="24" t="str">
        <f>IF(VLOOKUP($A179,'Master vs SAP'!$A$8:$O$291,4,FALSE)="","",VLOOKUP($A179,'Master vs SAP'!$A$8:$O$291,4,FALSE))</f>
        <v>2001679</v>
      </c>
      <c r="T179" s="9" t="str">
        <f>IF(VLOOKUP($A179,'Master vs SAP'!$A$8:$O$291,5,FALSE)="","",VLOOKUP($A179,'Master vs SAP'!$A$8:$O$291,5,FALSE))</f>
        <v>TEST DE TROPONINA</v>
      </c>
      <c r="U179" s="9" t="str">
        <f>IF(VLOOKUP($A179,'Master vs SAP'!$A$8:$O$291,7,FALSE)="","",VLOOKUP($A179,'Master vs SAP'!$A$8:$O$291,7,FALSE))</f>
        <v>Alta</v>
      </c>
      <c r="V179" s="9" t="str">
        <f>IF(VLOOKUP($A179,'Master vs SAP'!$A$8:$O$291,6,FALSE)="","",VLOOKUP($A179,'Master vs SAP'!$A$8:$O$291,6,FALSE))</f>
        <v>Coincidencia</v>
      </c>
      <c r="W179" s="24" t="str">
        <f>IF(VLOOKUP($A179,'Master vs SAP'!$A$8:$O$291,15,FALSE)="Homologado",VLOOKUP($A179,'Master vs SAP'!$A$8:$O$291,10,FALSE),"")</f>
        <v/>
      </c>
    </row>
    <row r="180" spans="1:23" ht="61.95" customHeight="1">
      <c r="A180" s="9" t="s">
        <v>453</v>
      </c>
      <c r="B180" s="9" t="s">
        <v>357</v>
      </c>
      <c r="C180" s="9" t="s">
        <v>454</v>
      </c>
      <c r="D180" s="24" t="str">
        <f>IF(VLOOKUP($A180,Neuquén!$A$8:$O$291,4,FALSE)="","",VLOOKUP($A180,Neuquén!$A$8:$O$291,4,FALSE))</f>
        <v>550</v>
      </c>
      <c r="E180" s="9" t="str">
        <f>IF(VLOOKUP($A180,Neuquén!$A$8:$O$291,5,FALSE)="","",VLOOKUP($A180,Neuquén!$A$8:$O$291,5,FALSE))</f>
        <v>Papel para ECG</v>
      </c>
      <c r="F180" s="9" t="str">
        <f>IF(VLOOKUP($A180,Neuquén!$A$8:$O$291,7,FALSE)="","",VLOOKUP($A180,Neuquén!$A$8:$O$291,7,FALSE))</f>
        <v>Sin coincidencia</v>
      </c>
      <c r="G180" s="9" t="str">
        <f>IF(VLOOKUP($A180,Neuquén!$A$8:$O$291,6,FALSE)="","",VLOOKUP($A180,Neuquén!$A$8:$O$291,6,FALSE))</f>
        <v>Código sin equivalencia validada</v>
      </c>
      <c r="H180" s="24" t="str">
        <f>IF(VLOOKUP($A180,'San Juan'!$A$8:$O$291,4,FALSE)="","",VLOOKUP($A180,'San Juan'!$A$8:$O$291,4,FALSE))</f>
        <v>DESC109</v>
      </c>
      <c r="I180" s="9" t="str">
        <f>IF(VLOOKUP($A180,'San Juan'!$A$8:$O$291,5,FALSE)="","",VLOOKUP($A180,'San Juan'!$A$8:$O$291,5,FALSE))</f>
        <v>Rollo papel para Electrocardiograma 50mm x 30m (Rollo)</v>
      </c>
      <c r="J180" s="9" t="str">
        <f>IF(VLOOKUP($A180,'San Juan'!$A$8:$O$291,7,FALSE)="","",VLOOKUP($A180,'San Juan'!$A$8:$O$291,7,FALSE))</f>
        <v>Alta</v>
      </c>
      <c r="K180" s="9" t="str">
        <f>IF(VLOOKUP($A180,'San Juan'!$A$8:$O$291,6,FALSE)="","",VLOOKUP($A180,'San Juan'!$A$8:$O$291,6,FALSE))</f>
        <v>Coincidencia por validar</v>
      </c>
      <c r="L180" s="24" t="str">
        <f>IF(VLOOKUP($A180,Salta!$A$8:$O$291,4,FALSE)="","",VLOOKUP($A180,Salta!$A$8:$O$291,4,FALSE))</f>
        <v>328</v>
      </c>
      <c r="M180" s="9" t="str">
        <f>IF(VLOOKUP($A180,Salta!$A$8:$O$291,5,FALSE)="","",VLOOKUP($A180,Salta!$A$8:$O$291,5,FALSE))</f>
        <v>Papel para ECG</v>
      </c>
      <c r="N180" s="9" t="str">
        <f>IF(VLOOKUP($A180,Salta!$A$8:$O$291,7,FALSE)="","",VLOOKUP($A180,Salta!$A$8:$O$291,7,FALSE))</f>
        <v>Alta</v>
      </c>
      <c r="O180" s="9" t="str">
        <f>IF(VLOOKUP($A180,Salta!$A$8:$O$291,6,FALSE)="","",VLOOKUP($A180,Salta!$A$8:$O$291,6,FALSE))</f>
        <v>Coincidencia</v>
      </c>
      <c r="P180" s="24" t="str">
        <f>IF(VLOOKUP($A180,Neuquén!$A$8:$O$291,15,FALSE)="Homologado",VLOOKUP($A180,Neuquén!$A$8:$O$291,10,FALSE),"")</f>
        <v/>
      </c>
      <c r="Q180" s="24" t="str">
        <f>IF(VLOOKUP($A180,'San Juan'!$A$8:$O$291,15,FALSE)="Homologado",VLOOKUP($A180,'San Juan'!$A$8:$O$291,10,FALSE),"")</f>
        <v/>
      </c>
      <c r="R180" s="24" t="str">
        <f>IF(VLOOKUP($A180,Salta!$A$8:$O$291,15,FALSE)="Homologado",VLOOKUP($A180,Salta!$A$8:$O$291,10,FALSE),"")</f>
        <v/>
      </c>
      <c r="S180" s="24" t="str">
        <f>IF(VLOOKUP($A180,'Master vs SAP'!$A$8:$O$291,4,FALSE)="","",VLOOKUP($A180,'Master vs SAP'!$A$8:$O$291,4,FALSE))</f>
        <v>2001204</v>
      </c>
      <c r="T180" s="9" t="str">
        <f>IF(VLOOKUP($A180,'Master vs SAP'!$A$8:$O$291,5,FALSE)="","",VLOOKUP($A180,'Master vs SAP'!$A$8:$O$291,5,FALSE))</f>
        <v>PAPEL TÉRMICO PARA ECG</v>
      </c>
      <c r="U180" s="9" t="str">
        <f>IF(VLOOKUP($A180,'Master vs SAP'!$A$8:$O$291,7,FALSE)="","",VLOOKUP($A180,'Master vs SAP'!$A$8:$O$291,7,FALSE))</f>
        <v>Media</v>
      </c>
      <c r="V180" s="9" t="str">
        <f>IF(VLOOKUP($A180,'Master vs SAP'!$A$8:$O$291,6,FALSE)="","",VLOOKUP($A180,'Master vs SAP'!$A$8:$O$291,6,FALSE))</f>
        <v>Revisar datos</v>
      </c>
      <c r="W180" s="24" t="str">
        <f>IF(VLOOKUP($A180,'Master vs SAP'!$A$8:$O$291,15,FALSE)="Homologado",VLOOKUP($A180,'Master vs SAP'!$A$8:$O$291,10,FALSE),"")</f>
        <v/>
      </c>
    </row>
    <row r="181" spans="1:23" ht="61.95" customHeight="1">
      <c r="A181" s="9" t="s">
        <v>455</v>
      </c>
      <c r="B181" s="9" t="s">
        <v>357</v>
      </c>
      <c r="C181" s="9" t="s">
        <v>456</v>
      </c>
      <c r="D181" s="24" t="str">
        <f>IF(VLOOKUP($A181,Neuquén!$A$8:$O$291,4,FALSE)="","",VLOOKUP($A181,Neuquén!$A$8:$O$291,4,FALSE))</f>
        <v>255</v>
      </c>
      <c r="E181" s="9" t="str">
        <f>IF(VLOOKUP($A181,Neuquén!$A$8:$O$291,5,FALSE)="","",VLOOKUP($A181,Neuquén!$A$8:$O$291,5,FALSE))</f>
        <v>ALCOHOLETILICO96%X1LTS</v>
      </c>
      <c r="F181" s="9" t="str">
        <f>IF(VLOOKUP($A181,Neuquén!$A$8:$O$291,7,FALSE)="","",VLOOKUP($A181,Neuquén!$A$8:$O$291,7,FALSE))</f>
        <v>Alta</v>
      </c>
      <c r="G181" s="9" t="str">
        <f>IF(VLOOKUP($A181,Neuquén!$A$8:$O$291,6,FALSE)="","",VLOOKUP($A181,Neuquén!$A$8:$O$291,6,FALSE))</f>
        <v>Coincidencia por validar</v>
      </c>
      <c r="H181" s="24" t="str">
        <f>IF(VLOOKUP($A181,'San Juan'!$A$8:$O$291,4,FALSE)="","",VLOOKUP($A181,'San Juan'!$A$8:$O$291,4,FALSE))</f>
        <v>DESC15</v>
      </c>
      <c r="I181" s="9" t="str">
        <f>IF(VLOOKUP($A181,'San Juan'!$A$8:$O$291,5,FALSE)="","",VLOOKUP($A181,'San Juan'!$A$8:$O$291,5,FALSE))</f>
        <v>Alcohol 96% x 1000ml</v>
      </c>
      <c r="J181" s="9" t="str">
        <f>IF(VLOOKUP($A181,'San Juan'!$A$8:$O$291,7,FALSE)="","",VLOOKUP($A181,'San Juan'!$A$8:$O$291,7,FALSE))</f>
        <v>Alta</v>
      </c>
      <c r="K181" s="9" t="str">
        <f>IF(VLOOKUP($A181,'San Juan'!$A$8:$O$291,6,FALSE)="","",VLOOKUP($A181,'San Juan'!$A$8:$O$291,6,FALSE))</f>
        <v>Coincidencia por validar</v>
      </c>
      <c r="L181" s="24" t="str">
        <f>IF(VLOOKUP($A181,Salta!$A$8:$O$291,4,FALSE)="","",VLOOKUP($A181,Salta!$A$8:$O$291,4,FALSE))</f>
        <v>24</v>
      </c>
      <c r="M181" s="9" t="str">
        <f>IF(VLOOKUP($A181,Salta!$A$8:$O$291,5,FALSE)="","",VLOOKUP($A181,Salta!$A$8:$O$291,5,FALSE))</f>
        <v>Alcohol 96% x1000 ml</v>
      </c>
      <c r="N181" s="9" t="str">
        <f>IF(VLOOKUP($A181,Salta!$A$8:$O$291,7,FALSE)="","",VLOOKUP($A181,Salta!$A$8:$O$291,7,FALSE))</f>
        <v>Alta</v>
      </c>
      <c r="O181" s="9" t="str">
        <f>IF(VLOOKUP($A181,Salta!$A$8:$O$291,6,FALSE)="","",VLOOKUP($A181,Salta!$A$8:$O$291,6,FALSE))</f>
        <v>Coincidencia</v>
      </c>
      <c r="P181" s="24" t="str">
        <f>IF(VLOOKUP($A181,Neuquén!$A$8:$O$291,15,FALSE)="Homologado",VLOOKUP($A181,Neuquén!$A$8:$O$291,10,FALSE),"")</f>
        <v/>
      </c>
      <c r="Q181" s="24" t="str">
        <f>IF(VLOOKUP($A181,'San Juan'!$A$8:$O$291,15,FALSE)="Homologado",VLOOKUP($A181,'San Juan'!$A$8:$O$291,10,FALSE),"")</f>
        <v/>
      </c>
      <c r="R181" s="24" t="str">
        <f>IF(VLOOKUP($A181,Salta!$A$8:$O$291,15,FALSE)="Homologado",VLOOKUP($A181,Salta!$A$8:$O$291,10,FALSE),"")</f>
        <v/>
      </c>
      <c r="S181" s="24" t="str">
        <f>IF(VLOOKUP($A181,'Master vs SAP'!$A$8:$O$291,4,FALSE)="","",VLOOKUP($A181,'Master vs SAP'!$A$8:$O$291,4,FALSE))</f>
        <v>1000053</v>
      </c>
      <c r="T181" s="9" t="str">
        <f>IF(VLOOKUP($A181,'Master vs SAP'!$A$8:$O$291,5,FALSE)="","",VLOOKUP($A181,'Master vs SAP'!$A$8:$O$291,5,FALSE))</f>
        <v>ALCOHOL AL 96% X 1000ML</v>
      </c>
      <c r="U181" s="9" t="str">
        <f>IF(VLOOKUP($A181,'Master vs SAP'!$A$8:$O$291,7,FALSE)="","",VLOOKUP($A181,'Master vs SAP'!$A$8:$O$291,7,FALSE))</f>
        <v>Alta</v>
      </c>
      <c r="V181" s="9" t="str">
        <f>IF(VLOOKUP($A181,'Master vs SAP'!$A$8:$O$291,6,FALSE)="","",VLOOKUP($A181,'Master vs SAP'!$A$8:$O$291,6,FALSE))</f>
        <v>Coincidencia</v>
      </c>
      <c r="W181" s="24" t="str">
        <f>IF(VLOOKUP($A181,'Master vs SAP'!$A$8:$O$291,15,FALSE)="Homologado",VLOOKUP($A181,'Master vs SAP'!$A$8:$O$291,10,FALSE),"")</f>
        <v/>
      </c>
    </row>
    <row r="182" spans="1:23" ht="61.95" customHeight="1">
      <c r="A182" s="9" t="s">
        <v>457</v>
      </c>
      <c r="B182" s="9" t="s">
        <v>357</v>
      </c>
      <c r="C182" s="9" t="s">
        <v>458</v>
      </c>
      <c r="D182" s="24" t="str">
        <f>IF(VLOOKUP($A182,Neuquén!$A$8:$O$291,4,FALSE)="","",VLOOKUP($A182,Neuquén!$A$8:$O$291,4,FALSE))</f>
        <v>137</v>
      </c>
      <c r="E182" s="9" t="str">
        <f>IF(VLOOKUP($A182,Neuquén!$A$8:$O$291,5,FALSE)="","",VLOOKUP($A182,Neuquén!$A$8:$O$291,5,FALSE))</f>
        <v>IODOPOVIDONA1000ML</v>
      </c>
      <c r="F182" s="9" t="str">
        <f>IF(VLOOKUP($A182,Neuquén!$A$8:$O$291,7,FALSE)="","",VLOOKUP($A182,Neuquén!$A$8:$O$291,7,FALSE))</f>
        <v>Alta</v>
      </c>
      <c r="G182" s="9" t="str">
        <f>IF(VLOOKUP($A182,Neuquén!$A$8:$O$291,6,FALSE)="","",VLOOKUP($A182,Neuquén!$A$8:$O$291,6,FALSE))</f>
        <v>Coincidencia por validar</v>
      </c>
      <c r="H182" s="24" t="str">
        <f>IF(VLOOKUP($A182,'San Juan'!$A$8:$O$291,4,FALSE)="","",VLOOKUP($A182,'San Juan'!$A$8:$O$291,4,FALSE))</f>
        <v>MED200</v>
      </c>
      <c r="I182" s="9" t="str">
        <f>IF(VLOOKUP($A182,'San Juan'!$A$8:$O$291,5,FALSE)="","",VLOOKUP($A182,'San Juan'!$A$8:$O$291,5,FALSE))</f>
        <v>iodopovidona 100 ml sol/topica</v>
      </c>
      <c r="J182" s="9" t="str">
        <f>IF(VLOOKUP($A182,'San Juan'!$A$8:$O$291,7,FALSE)="","",VLOOKUP($A182,'San Juan'!$A$8:$O$291,7,FALSE))</f>
        <v>Baja</v>
      </c>
      <c r="K182" s="9" t="str">
        <f>IF(VLOOKUP($A182,'San Juan'!$A$8:$O$291,6,FALSE)="","",VLOOKUP($A182,'San Juan'!$A$8:$O$291,6,FALSE))</f>
        <v>Revisar presentación</v>
      </c>
      <c r="L182" s="24" t="str">
        <f>IF(VLOOKUP($A182,Salta!$A$8:$O$291,4,FALSE)="","",VLOOKUP($A182,Salta!$A$8:$O$291,4,FALSE))</f>
        <v>201</v>
      </c>
      <c r="M182" s="9" t="str">
        <f>IF(VLOOKUP($A182,Salta!$A$8:$O$291,5,FALSE)="","",VLOOKUP($A182,Salta!$A$8:$O$291,5,FALSE))</f>
        <v>Pervinox 1 lt</v>
      </c>
      <c r="N182" s="9" t="str">
        <f>IF(VLOOKUP($A182,Salta!$A$8:$O$291,7,FALSE)="","",VLOOKUP($A182,Salta!$A$8:$O$291,7,FALSE))</f>
        <v>Media</v>
      </c>
      <c r="O182" s="9" t="str">
        <f>IF(VLOOKUP($A182,Salta!$A$8:$O$291,6,FALSE)="","",VLOOKUP($A182,Salta!$A$8:$O$291,6,FALSE))</f>
        <v>Revisar datos</v>
      </c>
      <c r="P182" s="24" t="str">
        <f>IF(VLOOKUP($A182,Neuquén!$A$8:$O$291,15,FALSE)="Homologado",VLOOKUP($A182,Neuquén!$A$8:$O$291,10,FALSE),"")</f>
        <v/>
      </c>
      <c r="Q182" s="24" t="str">
        <f>IF(VLOOKUP($A182,'San Juan'!$A$8:$O$291,15,FALSE)="Homologado",VLOOKUP($A182,'San Juan'!$A$8:$O$291,10,FALSE),"")</f>
        <v/>
      </c>
      <c r="R182" s="24" t="str">
        <f>IF(VLOOKUP($A182,Salta!$A$8:$O$291,15,FALSE)="Homologado",VLOOKUP($A182,Salta!$A$8:$O$291,10,FALSE),"")</f>
        <v/>
      </c>
      <c r="S182" s="24" t="str">
        <f>IF(VLOOKUP($A182,'Master vs SAP'!$A$8:$O$291,4,FALSE)="","",VLOOKUP($A182,'Master vs SAP'!$A$8:$O$291,4,FALSE))</f>
        <v>1000497
1000590</v>
      </c>
      <c r="T182" s="9" t="str">
        <f>IF(VLOOKUP($A182,'Master vs SAP'!$A$8:$O$291,5,FALSE)="","",VLOOKUP($A182,'Master vs SAP'!$A$8:$O$291,5,FALSE))</f>
        <v>IODOPOVIDONA SOLUC 10% X 60 ML
IODOPOVIDONA SOLUCION 10% X 100ML</v>
      </c>
      <c r="U182" s="9" t="str">
        <f>IF(VLOOKUP($A182,'Master vs SAP'!$A$8:$O$291,7,FALSE)="","",VLOOKUP($A182,'Master vs SAP'!$A$8:$O$291,7,FALSE))</f>
        <v>Media</v>
      </c>
      <c r="V182" s="9" t="str">
        <f>IF(VLOOKUP($A182,'Master vs SAP'!$A$8:$O$291,6,FALSE)="","",VLOOKUP($A182,'Master vs SAP'!$A$8:$O$291,6,FALSE))</f>
        <v>Revisar presentación</v>
      </c>
      <c r="W182" s="24" t="str">
        <f>IF(VLOOKUP($A182,'Master vs SAP'!$A$8:$O$291,15,FALSE)="Homologado",VLOOKUP($A182,'Master vs SAP'!$A$8:$O$291,10,FALSE),"")</f>
        <v/>
      </c>
    </row>
    <row r="183" spans="1:23" ht="61.95" customHeight="1">
      <c r="A183" s="9" t="s">
        <v>459</v>
      </c>
      <c r="B183" s="9" t="s">
        <v>357</v>
      </c>
      <c r="C183" s="9" t="s">
        <v>460</v>
      </c>
      <c r="D183" s="24" t="str">
        <f>IF(VLOOKUP($A183,Neuquén!$A$8:$O$291,4,FALSE)="","",VLOOKUP($A183,Neuquén!$A$8:$O$291,4,FALSE))</f>
        <v>395</v>
      </c>
      <c r="E183" s="9" t="str">
        <f>IF(VLOOKUP($A183,Neuquén!$A$8:$O$291,5,FALSE)="","",VLOOKUP($A183,Neuquén!$A$8:$O$291,5,FALSE))</f>
        <v>AGUAOXIGENADA1LTS</v>
      </c>
      <c r="F183" s="9" t="str">
        <f>IF(VLOOKUP($A183,Neuquén!$A$8:$O$291,7,FALSE)="","",VLOOKUP($A183,Neuquén!$A$8:$O$291,7,FALSE))</f>
        <v>Alta</v>
      </c>
      <c r="G183" s="9" t="str">
        <f>IF(VLOOKUP($A183,Neuquén!$A$8:$O$291,6,FALSE)="","",VLOOKUP($A183,Neuquén!$A$8:$O$291,6,FALSE))</f>
        <v>Coincidencia por validar</v>
      </c>
      <c r="H183" s="24" t="str">
        <f>IF(VLOOKUP($A183,'San Juan'!$A$8:$O$291,4,FALSE)="","",VLOOKUP($A183,'San Juan'!$A$8:$O$291,4,FALSE))</f>
        <v>DESC9</v>
      </c>
      <c r="I183" s="9" t="str">
        <f>IF(VLOOKUP($A183,'San Juan'!$A$8:$O$291,5,FALSE)="","",VLOOKUP($A183,'San Juan'!$A$8:$O$291,5,FALSE))</f>
        <v>Agua oxigenada x 100ml</v>
      </c>
      <c r="J183" s="9" t="str">
        <f>IF(VLOOKUP($A183,'San Juan'!$A$8:$O$291,7,FALSE)="","",VLOOKUP($A183,'San Juan'!$A$8:$O$291,7,FALSE))</f>
        <v>Baja</v>
      </c>
      <c r="K183" s="9" t="str">
        <f>IF(VLOOKUP($A183,'San Juan'!$A$8:$O$291,6,FALSE)="","",VLOOKUP($A183,'San Juan'!$A$8:$O$291,6,FALSE))</f>
        <v>Revisar presentación</v>
      </c>
      <c r="L183" s="24" t="str">
        <f>IF(VLOOKUP($A183,Salta!$A$8:$O$291,4,FALSE)="","",VLOOKUP($A183,Salta!$A$8:$O$291,4,FALSE))</f>
        <v>15</v>
      </c>
      <c r="M183" s="9" t="str">
        <f>IF(VLOOKUP($A183,Salta!$A$8:$O$291,5,FALSE)="","",VLOOKUP($A183,Salta!$A$8:$O$291,5,FALSE))</f>
        <v>Agua Oxigenada x 1 L.</v>
      </c>
      <c r="N183" s="9" t="str">
        <f>IF(VLOOKUP($A183,Salta!$A$8:$O$291,7,FALSE)="","",VLOOKUP($A183,Salta!$A$8:$O$291,7,FALSE))</f>
        <v>Alta</v>
      </c>
      <c r="O183" s="9" t="str">
        <f>IF(VLOOKUP($A183,Salta!$A$8:$O$291,6,FALSE)="","",VLOOKUP($A183,Salta!$A$8:$O$291,6,FALSE))</f>
        <v>Coincidencia</v>
      </c>
      <c r="P183" s="24" t="str">
        <f>IF(VLOOKUP($A183,Neuquén!$A$8:$O$291,15,FALSE)="Homologado",VLOOKUP($A183,Neuquén!$A$8:$O$291,10,FALSE),"")</f>
        <v/>
      </c>
      <c r="Q183" s="24" t="str">
        <f>IF(VLOOKUP($A183,'San Juan'!$A$8:$O$291,15,FALSE)="Homologado",VLOOKUP($A183,'San Juan'!$A$8:$O$291,10,FALSE),"")</f>
        <v/>
      </c>
      <c r="R183" s="24" t="str">
        <f>IF(VLOOKUP($A183,Salta!$A$8:$O$291,15,FALSE)="Homologado",VLOOKUP($A183,Salta!$A$8:$O$291,10,FALSE),"")</f>
        <v/>
      </c>
      <c r="S183" s="24" t="str">
        <f>IF(VLOOKUP($A183,'Master vs SAP'!$A$8:$O$291,4,FALSE)="","",VLOOKUP($A183,'Master vs SAP'!$A$8:$O$291,4,FALSE))</f>
        <v>1000001</v>
      </c>
      <c r="T183" s="9" t="str">
        <f>IF(VLOOKUP($A183,'Master vs SAP'!$A$8:$O$291,5,FALSE)="","",VLOOKUP($A183,'Master vs SAP'!$A$8:$O$291,5,FALSE))</f>
        <v>AGUA OXIGENADA 10 VOL. X 1000ML</v>
      </c>
      <c r="U183" s="9" t="str">
        <f>IF(VLOOKUP($A183,'Master vs SAP'!$A$8:$O$291,7,FALSE)="","",VLOOKUP($A183,'Master vs SAP'!$A$8:$O$291,7,FALSE))</f>
        <v>Alta</v>
      </c>
      <c r="V183" s="9" t="str">
        <f>IF(VLOOKUP($A183,'Master vs SAP'!$A$8:$O$291,6,FALSE)="","",VLOOKUP($A183,'Master vs SAP'!$A$8:$O$291,6,FALSE))</f>
        <v>Coincidencia</v>
      </c>
      <c r="W183" s="24" t="str">
        <f>IF(VLOOKUP($A183,'Master vs SAP'!$A$8:$O$291,15,FALSE)="Homologado",VLOOKUP($A183,'Master vs SAP'!$A$8:$O$291,10,FALSE),"")</f>
        <v/>
      </c>
    </row>
    <row r="184" spans="1:23" ht="61.95" customHeight="1">
      <c r="A184" s="9" t="s">
        <v>461</v>
      </c>
      <c r="B184" s="9" t="s">
        <v>357</v>
      </c>
      <c r="C184" s="9" t="s">
        <v>462</v>
      </c>
      <c r="D184" s="24" t="str">
        <f>IF(VLOOKUP($A184,Neuquén!$A$8:$O$291,4,FALSE)="","",VLOOKUP($A184,Neuquén!$A$8:$O$291,4,FALSE))</f>
        <v>212</v>
      </c>
      <c r="E184" s="9" t="str">
        <f>IF(VLOOKUP($A184,Neuquén!$A$8:$O$291,5,FALSE)="","",VLOOKUP($A184,Neuquén!$A$8:$O$291,5,FALSE))</f>
        <v>SOLUCIÓNFISIOLÓGICA</v>
      </c>
      <c r="F184" s="9" t="str">
        <f>IF(VLOOKUP($A184,Neuquén!$A$8:$O$291,7,FALSE)="","",VLOOKUP($A184,Neuquén!$A$8:$O$291,7,FALSE))</f>
        <v>Media</v>
      </c>
      <c r="G184" s="9" t="str">
        <f>IF(VLOOKUP($A184,Neuquén!$A$8:$O$291,6,FALSE)="","",VLOOKUP($A184,Neuquén!$A$8:$O$291,6,FALSE))</f>
        <v>Código compartido: revisar</v>
      </c>
      <c r="H184" s="24" t="str">
        <f>IF(VLOOKUP($A184,'San Juan'!$A$8:$O$291,4,FALSE)="","",VLOOKUP($A184,'San Juan'!$A$8:$O$291,4,FALSE))</f>
        <v>MED168</v>
      </c>
      <c r="I184" s="9" t="str">
        <f>IF(VLOOKUP($A184,'San Juan'!$A$8:$O$291,5,FALSE)="","",VLOOKUP($A184,'San Juan'!$A$8:$O$291,5,FALSE))</f>
        <v>Solucion fisiológica x 500 ml</v>
      </c>
      <c r="J184" s="9" t="str">
        <f>IF(VLOOKUP($A184,'San Juan'!$A$8:$O$291,7,FALSE)="","",VLOOKUP($A184,'San Juan'!$A$8:$O$291,7,FALSE))</f>
        <v>Media</v>
      </c>
      <c r="K184" s="9" t="str">
        <f>IF(VLOOKUP($A184,'San Juan'!$A$8:$O$291,6,FALSE)="","",VLOOKUP($A184,'San Juan'!$A$8:$O$291,6,FALSE))</f>
        <v>Código compartido: revisar</v>
      </c>
      <c r="L184" s="24" t="str">
        <f>IF(VLOOKUP($A184,Salta!$A$8:$O$291,4,FALSE)="","",VLOOKUP($A184,Salta!$A$8:$O$291,4,FALSE))</f>
        <v>218
219</v>
      </c>
      <c r="M184" s="9" t="str">
        <f>IF(VLOOKUP($A184,Salta!$A$8:$O$291,5,FALSE)="","",VLOOKUP($A184,Salta!$A$8:$O$291,5,FALSE))</f>
        <v>Solucion fisiológica 500ml Baxter 500ml
Solucion Fisiologica x 100ml gotero</v>
      </c>
      <c r="N184" s="9" t="str">
        <f>IF(VLOOKUP($A184,Salta!$A$8:$O$291,7,FALSE)="","",VLOOKUP($A184,Salta!$A$8:$O$291,7,FALSE))</f>
        <v>Media</v>
      </c>
      <c r="O184" s="9" t="str">
        <f>IF(VLOOKUP($A184,Salta!$A$8:$O$291,6,FALSE)="","",VLOOKUP($A184,Salta!$A$8:$O$291,6,FALSE))</f>
        <v>Revisar datos</v>
      </c>
      <c r="P184" s="24" t="str">
        <f>IF(VLOOKUP($A184,Neuquén!$A$8:$O$291,15,FALSE)="Homologado",VLOOKUP($A184,Neuquén!$A$8:$O$291,10,FALSE),"")</f>
        <v/>
      </c>
      <c r="Q184" s="24" t="str">
        <f>IF(VLOOKUP($A184,'San Juan'!$A$8:$O$291,15,FALSE)="Homologado",VLOOKUP($A184,'San Juan'!$A$8:$O$291,10,FALSE),"")</f>
        <v/>
      </c>
      <c r="R184" s="24" t="str">
        <f>IF(VLOOKUP($A184,Salta!$A$8:$O$291,15,FALSE)="Homologado",VLOOKUP($A184,Salta!$A$8:$O$291,10,FALSE),"")</f>
        <v/>
      </c>
      <c r="S184" s="24" t="str">
        <f>IF(VLOOKUP($A184,'Master vs SAP'!$A$8:$O$291,4,FALSE)="","",VLOOKUP($A184,'Master vs SAP'!$A$8:$O$291,4,FALSE))</f>
        <v>1000089
1000791</v>
      </c>
      <c r="T184" s="9" t="str">
        <f>IF(VLOOKUP($A184,'Master vs SAP'!$A$8:$O$291,5,FALSE)="","",VLOOKUP($A184,'Master vs SAP'!$A$8:$O$291,5,FALSE))</f>
        <v>SOLUCION FISIOLOGICA DE 500CC
SOLUCION FISIOLOGICA 100ML</v>
      </c>
      <c r="U184" s="9" t="str">
        <f>IF(VLOOKUP($A184,'Master vs SAP'!$A$8:$O$291,7,FALSE)="","",VLOOKUP($A184,'Master vs SAP'!$A$8:$O$291,7,FALSE))</f>
        <v>Media</v>
      </c>
      <c r="V184" s="9" t="str">
        <f>IF(VLOOKUP($A184,'Master vs SAP'!$A$8:$O$291,6,FALSE)="","",VLOOKUP($A184,'Master vs SAP'!$A$8:$O$291,6,FALSE))</f>
        <v>Revisar datos</v>
      </c>
      <c r="W184" s="24" t="str">
        <f>IF(VLOOKUP($A184,'Master vs SAP'!$A$8:$O$291,15,FALSE)="Homologado",VLOOKUP($A184,'Master vs SAP'!$A$8:$O$291,10,FALSE),"")</f>
        <v/>
      </c>
    </row>
    <row r="185" spans="1:23" ht="61.95" customHeight="1">
      <c r="A185" s="9" t="s">
        <v>463</v>
      </c>
      <c r="B185" s="9" t="s">
        <v>464</v>
      </c>
      <c r="C185" s="9" t="s">
        <v>465</v>
      </c>
      <c r="D185" s="24" t="str">
        <f>IF(VLOOKUP($A185,Neuquén!$A$8:$O$291,4,FALSE)="","",VLOOKUP($A185,Neuquén!$A$8:$O$291,4,FALSE))</f>
        <v>549</v>
      </c>
      <c r="E185" s="9" t="str">
        <f>IF(VLOOKUP($A185,Neuquén!$A$8:$O$291,5,FALSE)="","",VLOOKUP($A185,Neuquén!$A$8:$O$291,5,FALSE))</f>
        <v>ECG</v>
      </c>
      <c r="F185" s="9" t="str">
        <f>IF(VLOOKUP($A185,Neuquén!$A$8:$O$291,7,FALSE)="","",VLOOKUP($A185,Neuquén!$A$8:$O$291,7,FALSE))</f>
        <v>Sin coincidencia</v>
      </c>
      <c r="G185" s="9" t="str">
        <f>IF(VLOOKUP($A185,Neuquén!$A$8:$O$291,6,FALSE)="","",VLOOKUP($A185,Neuquén!$A$8:$O$291,6,FALSE))</f>
        <v>Código sin equivalencia validada</v>
      </c>
      <c r="H185" s="24" t="str">
        <f>IF(VLOOKUP($A185,'San Juan'!$A$8:$O$291,4,FALSE)="","",VLOOKUP($A185,'San Juan'!$A$8:$O$291,4,FALSE))</f>
        <v/>
      </c>
      <c r="I185" s="9" t="str">
        <f>IF(VLOOKUP($A185,'San Juan'!$A$8:$O$291,5,FALSE)="","",VLOOKUP($A185,'San Juan'!$A$8:$O$291,5,FALSE))</f>
        <v/>
      </c>
      <c r="J185" s="9" t="str">
        <f>IF(VLOOKUP($A185,'San Juan'!$A$8:$O$291,7,FALSE)="","",VLOOKUP($A185,'San Juan'!$A$8:$O$291,7,FALSE))</f>
        <v>Sin coincidencia</v>
      </c>
      <c r="K185" s="9" t="str">
        <f>IF(VLOOKUP($A185,'San Juan'!$A$8:$O$291,6,FALSE)="","",VLOOKUP($A185,'San Juan'!$A$8:$O$291,6,FALSE))</f>
        <v>Sin código encontrado</v>
      </c>
      <c r="L185" s="24" t="str">
        <f>IF(VLOOKUP($A185,Salta!$A$8:$O$291,4,FALSE)="","",VLOOKUP($A185,Salta!$A$8:$O$291,4,FALSE))</f>
        <v/>
      </c>
      <c r="M185" s="9" t="str">
        <f>IF(VLOOKUP($A185,Salta!$A$8:$O$291,5,FALSE)="","",VLOOKUP($A185,Salta!$A$8:$O$291,5,FALSE))</f>
        <v/>
      </c>
      <c r="N185" s="9" t="str">
        <f>IF(VLOOKUP($A185,Salta!$A$8:$O$291,7,FALSE)="","",VLOOKUP($A185,Salta!$A$8:$O$291,7,FALSE))</f>
        <v>Sin coincidencia</v>
      </c>
      <c r="O185" s="9" t="str">
        <f>IF(VLOOKUP($A185,Salta!$A$8:$O$291,6,FALSE)="","",VLOOKUP($A185,Salta!$A$8:$O$291,6,FALSE))</f>
        <v>Sin coincidencia</v>
      </c>
      <c r="P185" s="24" t="str">
        <f>IF(VLOOKUP($A185,Neuquén!$A$8:$O$291,15,FALSE)="Homologado",VLOOKUP($A185,Neuquén!$A$8:$O$291,10,FALSE),"")</f>
        <v/>
      </c>
      <c r="Q185" s="24" t="str">
        <f>IF(VLOOKUP($A185,'San Juan'!$A$8:$O$291,15,FALSE)="Homologado",VLOOKUP($A185,'San Juan'!$A$8:$O$291,10,FALSE),"")</f>
        <v/>
      </c>
      <c r="R185" s="24" t="str">
        <f>IF(VLOOKUP($A185,Salta!$A$8:$O$291,15,FALSE)="Homologado",VLOOKUP($A185,Salta!$A$8:$O$291,10,FALSE),"")</f>
        <v/>
      </c>
      <c r="S185" s="24" t="str">
        <f>IF(VLOOKUP($A185,'Master vs SAP'!$A$8:$O$291,4,FALSE)="","",VLOOKUP($A185,'Master vs SAP'!$A$8:$O$291,4,FALSE))</f>
        <v>5003897
5000972</v>
      </c>
      <c r="T185" s="9" t="str">
        <f>IF(VLOOKUP($A185,'Master vs SAP'!$A$8:$O$291,5,FALSE)="","",VLOOKUP($A185,'Master vs SAP'!$A$8:$O$291,5,FALSE))</f>
        <v>ELECTROCARDIOGRAFO BIOCARE MOD.iE300
ELECTROCARDIOGRAFO JOTATEC</v>
      </c>
      <c r="U185" s="9" t="str">
        <f>IF(VLOOKUP($A185,'Master vs SAP'!$A$8:$O$291,7,FALSE)="","",VLOOKUP($A185,'Master vs SAP'!$A$8:$O$291,7,FALSE))</f>
        <v>Alta</v>
      </c>
      <c r="V185" s="9" t="str">
        <f>IF(VLOOKUP($A185,'Master vs SAP'!$A$8:$O$291,6,FALSE)="","",VLOOKUP($A185,'Master vs SAP'!$A$8:$O$291,6,FALSE))</f>
        <v>Coincidencia</v>
      </c>
      <c r="W185" s="24" t="str">
        <f>IF(VLOOKUP($A185,'Master vs SAP'!$A$8:$O$291,15,FALSE)="Homologado",VLOOKUP($A185,'Master vs SAP'!$A$8:$O$291,10,FALSE),"")</f>
        <v/>
      </c>
    </row>
    <row r="186" spans="1:23" ht="61.95" customHeight="1">
      <c r="A186" s="9" t="s">
        <v>466</v>
      </c>
      <c r="B186" s="9" t="s">
        <v>464</v>
      </c>
      <c r="C186" s="9" t="s">
        <v>467</v>
      </c>
      <c r="D186" s="24" t="str">
        <f>IF(VLOOKUP($A186,Neuquén!$A$8:$O$291,4,FALSE)="","",VLOOKUP($A186,Neuquén!$A$8:$O$291,4,FALSE))</f>
        <v>548</v>
      </c>
      <c r="E186" s="9" t="str">
        <f>IF(VLOOKUP($A186,Neuquén!$A$8:$O$291,5,FALSE)="","",VLOOKUP($A186,Neuquén!$A$8:$O$291,5,FALSE))</f>
        <v>MONITOR MULTIPARAMETRICO</v>
      </c>
      <c r="F186" s="9" t="str">
        <f>IF(VLOOKUP($A186,Neuquén!$A$8:$O$291,7,FALSE)="","",VLOOKUP($A186,Neuquén!$A$8:$O$291,7,FALSE))</f>
        <v>Sin coincidencia</v>
      </c>
      <c r="G186" s="9" t="str">
        <f>IF(VLOOKUP($A186,Neuquén!$A$8:$O$291,6,FALSE)="","",VLOOKUP($A186,Neuquén!$A$8:$O$291,6,FALSE))</f>
        <v>Código sin equivalencia validada</v>
      </c>
      <c r="H186" s="24" t="str">
        <f>IF(VLOOKUP($A186,'San Juan'!$A$8:$O$291,4,FALSE)="","",VLOOKUP($A186,'San Juan'!$A$8:$O$291,4,FALSE))</f>
        <v/>
      </c>
      <c r="I186" s="9" t="str">
        <f>IF(VLOOKUP($A186,'San Juan'!$A$8:$O$291,5,FALSE)="","",VLOOKUP($A186,'San Juan'!$A$8:$O$291,5,FALSE))</f>
        <v/>
      </c>
      <c r="J186" s="9" t="str">
        <f>IF(VLOOKUP($A186,'San Juan'!$A$8:$O$291,7,FALSE)="","",VLOOKUP($A186,'San Juan'!$A$8:$O$291,7,FALSE))</f>
        <v>Sin coincidencia</v>
      </c>
      <c r="K186" s="9" t="str">
        <f>IF(VLOOKUP($A186,'San Juan'!$A$8:$O$291,6,FALSE)="","",VLOOKUP($A186,'San Juan'!$A$8:$O$291,6,FALSE))</f>
        <v>Sin código encontrado</v>
      </c>
      <c r="L186" s="24" t="str">
        <f>IF(VLOOKUP($A186,Salta!$A$8:$O$291,4,FALSE)="","",VLOOKUP($A186,Salta!$A$8:$O$291,4,FALSE))</f>
        <v/>
      </c>
      <c r="M186" s="9" t="str">
        <f>IF(VLOOKUP($A186,Salta!$A$8:$O$291,5,FALSE)="","",VLOOKUP($A186,Salta!$A$8:$O$291,5,FALSE))</f>
        <v/>
      </c>
      <c r="N186" s="9" t="str">
        <f>IF(VLOOKUP($A186,Salta!$A$8:$O$291,7,FALSE)="","",VLOOKUP($A186,Salta!$A$8:$O$291,7,FALSE))</f>
        <v>Sin coincidencia</v>
      </c>
      <c r="O186" s="9" t="str">
        <f>IF(VLOOKUP($A186,Salta!$A$8:$O$291,6,FALSE)="","",VLOOKUP($A186,Salta!$A$8:$O$291,6,FALSE))</f>
        <v>Sin coincidencia</v>
      </c>
      <c r="P186" s="24" t="str">
        <f>IF(VLOOKUP($A186,Neuquén!$A$8:$O$291,15,FALSE)="Homologado",VLOOKUP($A186,Neuquén!$A$8:$O$291,10,FALSE),"")</f>
        <v/>
      </c>
      <c r="Q186" s="24" t="str">
        <f>IF(VLOOKUP($A186,'San Juan'!$A$8:$O$291,15,FALSE)="Homologado",VLOOKUP($A186,'San Juan'!$A$8:$O$291,10,FALSE),"")</f>
        <v/>
      </c>
      <c r="R186" s="24" t="str">
        <f>IF(VLOOKUP($A186,Salta!$A$8:$O$291,15,FALSE)="Homologado",VLOOKUP($A186,Salta!$A$8:$O$291,10,FALSE),"")</f>
        <v/>
      </c>
      <c r="S186" s="24" t="str">
        <f>IF(VLOOKUP($A186,'Master vs SAP'!$A$8:$O$291,4,FALSE)="","",VLOOKUP($A186,'Master vs SAP'!$A$8:$O$291,4,FALSE))</f>
        <v>5003900</v>
      </c>
      <c r="T186" s="9" t="str">
        <f>IF(VLOOKUP($A186,'Master vs SAP'!$A$8:$O$291,5,FALSE)="","",VLOOKUP($A186,'Master vs SAP'!$A$8:$O$291,5,FALSE))</f>
        <v>MONITOR MULTIPARAMETRICO CONTEC CMS8000</v>
      </c>
      <c r="U186" s="9" t="str">
        <f>IF(VLOOKUP($A186,'Master vs SAP'!$A$8:$O$291,7,FALSE)="","",VLOOKUP($A186,'Master vs SAP'!$A$8:$O$291,7,FALSE))</f>
        <v>Alta</v>
      </c>
      <c r="V186" s="9" t="str">
        <f>IF(VLOOKUP($A186,'Master vs SAP'!$A$8:$O$291,6,FALSE)="","",VLOOKUP($A186,'Master vs SAP'!$A$8:$O$291,6,FALSE))</f>
        <v>Coincidencia</v>
      </c>
      <c r="W186" s="24" t="str">
        <f>IF(VLOOKUP($A186,'Master vs SAP'!$A$8:$O$291,15,FALSE)="Homologado",VLOOKUP($A186,'Master vs SAP'!$A$8:$O$291,10,FALSE),"")</f>
        <v/>
      </c>
    </row>
    <row r="187" spans="1:23" ht="61.95" customHeight="1">
      <c r="A187" s="9" t="s">
        <v>468</v>
      </c>
      <c r="B187" s="9" t="s">
        <v>464</v>
      </c>
      <c r="C187" s="9" t="s">
        <v>469</v>
      </c>
      <c r="D187" s="24" t="str">
        <f>IF(VLOOKUP($A187,Neuquén!$A$8:$O$291,4,FALSE)="","",VLOOKUP($A187,Neuquén!$A$8:$O$291,4,FALSE))</f>
        <v>464</v>
      </c>
      <c r="E187" s="9" t="str">
        <f>IF(VLOOKUP($A187,Neuquén!$A$8:$O$291,5,FALSE)="","",VLOOKUP($A187,Neuquén!$A$8:$O$291,5,FALSE))</f>
        <v>parchecardiodesfibrilador</v>
      </c>
      <c r="F187" s="9" t="str">
        <f>IF(VLOOKUP($A187,Neuquén!$A$8:$O$291,7,FALSE)="","",VLOOKUP($A187,Neuquén!$A$8:$O$291,7,FALSE))</f>
        <v>Alta</v>
      </c>
      <c r="G187" s="9" t="str">
        <f>IF(VLOOKUP($A187,Neuquén!$A$8:$O$291,6,FALSE)="","",VLOOKUP($A187,Neuquén!$A$8:$O$291,6,FALSE))</f>
        <v>Coincidencia por validar</v>
      </c>
      <c r="H187" s="24" t="str">
        <f>IF(VLOOKUP($A187,'San Juan'!$A$8:$O$291,4,FALSE)="","",VLOOKUP($A187,'San Juan'!$A$8:$O$291,4,FALSE))</f>
        <v/>
      </c>
      <c r="I187" s="9" t="str">
        <f>IF(VLOOKUP($A187,'San Juan'!$A$8:$O$291,5,FALSE)="","",VLOOKUP($A187,'San Juan'!$A$8:$O$291,5,FALSE))</f>
        <v/>
      </c>
      <c r="J187" s="9" t="str">
        <f>IF(VLOOKUP($A187,'San Juan'!$A$8:$O$291,7,FALSE)="","",VLOOKUP($A187,'San Juan'!$A$8:$O$291,7,FALSE))</f>
        <v>Sin coincidencia</v>
      </c>
      <c r="K187" s="9" t="str">
        <f>IF(VLOOKUP($A187,'San Juan'!$A$8:$O$291,6,FALSE)="","",VLOOKUP($A187,'San Juan'!$A$8:$O$291,6,FALSE))</f>
        <v>Sin código encontrado</v>
      </c>
      <c r="L187" s="24" t="str">
        <f>IF(VLOOKUP($A187,Salta!$A$8:$O$291,4,FALSE)="","",VLOOKUP($A187,Salta!$A$8:$O$291,4,FALSE))</f>
        <v/>
      </c>
      <c r="M187" s="9" t="str">
        <f>IF(VLOOKUP($A187,Salta!$A$8:$O$291,5,FALSE)="","",VLOOKUP($A187,Salta!$A$8:$O$291,5,FALSE))</f>
        <v/>
      </c>
      <c r="N187" s="9" t="str">
        <f>IF(VLOOKUP($A187,Salta!$A$8:$O$291,7,FALSE)="","",VLOOKUP($A187,Salta!$A$8:$O$291,7,FALSE))</f>
        <v>Sin coincidencia</v>
      </c>
      <c r="O187" s="9" t="str">
        <f>IF(VLOOKUP($A187,Salta!$A$8:$O$291,6,FALSE)="","",VLOOKUP($A187,Salta!$A$8:$O$291,6,FALSE))</f>
        <v>Sin coincidencia</v>
      </c>
      <c r="P187" s="24" t="str">
        <f>IF(VLOOKUP($A187,Neuquén!$A$8:$O$291,15,FALSE)="Homologado",VLOOKUP($A187,Neuquén!$A$8:$O$291,10,FALSE),"")</f>
        <v/>
      </c>
      <c r="Q187" s="24" t="str">
        <f>IF(VLOOKUP($A187,'San Juan'!$A$8:$O$291,15,FALSE)="Homologado",VLOOKUP($A187,'San Juan'!$A$8:$O$291,10,FALSE),"")</f>
        <v/>
      </c>
      <c r="R187" s="24" t="str">
        <f>IF(VLOOKUP($A187,Salta!$A$8:$O$291,15,FALSE)="Homologado",VLOOKUP($A187,Salta!$A$8:$O$291,10,FALSE),"")</f>
        <v/>
      </c>
      <c r="S187" s="24" t="str">
        <f>IF(VLOOKUP($A187,'Master vs SAP'!$A$8:$O$291,4,FALSE)="","",VLOOKUP($A187,'Master vs SAP'!$A$8:$O$291,4,FALSE))</f>
        <v>5003898
ELEC7561</v>
      </c>
      <c r="T187" s="9" t="str">
        <f>IF(VLOOKUP($A187,'Master vs SAP'!$A$8:$O$291,5,FALSE)="","",VLOOKUP($A187,'Master vs SAP'!$A$8:$O$291,5,FALSE))</f>
        <v>DESFRIBILADOR BIFAS INSTRAMED CARDIOMAX
DESFIBRILADOR BENEHEART D3</v>
      </c>
      <c r="U187" s="9" t="str">
        <f>IF(VLOOKUP($A187,'Master vs SAP'!$A$8:$O$291,7,FALSE)="","",VLOOKUP($A187,'Master vs SAP'!$A$8:$O$291,7,FALSE))</f>
        <v>Media</v>
      </c>
      <c r="V187" s="9" t="str">
        <f>IF(VLOOKUP($A187,'Master vs SAP'!$A$8:$O$291,6,FALSE)="","",VLOOKUP($A187,'Master vs SAP'!$A$8:$O$291,6,FALSE))</f>
        <v>Revisar datos</v>
      </c>
      <c r="W187" s="24" t="str">
        <f>IF(VLOOKUP($A187,'Master vs SAP'!$A$8:$O$291,15,FALSE)="Homologado",VLOOKUP($A187,'Master vs SAP'!$A$8:$O$291,10,FALSE),"")</f>
        <v/>
      </c>
    </row>
    <row r="188" spans="1:23" ht="61.95" customHeight="1">
      <c r="A188" s="9" t="s">
        <v>470</v>
      </c>
      <c r="B188" s="9" t="s">
        <v>464</v>
      </c>
      <c r="C188" s="9" t="s">
        <v>471</v>
      </c>
      <c r="D188" s="24" t="str">
        <f>IF(VLOOKUP($A188,Neuquén!$A$8:$O$291,4,FALSE)="","",VLOOKUP($A188,Neuquén!$A$8:$O$291,4,FALSE))</f>
        <v>412</v>
      </c>
      <c r="E188" s="9" t="str">
        <f>IF(VLOOKUP($A188,Neuquén!$A$8:$O$291,5,FALSE)="","",VLOOKUP($A188,Neuquén!$A$8:$O$291,5,FALSE))</f>
        <v>DESFIBRILADORDEA(ultimageneracion)</v>
      </c>
      <c r="F188" s="9" t="str">
        <f>IF(VLOOKUP($A188,Neuquén!$A$8:$O$291,7,FALSE)="","",VLOOKUP($A188,Neuquén!$A$8:$O$291,7,FALSE))</f>
        <v>Media</v>
      </c>
      <c r="G188" s="9" t="str">
        <f>IF(VLOOKUP($A188,Neuquén!$A$8:$O$291,6,FALSE)="","",VLOOKUP($A188,Neuquén!$A$8:$O$291,6,FALSE))</f>
        <v>Equivalencia a revisar</v>
      </c>
      <c r="H188" s="24" t="str">
        <f>IF(VLOOKUP($A188,'San Juan'!$A$8:$O$291,4,FALSE)="","",VLOOKUP($A188,'San Juan'!$A$8:$O$291,4,FALSE))</f>
        <v/>
      </c>
      <c r="I188" s="9" t="str">
        <f>IF(VLOOKUP($A188,'San Juan'!$A$8:$O$291,5,FALSE)="","",VLOOKUP($A188,'San Juan'!$A$8:$O$291,5,FALSE))</f>
        <v/>
      </c>
      <c r="J188" s="9" t="str">
        <f>IF(VLOOKUP($A188,'San Juan'!$A$8:$O$291,7,FALSE)="","",VLOOKUP($A188,'San Juan'!$A$8:$O$291,7,FALSE))</f>
        <v>Sin coincidencia</v>
      </c>
      <c r="K188" s="9" t="str">
        <f>IF(VLOOKUP($A188,'San Juan'!$A$8:$O$291,6,FALSE)="","",VLOOKUP($A188,'San Juan'!$A$8:$O$291,6,FALSE))</f>
        <v>Sin código encontrado</v>
      </c>
      <c r="L188" s="24" t="str">
        <f>IF(VLOOKUP($A188,Salta!$A$8:$O$291,4,FALSE)="","",VLOOKUP($A188,Salta!$A$8:$O$291,4,FALSE))</f>
        <v/>
      </c>
      <c r="M188" s="9" t="str">
        <f>IF(VLOOKUP($A188,Salta!$A$8:$O$291,5,FALSE)="","",VLOOKUP($A188,Salta!$A$8:$O$291,5,FALSE))</f>
        <v/>
      </c>
      <c r="N188" s="9" t="str">
        <f>IF(VLOOKUP($A188,Salta!$A$8:$O$291,7,FALSE)="","",VLOOKUP($A188,Salta!$A$8:$O$291,7,FALSE))</f>
        <v>Sin coincidencia</v>
      </c>
      <c r="O188" s="9" t="str">
        <f>IF(VLOOKUP($A188,Salta!$A$8:$O$291,6,FALSE)="","",VLOOKUP($A188,Salta!$A$8:$O$291,6,FALSE))</f>
        <v>Sin coincidencia</v>
      </c>
      <c r="P188" s="24" t="str">
        <f>IF(VLOOKUP($A188,Neuquén!$A$8:$O$291,15,FALSE)="Homologado",VLOOKUP($A188,Neuquén!$A$8:$O$291,10,FALSE),"")</f>
        <v/>
      </c>
      <c r="Q188" s="24" t="str">
        <f>IF(VLOOKUP($A188,'San Juan'!$A$8:$O$291,15,FALSE)="Homologado",VLOOKUP($A188,'San Juan'!$A$8:$O$291,10,FALSE),"")</f>
        <v/>
      </c>
      <c r="R188" s="24" t="str">
        <f>IF(VLOOKUP($A188,Salta!$A$8:$O$291,15,FALSE)="Homologado",VLOOKUP($A188,Salta!$A$8:$O$291,10,FALSE),"")</f>
        <v/>
      </c>
      <c r="S188" s="24" t="str">
        <f>IF(VLOOKUP($A188,'Master vs SAP'!$A$8:$O$291,4,FALSE)="","",VLOOKUP($A188,'Master vs SAP'!$A$8:$O$291,4,FALSE))</f>
        <v>5004244</v>
      </c>
      <c r="T188" s="9" t="str">
        <f>IF(VLOOKUP($A188,'Master vs SAP'!$A$8:$O$291,5,FALSE)="","",VLOOKUP($A188,'Master vs SAP'!$A$8:$O$291,5,FALSE))</f>
        <v>DEA RADIANQBIO HR-501</v>
      </c>
      <c r="U188" s="9" t="str">
        <f>IF(VLOOKUP($A188,'Master vs SAP'!$A$8:$O$291,7,FALSE)="","",VLOOKUP($A188,'Master vs SAP'!$A$8:$O$291,7,FALSE))</f>
        <v>Alta</v>
      </c>
      <c r="V188" s="9" t="str">
        <f>IF(VLOOKUP($A188,'Master vs SAP'!$A$8:$O$291,6,FALSE)="","",VLOOKUP($A188,'Master vs SAP'!$A$8:$O$291,6,FALSE))</f>
        <v>Coincidencia</v>
      </c>
      <c r="W188" s="24" t="str">
        <f>IF(VLOOKUP($A188,'Master vs SAP'!$A$8:$O$291,15,FALSE)="Homologado",VLOOKUP($A188,'Master vs SAP'!$A$8:$O$291,10,FALSE),"")</f>
        <v/>
      </c>
    </row>
    <row r="189" spans="1:23" ht="61.95" customHeight="1">
      <c r="A189" s="9" t="s">
        <v>472</v>
      </c>
      <c r="B189" s="9" t="s">
        <v>464</v>
      </c>
      <c r="C189" s="9" t="s">
        <v>473</v>
      </c>
      <c r="D189" s="24" t="str">
        <f>IF(VLOOKUP($A189,Neuquén!$A$8:$O$291,4,FALSE)="","",VLOOKUP($A189,Neuquén!$A$8:$O$291,4,FALSE))</f>
        <v>383</v>
      </c>
      <c r="E189" s="9" t="str">
        <f>IF(VLOOKUP($A189,Neuquén!$A$8:$O$291,5,FALSE)="","",VLOOKUP($A189,Neuquén!$A$8:$O$291,5,FALSE))</f>
        <v>GLUCOMETRO</v>
      </c>
      <c r="F189" s="9" t="str">
        <f>IF(VLOOKUP($A189,Neuquén!$A$8:$O$291,7,FALSE)="","",VLOOKUP($A189,Neuquén!$A$8:$O$291,7,FALSE))</f>
        <v>Alta</v>
      </c>
      <c r="G189" s="9" t="str">
        <f>IF(VLOOKUP($A189,Neuquén!$A$8:$O$291,6,FALSE)="","",VLOOKUP($A189,Neuquén!$A$8:$O$291,6,FALSE))</f>
        <v>Coincidencia por validar</v>
      </c>
      <c r="H189" s="24" t="str">
        <f>IF(VLOOKUP($A189,'San Juan'!$A$8:$O$291,4,FALSE)="","",VLOOKUP($A189,'San Juan'!$A$8:$O$291,4,FALSE))</f>
        <v/>
      </c>
      <c r="I189" s="9" t="str">
        <f>IF(VLOOKUP($A189,'San Juan'!$A$8:$O$291,5,FALSE)="","",VLOOKUP($A189,'San Juan'!$A$8:$O$291,5,FALSE))</f>
        <v/>
      </c>
      <c r="J189" s="9" t="str">
        <f>IF(VLOOKUP($A189,'San Juan'!$A$8:$O$291,7,FALSE)="","",VLOOKUP($A189,'San Juan'!$A$8:$O$291,7,FALSE))</f>
        <v>Sin coincidencia</v>
      </c>
      <c r="K189" s="9" t="str">
        <f>IF(VLOOKUP($A189,'San Juan'!$A$8:$O$291,6,FALSE)="","",VLOOKUP($A189,'San Juan'!$A$8:$O$291,6,FALSE))</f>
        <v>Sin código encontrado</v>
      </c>
      <c r="L189" s="24" t="str">
        <f>IF(VLOOKUP($A189,Salta!$A$8:$O$291,4,FALSE)="","",VLOOKUP($A189,Salta!$A$8:$O$291,4,FALSE))</f>
        <v>131</v>
      </c>
      <c r="M189" s="9" t="str">
        <f>IF(VLOOKUP($A189,Salta!$A$8:$O$291,5,FALSE)="","",VLOOKUP($A189,Salta!$A$8:$O$291,5,FALSE))</f>
        <v>Glucometro</v>
      </c>
      <c r="N189" s="9" t="str">
        <f>IF(VLOOKUP($A189,Salta!$A$8:$O$291,7,FALSE)="","",VLOOKUP($A189,Salta!$A$8:$O$291,7,FALSE))</f>
        <v>Alta</v>
      </c>
      <c r="O189" s="9" t="str">
        <f>IF(VLOOKUP($A189,Salta!$A$8:$O$291,6,FALSE)="","",VLOOKUP($A189,Salta!$A$8:$O$291,6,FALSE))</f>
        <v>Coincidencia</v>
      </c>
      <c r="P189" s="24" t="str">
        <f>IF(VLOOKUP($A189,Neuquén!$A$8:$O$291,15,FALSE)="Homologado",VLOOKUP($A189,Neuquén!$A$8:$O$291,10,FALSE),"")</f>
        <v/>
      </c>
      <c r="Q189" s="24" t="str">
        <f>IF(VLOOKUP($A189,'San Juan'!$A$8:$O$291,15,FALSE)="Homologado",VLOOKUP($A189,'San Juan'!$A$8:$O$291,10,FALSE),"")</f>
        <v/>
      </c>
      <c r="R189" s="24" t="str">
        <f>IF(VLOOKUP($A189,Salta!$A$8:$O$291,15,FALSE)="Homologado",VLOOKUP($A189,Salta!$A$8:$O$291,10,FALSE),"")</f>
        <v/>
      </c>
      <c r="S189" s="24" t="str">
        <f>IF(VLOOKUP($A189,'Master vs SAP'!$A$8:$O$291,4,FALSE)="","",VLOOKUP($A189,'Master vs SAP'!$A$8:$O$291,4,FALSE))</f>
        <v>1000535</v>
      </c>
      <c r="T189" s="9" t="str">
        <f>IF(VLOOKUP($A189,'Master vs SAP'!$A$8:$O$291,5,FALSE)="","",VLOOKUP($A189,'Master vs SAP'!$A$8:$O$291,5,FALSE))</f>
        <v>MEDIDOR GLUCEMIA FREESTYLE OPTIUM NEO H</v>
      </c>
      <c r="U189" s="9" t="str">
        <f>IF(VLOOKUP($A189,'Master vs SAP'!$A$8:$O$291,7,FALSE)="","",VLOOKUP($A189,'Master vs SAP'!$A$8:$O$291,7,FALSE))</f>
        <v>Alta</v>
      </c>
      <c r="V189" s="9" t="str">
        <f>IF(VLOOKUP($A189,'Master vs SAP'!$A$8:$O$291,6,FALSE)="","",VLOOKUP($A189,'Master vs SAP'!$A$8:$O$291,6,FALSE))</f>
        <v>Coincidencia</v>
      </c>
      <c r="W189" s="24" t="str">
        <f>IF(VLOOKUP($A189,'Master vs SAP'!$A$8:$O$291,15,FALSE)="Homologado",VLOOKUP($A189,'Master vs SAP'!$A$8:$O$291,10,FALSE),"")</f>
        <v/>
      </c>
    </row>
    <row r="190" spans="1:23" ht="78" customHeight="1">
      <c r="A190" s="9" t="s">
        <v>474</v>
      </c>
      <c r="B190" s="9" t="s">
        <v>464</v>
      </c>
      <c r="C190" s="9" t="s">
        <v>475</v>
      </c>
      <c r="D190" s="24" t="str">
        <f>IF(VLOOKUP($A190,Neuquén!$A$8:$O$291,4,FALSE)="","",VLOOKUP($A190,Neuquén!$A$8:$O$291,4,FALSE))</f>
        <v>393</v>
      </c>
      <c r="E190" s="9" t="str">
        <f>IF(VLOOKUP($A190,Neuquén!$A$8:$O$291,5,FALSE)="","",VLOOKUP($A190,Neuquén!$A$8:$O$291,5,FALSE))</f>
        <v>OXIMETRODEPULSO</v>
      </c>
      <c r="F190" s="9" t="str">
        <f>IF(VLOOKUP($A190,Neuquén!$A$8:$O$291,7,FALSE)="","",VLOOKUP($A190,Neuquén!$A$8:$O$291,7,FALSE))</f>
        <v>Media</v>
      </c>
      <c r="G190" s="9" t="str">
        <f>IF(VLOOKUP($A190,Neuquén!$A$8:$O$291,6,FALSE)="","",VLOOKUP($A190,Neuquén!$A$8:$O$291,6,FALSE))</f>
        <v>Código compartido: revisar</v>
      </c>
      <c r="H190" s="24" t="str">
        <f>IF(VLOOKUP($A190,'San Juan'!$A$8:$O$291,4,FALSE)="","",VLOOKUP($A190,'San Juan'!$A$8:$O$291,4,FALSE))</f>
        <v>DESC113</v>
      </c>
      <c r="I190" s="9" t="str">
        <f>IF(VLOOKUP($A190,'San Juan'!$A$8:$O$291,5,FALSE)="","",VLOOKUP($A190,'San Juan'!$A$8:$O$291,5,FALSE))</f>
        <v>Saturómetro</v>
      </c>
      <c r="J190" s="9" t="str">
        <f>IF(VLOOKUP($A190,'San Juan'!$A$8:$O$291,7,FALSE)="","",VLOOKUP($A190,'San Juan'!$A$8:$O$291,7,FALSE))</f>
        <v>Media</v>
      </c>
      <c r="K190" s="9" t="str">
        <f>IF(VLOOKUP($A190,'San Juan'!$A$8:$O$291,6,FALSE)="","",VLOOKUP($A190,'San Juan'!$A$8:$O$291,6,FALSE))</f>
        <v>Código compartido: revisar</v>
      </c>
      <c r="L190" s="24" t="str">
        <f>IF(VLOOKUP($A190,Salta!$A$8:$O$291,4,FALSE)="","",VLOOKUP($A190,Salta!$A$8:$O$291,4,FALSE))</f>
        <v>195</v>
      </c>
      <c r="M190" s="9" t="str">
        <f>IF(VLOOKUP($A190,Salta!$A$8:$O$291,5,FALSE)="","",VLOOKUP($A190,Salta!$A$8:$O$291,5,FALSE))</f>
        <v>Oximetro de pulso digital</v>
      </c>
      <c r="N190" s="9" t="str">
        <f>IF(VLOOKUP($A190,Salta!$A$8:$O$291,7,FALSE)="","",VLOOKUP($A190,Salta!$A$8:$O$291,7,FALSE))</f>
        <v>Alta</v>
      </c>
      <c r="O190" s="9" t="str">
        <f>IF(VLOOKUP($A190,Salta!$A$8:$O$291,6,FALSE)="","",VLOOKUP($A190,Salta!$A$8:$O$291,6,FALSE))</f>
        <v>Coincidencia</v>
      </c>
      <c r="P190" s="24" t="str">
        <f>IF(VLOOKUP($A190,Neuquén!$A$8:$O$291,15,FALSE)="Homologado",VLOOKUP($A190,Neuquén!$A$8:$O$291,10,FALSE),"")</f>
        <v/>
      </c>
      <c r="Q190" s="24" t="str">
        <f>IF(VLOOKUP($A190,'San Juan'!$A$8:$O$291,15,FALSE)="Homologado",VLOOKUP($A190,'San Juan'!$A$8:$O$291,10,FALSE),"")</f>
        <v/>
      </c>
      <c r="R190" s="24" t="str">
        <f>IF(VLOOKUP($A190,Salta!$A$8:$O$291,15,FALSE)="Homologado",VLOOKUP($A190,Salta!$A$8:$O$291,10,FALSE),"")</f>
        <v/>
      </c>
      <c r="S190" s="24" t="str">
        <f>IF(VLOOKUP($A190,'Master vs SAP'!$A$8:$O$291,4,FALSE)="","",VLOOKUP($A190,'Master vs SAP'!$A$8:$O$291,4,FALSE))</f>
        <v>2001219
5000971
5004072
2001510</v>
      </c>
      <c r="T190" s="9" t="str">
        <f>IF(VLOOKUP($A190,'Master vs SAP'!$A$8:$O$291,5,FALSE)="","",VLOOKUP($A190,'Master vs SAP'!$A$8:$O$291,5,FALSE))</f>
        <v>OXIMETRO DE PULSO
OXIMETRO DE PULSO
OXIMETRO/SATUROMETRO DE PULSO SILFAB
SATUROMETRO PORTATIL PILAS SAN-UP A310</v>
      </c>
      <c r="U190" s="9" t="str">
        <f>IF(VLOOKUP($A190,'Master vs SAP'!$A$8:$O$291,7,FALSE)="","",VLOOKUP($A190,'Master vs SAP'!$A$8:$O$291,7,FALSE))</f>
        <v>Alta</v>
      </c>
      <c r="V190" s="9" t="str">
        <f>IF(VLOOKUP($A190,'Master vs SAP'!$A$8:$O$291,6,FALSE)="","",VLOOKUP($A190,'Master vs SAP'!$A$8:$O$291,6,FALSE))</f>
        <v>Coincidencia</v>
      </c>
      <c r="W190" s="24" t="str">
        <f>IF(VLOOKUP($A190,'Master vs SAP'!$A$8:$O$291,15,FALSE)="Homologado",VLOOKUP($A190,'Master vs SAP'!$A$8:$O$291,10,FALSE),"")</f>
        <v/>
      </c>
    </row>
    <row r="191" spans="1:23" ht="61.95" customHeight="1">
      <c r="A191" s="9" t="s">
        <v>476</v>
      </c>
      <c r="B191" s="9" t="s">
        <v>464</v>
      </c>
      <c r="C191" s="9" t="s">
        <v>477</v>
      </c>
      <c r="D191" s="24" t="str">
        <f>IF(VLOOKUP($A191,Neuquén!$A$8:$O$291,4,FALSE)="","",VLOOKUP($A191,Neuquén!$A$8:$O$291,4,FALSE))</f>
        <v>405</v>
      </c>
      <c r="E191" s="9" t="str">
        <f>IF(VLOOKUP($A191,Neuquén!$A$8:$O$291,5,FALSE)="","",VLOOKUP($A191,Neuquén!$A$8:$O$291,5,FALSE))</f>
        <v>ASPIRADORMANUAL</v>
      </c>
      <c r="F191" s="9" t="str">
        <f>IF(VLOOKUP($A191,Neuquén!$A$8:$O$291,7,FALSE)="","",VLOOKUP($A191,Neuquén!$A$8:$O$291,7,FALSE))</f>
        <v>Baja</v>
      </c>
      <c r="G191" s="9" t="str">
        <f>IF(VLOOKUP($A191,Neuquén!$A$8:$O$291,6,FALSE)="","",VLOOKUP($A191,Neuquén!$A$8:$O$291,6,FALSE))</f>
        <v>Equipo distinto</v>
      </c>
      <c r="H191" s="24" t="str">
        <f>IF(VLOOKUP($A191,'San Juan'!$A$8:$O$291,4,FALSE)="","",VLOOKUP($A191,'San Juan'!$A$8:$O$291,4,FALSE))</f>
        <v/>
      </c>
      <c r="I191" s="9" t="str">
        <f>IF(VLOOKUP($A191,'San Juan'!$A$8:$O$291,5,FALSE)="","",VLOOKUP($A191,'San Juan'!$A$8:$O$291,5,FALSE))</f>
        <v/>
      </c>
      <c r="J191" s="9" t="str">
        <f>IF(VLOOKUP($A191,'San Juan'!$A$8:$O$291,7,FALSE)="","",VLOOKUP($A191,'San Juan'!$A$8:$O$291,7,FALSE))</f>
        <v>Sin coincidencia</v>
      </c>
      <c r="K191" s="9" t="str">
        <f>IF(VLOOKUP($A191,'San Juan'!$A$8:$O$291,6,FALSE)="","",VLOOKUP($A191,'San Juan'!$A$8:$O$291,6,FALSE))</f>
        <v>Sin código encontrado</v>
      </c>
      <c r="L191" s="24" t="str">
        <f>IF(VLOOKUP($A191,Salta!$A$8:$O$291,4,FALSE)="","",VLOOKUP($A191,Salta!$A$8:$O$291,4,FALSE))</f>
        <v/>
      </c>
      <c r="M191" s="9" t="str">
        <f>IF(VLOOKUP($A191,Salta!$A$8:$O$291,5,FALSE)="","",VLOOKUP($A191,Salta!$A$8:$O$291,5,FALSE))</f>
        <v/>
      </c>
      <c r="N191" s="9" t="str">
        <f>IF(VLOOKUP($A191,Salta!$A$8:$O$291,7,FALSE)="","",VLOOKUP($A191,Salta!$A$8:$O$291,7,FALSE))</f>
        <v>Sin coincidencia</v>
      </c>
      <c r="O191" s="9" t="str">
        <f>IF(VLOOKUP($A191,Salta!$A$8:$O$291,6,FALSE)="","",VLOOKUP($A191,Salta!$A$8:$O$291,6,FALSE))</f>
        <v>Sin coincidencia</v>
      </c>
      <c r="P191" s="24" t="str">
        <f>IF(VLOOKUP($A191,Neuquén!$A$8:$O$291,15,FALSE)="Homologado",VLOOKUP($A191,Neuquén!$A$8:$O$291,10,FALSE),"")</f>
        <v/>
      </c>
      <c r="Q191" s="24" t="str">
        <f>IF(VLOOKUP($A191,'San Juan'!$A$8:$O$291,15,FALSE)="Homologado",VLOOKUP($A191,'San Juan'!$A$8:$O$291,10,FALSE),"")</f>
        <v/>
      </c>
      <c r="R191" s="24" t="str">
        <f>IF(VLOOKUP($A191,Salta!$A$8:$O$291,15,FALSE)="Homologado",VLOOKUP($A191,Salta!$A$8:$O$291,10,FALSE),"")</f>
        <v/>
      </c>
      <c r="S191" s="24" t="str">
        <f>IF(VLOOKUP($A191,'Master vs SAP'!$A$8:$O$291,4,FALSE)="","",VLOOKUP($A191,'Master vs SAP'!$A$8:$O$291,4,FALSE))</f>
        <v>5003899
5004243</v>
      </c>
      <c r="T191" s="9" t="str">
        <f>IF(VLOOKUP($A191,'Master vs SAP'!$A$8:$O$291,5,FALSE)="","",VLOOKUP($A191,'Master vs SAP'!$A$8:$O$291,5,FALSE))</f>
        <v>ASPIR DE SECRECIONES C/BAT MAVERICK 7E-G
ASP DE SECRECIONES C/BAT YUWELL 7E-G</v>
      </c>
      <c r="U191" s="9" t="str">
        <f>IF(VLOOKUP($A191,'Master vs SAP'!$A$8:$O$291,7,FALSE)="","",VLOOKUP($A191,'Master vs SAP'!$A$8:$O$291,7,FALSE))</f>
        <v>Alta</v>
      </c>
      <c r="V191" s="9" t="str">
        <f>IF(VLOOKUP($A191,'Master vs SAP'!$A$8:$O$291,6,FALSE)="","",VLOOKUP($A191,'Master vs SAP'!$A$8:$O$291,6,FALSE))</f>
        <v>Coincidencia</v>
      </c>
      <c r="W191" s="24" t="str">
        <f>IF(VLOOKUP($A191,'Master vs SAP'!$A$8:$O$291,15,FALSE)="Homologado",VLOOKUP($A191,'Master vs SAP'!$A$8:$O$291,10,FALSE),"")</f>
        <v/>
      </c>
    </row>
    <row r="192" spans="1:23" ht="61.95" customHeight="1">
      <c r="A192" s="9" t="s">
        <v>478</v>
      </c>
      <c r="B192" s="9" t="s">
        <v>464</v>
      </c>
      <c r="C192" s="9" t="s">
        <v>479</v>
      </c>
      <c r="D192" s="24" t="str">
        <f>IF(VLOOKUP($A192,Neuquén!$A$8:$O$291,4,FALSE)="","",VLOOKUP($A192,Neuquén!$A$8:$O$291,4,FALSE))</f>
        <v>405</v>
      </c>
      <c r="E192" s="9" t="str">
        <f>IF(VLOOKUP($A192,Neuquén!$A$8:$O$291,5,FALSE)="","",VLOOKUP($A192,Neuquén!$A$8:$O$291,5,FALSE))</f>
        <v>ASPIRADORMANUAL</v>
      </c>
      <c r="F192" s="9" t="str">
        <f>IF(VLOOKUP($A192,Neuquén!$A$8:$O$291,7,FALSE)="","",VLOOKUP($A192,Neuquén!$A$8:$O$291,7,FALSE))</f>
        <v>Media</v>
      </c>
      <c r="G192" s="9" t="str">
        <f>IF(VLOOKUP($A192,Neuquén!$A$8:$O$291,6,FALSE)="","",VLOOKUP($A192,Neuquén!$A$8:$O$291,6,FALSE))</f>
        <v>Código compartido: revisar</v>
      </c>
      <c r="H192" s="24" t="str">
        <f>IF(VLOOKUP($A192,'San Juan'!$A$8:$O$291,4,FALSE)="","",VLOOKUP($A192,'San Juan'!$A$8:$O$291,4,FALSE))</f>
        <v/>
      </c>
      <c r="I192" s="9" t="str">
        <f>IF(VLOOKUP($A192,'San Juan'!$A$8:$O$291,5,FALSE)="","",VLOOKUP($A192,'San Juan'!$A$8:$O$291,5,FALSE))</f>
        <v/>
      </c>
      <c r="J192" s="9" t="str">
        <f>IF(VLOOKUP($A192,'San Juan'!$A$8:$O$291,7,FALSE)="","",VLOOKUP($A192,'San Juan'!$A$8:$O$291,7,FALSE))</f>
        <v>Sin coincidencia</v>
      </c>
      <c r="K192" s="9" t="str">
        <f>IF(VLOOKUP($A192,'San Juan'!$A$8:$O$291,6,FALSE)="","",VLOOKUP($A192,'San Juan'!$A$8:$O$291,6,FALSE))</f>
        <v>Sin código encontrado</v>
      </c>
      <c r="L192" s="24" t="str">
        <f>IF(VLOOKUP($A192,Salta!$A$8:$O$291,4,FALSE)="","",VLOOKUP($A192,Salta!$A$8:$O$291,4,FALSE))</f>
        <v/>
      </c>
      <c r="M192" s="9" t="str">
        <f>IF(VLOOKUP($A192,Salta!$A$8:$O$291,5,FALSE)="","",VLOOKUP($A192,Salta!$A$8:$O$291,5,FALSE))</f>
        <v/>
      </c>
      <c r="N192" s="9" t="str">
        <f>IF(VLOOKUP($A192,Salta!$A$8:$O$291,7,FALSE)="","",VLOOKUP($A192,Salta!$A$8:$O$291,7,FALSE))</f>
        <v>Sin coincidencia</v>
      </c>
      <c r="O192" s="9" t="str">
        <f>IF(VLOOKUP($A192,Salta!$A$8:$O$291,6,FALSE)="","",VLOOKUP($A192,Salta!$A$8:$O$291,6,FALSE))</f>
        <v>Sin coincidencia</v>
      </c>
      <c r="P192" s="24" t="str">
        <f>IF(VLOOKUP($A192,Neuquén!$A$8:$O$291,15,FALSE)="Homologado",VLOOKUP($A192,Neuquén!$A$8:$O$291,10,FALSE),"")</f>
        <v/>
      </c>
      <c r="Q192" s="24" t="str">
        <f>IF(VLOOKUP($A192,'San Juan'!$A$8:$O$291,15,FALSE)="Homologado",VLOOKUP($A192,'San Juan'!$A$8:$O$291,10,FALSE),"")</f>
        <v/>
      </c>
      <c r="R192" s="24" t="str">
        <f>IF(VLOOKUP($A192,Salta!$A$8:$O$291,15,FALSE)="Homologado",VLOOKUP($A192,Salta!$A$8:$O$291,10,FALSE),"")</f>
        <v/>
      </c>
      <c r="S192" s="24" t="str">
        <f>IF(VLOOKUP($A192,'Master vs SAP'!$A$8:$O$291,4,FALSE)="","",VLOOKUP($A192,'Master vs SAP'!$A$8:$O$291,4,FALSE))</f>
        <v>2000350
2001814</v>
      </c>
      <c r="T192" s="9" t="str">
        <f>IF(VLOOKUP($A192,'Master vs SAP'!$A$8:$O$291,5,FALSE)="","",VLOOKUP($A192,'Master vs SAP'!$A$8:$O$291,5,FALSE))</f>
        <v>ASPIRADOR MANUAL RES Q VAC
ASPIRADOR MANUAL</v>
      </c>
      <c r="U192" s="9" t="str">
        <f>IF(VLOOKUP($A192,'Master vs SAP'!$A$8:$O$291,7,FALSE)="","",VLOOKUP($A192,'Master vs SAP'!$A$8:$O$291,7,FALSE))</f>
        <v>Alta</v>
      </c>
      <c r="V192" s="9" t="str">
        <f>IF(VLOOKUP($A192,'Master vs SAP'!$A$8:$O$291,6,FALSE)="","",VLOOKUP($A192,'Master vs SAP'!$A$8:$O$291,6,FALSE))</f>
        <v>Coincidencia</v>
      </c>
      <c r="W192" s="24" t="str">
        <f>IF(VLOOKUP($A192,'Master vs SAP'!$A$8:$O$291,15,FALSE)="Homologado",VLOOKUP($A192,'Master vs SAP'!$A$8:$O$291,10,FALSE),"")</f>
        <v/>
      </c>
    </row>
    <row r="193" spans="1:23" ht="61.95" customHeight="1">
      <c r="A193" s="9" t="s">
        <v>480</v>
      </c>
      <c r="B193" s="9" t="s">
        <v>464</v>
      </c>
      <c r="C193" s="9" t="s">
        <v>481</v>
      </c>
      <c r="D193" s="24" t="str">
        <f>IF(VLOOKUP($A193,Neuquén!$A$8:$O$291,4,FALSE)="","",VLOOKUP($A193,Neuquén!$A$8:$O$291,4,FALSE))</f>
        <v>420</v>
      </c>
      <c r="E193" s="9" t="str">
        <f>IF(VLOOKUP($A193,Neuquén!$A$8:$O$291,5,FALSE)="","",VLOOKUP($A193,Neuquén!$A$8:$O$291,5,FALSE))</f>
        <v>RESPIRADORFIJOENAMBULANCIA</v>
      </c>
      <c r="F193" s="9" t="str">
        <f>IF(VLOOKUP($A193,Neuquén!$A$8:$O$291,7,FALSE)="","",VLOOKUP($A193,Neuquén!$A$8:$O$291,7,FALSE))</f>
        <v>Baja</v>
      </c>
      <c r="G193" s="9" t="str">
        <f>IF(VLOOKUP($A193,Neuquén!$A$8:$O$291,6,FALSE)="","",VLOOKUP($A193,Neuquén!$A$8:$O$291,6,FALSE))</f>
        <v>Equivalencia a revisar</v>
      </c>
      <c r="H193" s="24" t="str">
        <f>IF(VLOOKUP($A193,'San Juan'!$A$8:$O$291,4,FALSE)="","",VLOOKUP($A193,'San Juan'!$A$8:$O$291,4,FALSE))</f>
        <v/>
      </c>
      <c r="I193" s="9" t="str">
        <f>IF(VLOOKUP($A193,'San Juan'!$A$8:$O$291,5,FALSE)="","",VLOOKUP($A193,'San Juan'!$A$8:$O$291,5,FALSE))</f>
        <v/>
      </c>
      <c r="J193" s="9" t="str">
        <f>IF(VLOOKUP($A193,'San Juan'!$A$8:$O$291,7,FALSE)="","",VLOOKUP($A193,'San Juan'!$A$8:$O$291,7,FALSE))</f>
        <v>Sin coincidencia</v>
      </c>
      <c r="K193" s="9" t="str">
        <f>IF(VLOOKUP($A193,'San Juan'!$A$8:$O$291,6,FALSE)="","",VLOOKUP($A193,'San Juan'!$A$8:$O$291,6,FALSE))</f>
        <v>Sin código encontrado</v>
      </c>
      <c r="L193" s="24" t="str">
        <f>IF(VLOOKUP($A193,Salta!$A$8:$O$291,4,FALSE)="","",VLOOKUP($A193,Salta!$A$8:$O$291,4,FALSE))</f>
        <v/>
      </c>
      <c r="M193" s="9" t="str">
        <f>IF(VLOOKUP($A193,Salta!$A$8:$O$291,5,FALSE)="","",VLOOKUP($A193,Salta!$A$8:$O$291,5,FALSE))</f>
        <v/>
      </c>
      <c r="N193" s="9" t="str">
        <f>IF(VLOOKUP($A193,Salta!$A$8:$O$291,7,FALSE)="","",VLOOKUP($A193,Salta!$A$8:$O$291,7,FALSE))</f>
        <v>Sin coincidencia</v>
      </c>
      <c r="O193" s="9" t="str">
        <f>IF(VLOOKUP($A193,Salta!$A$8:$O$291,6,FALSE)="","",VLOOKUP($A193,Salta!$A$8:$O$291,6,FALSE))</f>
        <v>Sin coincidencia</v>
      </c>
      <c r="P193" s="24" t="str">
        <f>IF(VLOOKUP($A193,Neuquén!$A$8:$O$291,15,FALSE)="Homologado",VLOOKUP($A193,Neuquén!$A$8:$O$291,10,FALSE),"")</f>
        <v/>
      </c>
      <c r="Q193" s="24" t="str">
        <f>IF(VLOOKUP($A193,'San Juan'!$A$8:$O$291,15,FALSE)="Homologado",VLOOKUP($A193,'San Juan'!$A$8:$O$291,10,FALSE),"")</f>
        <v/>
      </c>
      <c r="R193" s="24" t="str">
        <f>IF(VLOOKUP($A193,Salta!$A$8:$O$291,15,FALSE)="Homologado",VLOOKUP($A193,Salta!$A$8:$O$291,10,FALSE),"")</f>
        <v/>
      </c>
      <c r="S193" s="24" t="str">
        <f>IF(VLOOKUP($A193,'Master vs SAP'!$A$8:$O$291,4,FALSE)="","",VLOOKUP($A193,'Master vs SAP'!$A$8:$O$291,4,FALSE))</f>
        <v>5004246</v>
      </c>
      <c r="T193" s="9" t="str">
        <f>IF(VLOOKUP($A193,'Master vs SAP'!$A$8:$O$291,5,FALSE)="","",VLOOKUP($A193,'Master vs SAP'!$A$8:$O$291,5,FALSE))</f>
        <v>VENTILADOR PULMONAR P/TRANS PR5-TOUCH</v>
      </c>
      <c r="U193" s="9" t="str">
        <f>IF(VLOOKUP($A193,'Master vs SAP'!$A$8:$O$291,7,FALSE)="","",VLOOKUP($A193,'Master vs SAP'!$A$8:$O$291,7,FALSE))</f>
        <v>Alta</v>
      </c>
      <c r="V193" s="9" t="str">
        <f>IF(VLOOKUP($A193,'Master vs SAP'!$A$8:$O$291,6,FALSE)="","",VLOOKUP($A193,'Master vs SAP'!$A$8:$O$291,6,FALSE))</f>
        <v>Coincidencia</v>
      </c>
      <c r="W193" s="24" t="str">
        <f>IF(VLOOKUP($A193,'Master vs SAP'!$A$8:$O$291,15,FALSE)="Homologado",VLOOKUP($A193,'Master vs SAP'!$A$8:$O$291,10,FALSE),"")</f>
        <v/>
      </c>
    </row>
    <row r="194" spans="1:23" ht="61.95" customHeight="1">
      <c r="A194" s="9" t="s">
        <v>482</v>
      </c>
      <c r="B194" s="9" t="s">
        <v>464</v>
      </c>
      <c r="C194" s="9" t="s">
        <v>483</v>
      </c>
      <c r="D194" s="24" t="str">
        <f>IF(VLOOKUP($A194,Neuquén!$A$8:$O$291,4,FALSE)="","",VLOOKUP($A194,Neuquén!$A$8:$O$291,4,FALSE))</f>
        <v>547</v>
      </c>
      <c r="E194" s="9" t="str">
        <f>IF(VLOOKUP($A194,Neuquén!$A$8:$O$291,5,FALSE)="","",VLOOKUP($A194,Neuquén!$A$8:$O$291,5,FALSE))</f>
        <v>BOMBA DE INFUSION</v>
      </c>
      <c r="F194" s="9" t="str">
        <f>IF(VLOOKUP($A194,Neuquén!$A$8:$O$291,7,FALSE)="","",VLOOKUP($A194,Neuquén!$A$8:$O$291,7,FALSE))</f>
        <v>Sin coincidencia</v>
      </c>
      <c r="G194" s="9" t="str">
        <f>IF(VLOOKUP($A194,Neuquén!$A$8:$O$291,6,FALSE)="","",VLOOKUP($A194,Neuquén!$A$8:$O$291,6,FALSE))</f>
        <v>Código sin equivalencia validada</v>
      </c>
      <c r="H194" s="24" t="str">
        <f>IF(VLOOKUP($A194,'San Juan'!$A$8:$O$291,4,FALSE)="","",VLOOKUP($A194,'San Juan'!$A$8:$O$291,4,FALSE))</f>
        <v/>
      </c>
      <c r="I194" s="9" t="str">
        <f>IF(VLOOKUP($A194,'San Juan'!$A$8:$O$291,5,FALSE)="","",VLOOKUP($A194,'San Juan'!$A$8:$O$291,5,FALSE))</f>
        <v/>
      </c>
      <c r="J194" s="9" t="str">
        <f>IF(VLOOKUP($A194,'San Juan'!$A$8:$O$291,7,FALSE)="","",VLOOKUP($A194,'San Juan'!$A$8:$O$291,7,FALSE))</f>
        <v>Sin coincidencia</v>
      </c>
      <c r="K194" s="9" t="str">
        <f>IF(VLOOKUP($A194,'San Juan'!$A$8:$O$291,6,FALSE)="","",VLOOKUP($A194,'San Juan'!$A$8:$O$291,6,FALSE))</f>
        <v>Sin código encontrado</v>
      </c>
      <c r="L194" s="24" t="str">
        <f>IF(VLOOKUP($A194,Salta!$A$8:$O$291,4,FALSE)="","",VLOOKUP($A194,Salta!$A$8:$O$291,4,FALSE))</f>
        <v/>
      </c>
      <c r="M194" s="9" t="str">
        <f>IF(VLOOKUP($A194,Salta!$A$8:$O$291,5,FALSE)="","",VLOOKUP($A194,Salta!$A$8:$O$291,5,FALSE))</f>
        <v/>
      </c>
      <c r="N194" s="9" t="str">
        <f>IF(VLOOKUP($A194,Salta!$A$8:$O$291,7,FALSE)="","",VLOOKUP($A194,Salta!$A$8:$O$291,7,FALSE))</f>
        <v>Sin coincidencia</v>
      </c>
      <c r="O194" s="9" t="str">
        <f>IF(VLOOKUP($A194,Salta!$A$8:$O$291,6,FALSE)="","",VLOOKUP($A194,Salta!$A$8:$O$291,6,FALSE))</f>
        <v>Sin coincidencia</v>
      </c>
      <c r="P194" s="24" t="str">
        <f>IF(VLOOKUP($A194,Neuquén!$A$8:$O$291,15,FALSE)="Homologado",VLOOKUP($A194,Neuquén!$A$8:$O$291,10,FALSE),"")</f>
        <v/>
      </c>
      <c r="Q194" s="24" t="str">
        <f>IF(VLOOKUP($A194,'San Juan'!$A$8:$O$291,15,FALSE)="Homologado",VLOOKUP($A194,'San Juan'!$A$8:$O$291,10,FALSE),"")</f>
        <v/>
      </c>
      <c r="R194" s="24" t="str">
        <f>IF(VLOOKUP($A194,Salta!$A$8:$O$291,15,FALSE)="Homologado",VLOOKUP($A194,Salta!$A$8:$O$291,10,FALSE),"")</f>
        <v/>
      </c>
      <c r="S194" s="24" t="str">
        <f>IF(VLOOKUP($A194,'Master vs SAP'!$A$8:$O$291,4,FALSE)="","",VLOOKUP($A194,'Master vs SAP'!$A$8:$O$291,4,FALSE))</f>
        <v>2002434</v>
      </c>
      <c r="T194" s="9" t="str">
        <f>IF(VLOOKUP($A194,'Master vs SAP'!$A$8:$O$291,5,FALSE)="","",VLOOKUP($A194,'Master vs SAP'!$A$8:$O$291,5,FALSE))</f>
        <v>BOMA DE INFUSION VOLUM MUX VP50 PRO</v>
      </c>
      <c r="U194" s="9" t="str">
        <f>IF(VLOOKUP($A194,'Master vs SAP'!$A$8:$O$291,7,FALSE)="","",VLOOKUP($A194,'Master vs SAP'!$A$8:$O$291,7,FALSE))</f>
        <v>Media</v>
      </c>
      <c r="V194" s="9" t="str">
        <f>IF(VLOOKUP($A194,'Master vs SAP'!$A$8:$O$291,6,FALSE)="","",VLOOKUP($A194,'Master vs SAP'!$A$8:$O$291,6,FALSE))</f>
        <v>Revisar datos</v>
      </c>
      <c r="W194" s="24" t="str">
        <f>IF(VLOOKUP($A194,'Master vs SAP'!$A$8:$O$291,15,FALSE)="Homologado",VLOOKUP($A194,'Master vs SAP'!$A$8:$O$291,10,FALSE),"")</f>
        <v/>
      </c>
    </row>
    <row r="195" spans="1:23" ht="61.95" customHeight="1">
      <c r="A195" s="9" t="s">
        <v>484</v>
      </c>
      <c r="B195" s="9" t="s">
        <v>464</v>
      </c>
      <c r="C195" s="9" t="s">
        <v>485</v>
      </c>
      <c r="D195" s="24" t="str">
        <f>IF(VLOOKUP($A195,Neuquén!$A$8:$O$291,4,FALSE)="","",VLOOKUP($A195,Neuquén!$A$8:$O$291,4,FALSE))</f>
        <v>290</v>
      </c>
      <c r="E195" s="9" t="str">
        <f>IF(VLOOKUP($A195,Neuquén!$A$8:$O$291,5,FALSE)="","",VLOOKUP($A195,Neuquén!$A$8:$O$291,5,FALSE))</f>
        <v>TUBODEO20,500MTRSCUBICOSPORTATIL</v>
      </c>
      <c r="F195" s="9" t="str">
        <f>IF(VLOOKUP($A195,Neuquén!$A$8:$O$291,7,FALSE)="","",VLOOKUP($A195,Neuquén!$A$8:$O$291,7,FALSE))</f>
        <v>Baja</v>
      </c>
      <c r="G195" s="9" t="str">
        <f>IF(VLOOKUP($A195,Neuquén!$A$8:$O$291,6,FALSE)="","",VLOOKUP($A195,Neuquén!$A$8:$O$291,6,FALSE))</f>
        <v>Equivalencia a revisar</v>
      </c>
      <c r="H195" s="24" t="str">
        <f>IF(VLOOKUP($A195,'San Juan'!$A$8:$O$291,4,FALSE)="","",VLOOKUP($A195,'San Juan'!$A$8:$O$291,4,FALSE))</f>
        <v/>
      </c>
      <c r="I195" s="9" t="str">
        <f>IF(VLOOKUP($A195,'San Juan'!$A$8:$O$291,5,FALSE)="","",VLOOKUP($A195,'San Juan'!$A$8:$O$291,5,FALSE))</f>
        <v/>
      </c>
      <c r="J195" s="9" t="str">
        <f>IF(VLOOKUP($A195,'San Juan'!$A$8:$O$291,7,FALSE)="","",VLOOKUP($A195,'San Juan'!$A$8:$O$291,7,FALSE))</f>
        <v>Sin coincidencia</v>
      </c>
      <c r="K195" s="9" t="str">
        <f>IF(VLOOKUP($A195,'San Juan'!$A$8:$O$291,6,FALSE)="","",VLOOKUP($A195,'San Juan'!$A$8:$O$291,6,FALSE))</f>
        <v>Sin código encontrado</v>
      </c>
      <c r="L195" s="24" t="str">
        <f>IF(VLOOKUP($A195,Salta!$A$8:$O$291,4,FALSE)="","",VLOOKUP($A195,Salta!$A$8:$O$291,4,FALSE))</f>
        <v/>
      </c>
      <c r="M195" s="9" t="str">
        <f>IF(VLOOKUP($A195,Salta!$A$8:$O$291,5,FALSE)="","",VLOOKUP($A195,Salta!$A$8:$O$291,5,FALSE))</f>
        <v/>
      </c>
      <c r="N195" s="9" t="str">
        <f>IF(VLOOKUP($A195,Salta!$A$8:$O$291,7,FALSE)="","",VLOOKUP($A195,Salta!$A$8:$O$291,7,FALSE))</f>
        <v>Sin coincidencia</v>
      </c>
      <c r="O195" s="9" t="str">
        <f>IF(VLOOKUP($A195,Salta!$A$8:$O$291,6,FALSE)="","",VLOOKUP($A195,Salta!$A$8:$O$291,6,FALSE))</f>
        <v>Sin coincidencia</v>
      </c>
      <c r="P195" s="24" t="str">
        <f>IF(VLOOKUP($A195,Neuquén!$A$8:$O$291,15,FALSE)="Homologado",VLOOKUP($A195,Neuquén!$A$8:$O$291,10,FALSE),"")</f>
        <v/>
      </c>
      <c r="Q195" s="24" t="str">
        <f>IF(VLOOKUP($A195,'San Juan'!$A$8:$O$291,15,FALSE)="Homologado",VLOOKUP($A195,'San Juan'!$A$8:$O$291,10,FALSE),"")</f>
        <v/>
      </c>
      <c r="R195" s="24" t="str">
        <f>IF(VLOOKUP($A195,Salta!$A$8:$O$291,15,FALSE)="Homologado",VLOOKUP($A195,Salta!$A$8:$O$291,10,FALSE),"")</f>
        <v/>
      </c>
      <c r="S195" s="24" t="str">
        <f>IF(VLOOKUP($A195,'Master vs SAP'!$A$8:$O$291,4,FALSE)="","",VLOOKUP($A195,'Master vs SAP'!$A$8:$O$291,4,FALSE))</f>
        <v>5001822</v>
      </c>
      <c r="T195" s="9" t="str">
        <f>IF(VLOOKUP($A195,'Master vs SAP'!$A$8:$O$291,5,FALSE)="","",VLOOKUP($A195,'Master vs SAP'!$A$8:$O$291,5,FALSE))</f>
        <v>CILINDRO ULTRALIVIANO 0,5 M3 ALUMINIO</v>
      </c>
      <c r="U195" s="9" t="str">
        <f>IF(VLOOKUP($A195,'Master vs SAP'!$A$8:$O$291,7,FALSE)="","",VLOOKUP($A195,'Master vs SAP'!$A$8:$O$291,7,FALSE))</f>
        <v>Baja</v>
      </c>
      <c r="V195" s="9" t="str">
        <f>IF(VLOOKUP($A195,'Master vs SAP'!$A$8:$O$291,6,FALSE)="","",VLOOKUP($A195,'Master vs SAP'!$A$8:$O$291,6,FALSE))</f>
        <v>Revisar presentación</v>
      </c>
      <c r="W195" s="24" t="str">
        <f>IF(VLOOKUP($A195,'Master vs SAP'!$A$8:$O$291,15,FALSE)="Homologado",VLOOKUP($A195,'Master vs SAP'!$A$8:$O$291,10,FALSE),"")</f>
        <v/>
      </c>
    </row>
    <row r="196" spans="1:23" ht="61.95" customHeight="1">
      <c r="A196" s="9" t="s">
        <v>486</v>
      </c>
      <c r="B196" s="9" t="s">
        <v>464</v>
      </c>
      <c r="C196" s="9" t="s">
        <v>487</v>
      </c>
      <c r="D196" s="24" t="str">
        <f>IF(VLOOKUP($A196,Neuquén!$A$8:$O$291,4,FALSE)="","",VLOOKUP($A196,Neuquén!$A$8:$O$291,4,FALSE))</f>
        <v>561</v>
      </c>
      <c r="E196" s="9" t="str">
        <f>IF(VLOOKUP($A196,Neuquén!$A$8:$O$291,5,FALSE)="","",VLOOKUP($A196,Neuquén!$A$8:$O$291,5,FALSE))</f>
        <v>TUBO O2</v>
      </c>
      <c r="F196" s="9" t="str">
        <f>IF(VLOOKUP($A196,Neuquén!$A$8:$O$291,7,FALSE)="","",VLOOKUP($A196,Neuquén!$A$8:$O$291,7,FALSE))</f>
        <v>Sin coincidencia</v>
      </c>
      <c r="G196" s="9" t="str">
        <f>IF(VLOOKUP($A196,Neuquén!$A$8:$O$291,6,FALSE)="","",VLOOKUP($A196,Neuquén!$A$8:$O$291,6,FALSE))</f>
        <v>Código sin equivalencia validada</v>
      </c>
      <c r="H196" s="24" t="str">
        <f>IF(VLOOKUP($A196,'San Juan'!$A$8:$O$291,4,FALSE)="","",VLOOKUP($A196,'San Juan'!$A$8:$O$291,4,FALSE))</f>
        <v/>
      </c>
      <c r="I196" s="9" t="str">
        <f>IF(VLOOKUP($A196,'San Juan'!$A$8:$O$291,5,FALSE)="","",VLOOKUP($A196,'San Juan'!$A$8:$O$291,5,FALSE))</f>
        <v/>
      </c>
      <c r="J196" s="9" t="str">
        <f>IF(VLOOKUP($A196,'San Juan'!$A$8:$O$291,7,FALSE)="","",VLOOKUP($A196,'San Juan'!$A$8:$O$291,7,FALSE))</f>
        <v>Sin coincidencia</v>
      </c>
      <c r="K196" s="9" t="str">
        <f>IF(VLOOKUP($A196,'San Juan'!$A$8:$O$291,6,FALSE)="","",VLOOKUP($A196,'San Juan'!$A$8:$O$291,6,FALSE))</f>
        <v>Sin código encontrado</v>
      </c>
      <c r="L196" s="24" t="str">
        <f>IF(VLOOKUP($A196,Salta!$A$8:$O$291,4,FALSE)="","",VLOOKUP($A196,Salta!$A$8:$O$291,4,FALSE))</f>
        <v/>
      </c>
      <c r="M196" s="9" t="str">
        <f>IF(VLOOKUP($A196,Salta!$A$8:$O$291,5,FALSE)="","",VLOOKUP($A196,Salta!$A$8:$O$291,5,FALSE))</f>
        <v/>
      </c>
      <c r="N196" s="9" t="str">
        <f>IF(VLOOKUP($A196,Salta!$A$8:$O$291,7,FALSE)="","",VLOOKUP($A196,Salta!$A$8:$O$291,7,FALSE))</f>
        <v>Sin coincidencia</v>
      </c>
      <c r="O196" s="9" t="str">
        <f>IF(VLOOKUP($A196,Salta!$A$8:$O$291,6,FALSE)="","",VLOOKUP($A196,Salta!$A$8:$O$291,6,FALSE))</f>
        <v>Sin coincidencia</v>
      </c>
      <c r="P196" s="24" t="str">
        <f>IF(VLOOKUP($A196,Neuquén!$A$8:$O$291,15,FALSE)="Homologado",VLOOKUP($A196,Neuquén!$A$8:$O$291,10,FALSE),"")</f>
        <v/>
      </c>
      <c r="Q196" s="24" t="str">
        <f>IF(VLOOKUP($A196,'San Juan'!$A$8:$O$291,15,FALSE)="Homologado",VLOOKUP($A196,'San Juan'!$A$8:$O$291,10,FALSE),"")</f>
        <v/>
      </c>
      <c r="R196" s="24" t="str">
        <f>IF(VLOOKUP($A196,Salta!$A$8:$O$291,15,FALSE)="Homologado",VLOOKUP($A196,Salta!$A$8:$O$291,10,FALSE),"")</f>
        <v/>
      </c>
      <c r="S196" s="24" t="str">
        <f>IF(VLOOKUP($A196,'Master vs SAP'!$A$8:$O$291,4,FALSE)="","",VLOOKUP($A196,'Master vs SAP'!$A$8:$O$291,4,FALSE))</f>
        <v>5004118</v>
      </c>
      <c r="T196" s="9" t="str">
        <f>IF(VLOOKUP($A196,'Master vs SAP'!$A$8:$O$291,5,FALSE)="","",VLOOKUP($A196,'Master vs SAP'!$A$8:$O$291,5,FALSE))</f>
        <v>CILINDRO DE OXIGENO MED 10.6M3 7.5 ACERO</v>
      </c>
      <c r="U196" s="9" t="str">
        <f>IF(VLOOKUP($A196,'Master vs SAP'!$A$8:$O$291,7,FALSE)="","",VLOOKUP($A196,'Master vs SAP'!$A$8:$O$291,7,FALSE))</f>
        <v>Baja</v>
      </c>
      <c r="V196" s="9" t="str">
        <f>IF(VLOOKUP($A196,'Master vs SAP'!$A$8:$O$291,6,FALSE)="","",VLOOKUP($A196,'Master vs SAP'!$A$8:$O$291,6,FALSE))</f>
        <v>Revisar presentación</v>
      </c>
      <c r="W196" s="24" t="str">
        <f>IF(VLOOKUP($A196,'Master vs SAP'!$A$8:$O$291,15,FALSE)="Homologado",VLOOKUP($A196,'Master vs SAP'!$A$8:$O$291,10,FALSE),"")</f>
        <v/>
      </c>
    </row>
    <row r="197" spans="1:23" ht="61.95" customHeight="1">
      <c r="A197" s="9" t="s">
        <v>488</v>
      </c>
      <c r="B197" s="9" t="s">
        <v>464</v>
      </c>
      <c r="C197" s="9" t="s">
        <v>489</v>
      </c>
      <c r="D197" s="24" t="str">
        <f>IF(VLOOKUP($A197,Neuquén!$A$8:$O$291,4,FALSE)="","",VLOOKUP($A197,Neuquén!$A$8:$O$291,4,FALSE))</f>
        <v>422</v>
      </c>
      <c r="E197" s="9" t="str">
        <f>IF(VLOOKUP($A197,Neuquén!$A$8:$O$291,5,FALSE)="","",VLOOKUP($A197,Neuquén!$A$8:$O$291,5,FALSE))</f>
        <v>TABLARIGIDAc/INMOVILIZADORCERVICAL</v>
      </c>
      <c r="F197" s="9" t="str">
        <f>IF(VLOOKUP($A197,Neuquén!$A$8:$O$291,7,FALSE)="","",VLOOKUP($A197,Neuquén!$A$8:$O$291,7,FALSE))</f>
        <v>Media</v>
      </c>
      <c r="G197" s="9" t="str">
        <f>IF(VLOOKUP($A197,Neuquén!$A$8:$O$291,6,FALSE)="","",VLOOKUP($A197,Neuquén!$A$8:$O$291,6,FALSE))</f>
        <v>Código compartido: revisar</v>
      </c>
      <c r="H197" s="24" t="str">
        <f>IF(VLOOKUP($A197,'San Juan'!$A$8:$O$291,4,FALSE)="","",VLOOKUP($A197,'San Juan'!$A$8:$O$291,4,FALSE))</f>
        <v/>
      </c>
      <c r="I197" s="9" t="str">
        <f>IF(VLOOKUP($A197,'San Juan'!$A$8:$O$291,5,FALSE)="","",VLOOKUP($A197,'San Juan'!$A$8:$O$291,5,FALSE))</f>
        <v/>
      </c>
      <c r="J197" s="9" t="str">
        <f>IF(VLOOKUP($A197,'San Juan'!$A$8:$O$291,7,FALSE)="","",VLOOKUP($A197,'San Juan'!$A$8:$O$291,7,FALSE))</f>
        <v>Sin coincidencia</v>
      </c>
      <c r="K197" s="9" t="str">
        <f>IF(VLOOKUP($A197,'San Juan'!$A$8:$O$291,6,FALSE)="","",VLOOKUP($A197,'San Juan'!$A$8:$O$291,6,FALSE))</f>
        <v>Sin código encontrado</v>
      </c>
      <c r="L197" s="24" t="str">
        <f>IF(VLOOKUP($A197,Salta!$A$8:$O$291,4,FALSE)="","",VLOOKUP($A197,Salta!$A$8:$O$291,4,FALSE))</f>
        <v/>
      </c>
      <c r="M197" s="9" t="str">
        <f>IF(VLOOKUP($A197,Salta!$A$8:$O$291,5,FALSE)="","",VLOOKUP($A197,Salta!$A$8:$O$291,5,FALSE))</f>
        <v/>
      </c>
      <c r="N197" s="9" t="str">
        <f>IF(VLOOKUP($A197,Salta!$A$8:$O$291,7,FALSE)="","",VLOOKUP($A197,Salta!$A$8:$O$291,7,FALSE))</f>
        <v>Sin coincidencia</v>
      </c>
      <c r="O197" s="9" t="str">
        <f>IF(VLOOKUP($A197,Salta!$A$8:$O$291,6,FALSE)="","",VLOOKUP($A197,Salta!$A$8:$O$291,6,FALSE))</f>
        <v>Sin coincidencia</v>
      </c>
      <c r="P197" s="24" t="str">
        <f>IF(VLOOKUP($A197,Neuquén!$A$8:$O$291,15,FALSE)="Homologado",VLOOKUP($A197,Neuquén!$A$8:$O$291,10,FALSE),"")</f>
        <v/>
      </c>
      <c r="Q197" s="24" t="str">
        <f>IF(VLOOKUP($A197,'San Juan'!$A$8:$O$291,15,FALSE)="Homologado",VLOOKUP($A197,'San Juan'!$A$8:$O$291,10,FALSE),"")</f>
        <v/>
      </c>
      <c r="R197" s="24" t="str">
        <f>IF(VLOOKUP($A197,Salta!$A$8:$O$291,15,FALSE)="Homologado",VLOOKUP($A197,Salta!$A$8:$O$291,10,FALSE),"")</f>
        <v/>
      </c>
      <c r="S197" s="24" t="str">
        <f>IF(VLOOKUP($A197,'Master vs SAP'!$A$8:$O$291,4,FALSE)="","",VLOOKUP($A197,'Master vs SAP'!$A$8:$O$291,4,FALSE))</f>
        <v>2000728</v>
      </c>
      <c r="T197" s="9" t="str">
        <f>IF(VLOOKUP($A197,'Master vs SAP'!$A$8:$O$291,5,FALSE)="","",VLOOKUP($A197,'Master vs SAP'!$A$8:$O$291,5,FALSE))</f>
        <v>TABLA ESPINAL ADULTO PLASTICA</v>
      </c>
      <c r="U197" s="9" t="str">
        <f>IF(VLOOKUP($A197,'Master vs SAP'!$A$8:$O$291,7,FALSE)="","",VLOOKUP($A197,'Master vs SAP'!$A$8:$O$291,7,FALSE))</f>
        <v>Media</v>
      </c>
      <c r="V197" s="9" t="str">
        <f>IF(VLOOKUP($A197,'Master vs SAP'!$A$8:$O$291,6,FALSE)="","",VLOOKUP($A197,'Master vs SAP'!$A$8:$O$291,6,FALSE))</f>
        <v>Revisar datos</v>
      </c>
      <c r="W197" s="24" t="str">
        <f>IF(VLOOKUP($A197,'Master vs SAP'!$A$8:$O$291,15,FALSE)="Homologado",VLOOKUP($A197,'Master vs SAP'!$A$8:$O$291,10,FALSE),"")</f>
        <v/>
      </c>
    </row>
    <row r="198" spans="1:23" ht="61.95" customHeight="1">
      <c r="A198" s="9" t="s">
        <v>490</v>
      </c>
      <c r="B198" s="9" t="s">
        <v>464</v>
      </c>
      <c r="C198" s="9" t="s">
        <v>491</v>
      </c>
      <c r="D198" s="24" t="str">
        <f>IF(VLOOKUP($A198,Neuquén!$A$8:$O$291,4,FALSE)="","",VLOOKUP($A198,Neuquén!$A$8:$O$291,4,FALSE))</f>
        <v>408</v>
      </c>
      <c r="E198" s="9" t="str">
        <f>IF(VLOOKUP($A198,Neuquén!$A$8:$O$291,5,FALSE)="","",VLOOKUP($A198,Neuquén!$A$8:$O$291,5,FALSE))</f>
        <v>CHALECOESTIRCACION(KENDRICH)</v>
      </c>
      <c r="F198" s="9" t="str">
        <f>IF(VLOOKUP($A198,Neuquén!$A$8:$O$291,7,FALSE)="","",VLOOKUP($A198,Neuquén!$A$8:$O$291,7,FALSE))</f>
        <v>Alta</v>
      </c>
      <c r="G198" s="9" t="str">
        <f>IF(VLOOKUP($A198,Neuquén!$A$8:$O$291,6,FALSE)="","",VLOOKUP($A198,Neuquén!$A$8:$O$291,6,FALSE))</f>
        <v>Coincidencia por validar</v>
      </c>
      <c r="H198" s="24" t="str">
        <f>IF(VLOOKUP($A198,'San Juan'!$A$8:$O$291,4,FALSE)="","",VLOOKUP($A198,'San Juan'!$A$8:$O$291,4,FALSE))</f>
        <v/>
      </c>
      <c r="I198" s="9" t="str">
        <f>IF(VLOOKUP($A198,'San Juan'!$A$8:$O$291,5,FALSE)="","",VLOOKUP($A198,'San Juan'!$A$8:$O$291,5,FALSE))</f>
        <v/>
      </c>
      <c r="J198" s="9" t="str">
        <f>IF(VLOOKUP($A198,'San Juan'!$A$8:$O$291,7,FALSE)="","",VLOOKUP($A198,'San Juan'!$A$8:$O$291,7,FALSE))</f>
        <v>Sin coincidencia</v>
      </c>
      <c r="K198" s="9" t="str">
        <f>IF(VLOOKUP($A198,'San Juan'!$A$8:$O$291,6,FALSE)="","",VLOOKUP($A198,'San Juan'!$A$8:$O$291,6,FALSE))</f>
        <v>Sin código encontrado</v>
      </c>
      <c r="L198" s="24" t="str">
        <f>IF(VLOOKUP($A198,Salta!$A$8:$O$291,4,FALSE)="","",VLOOKUP($A198,Salta!$A$8:$O$291,4,FALSE))</f>
        <v/>
      </c>
      <c r="M198" s="9" t="str">
        <f>IF(VLOOKUP($A198,Salta!$A$8:$O$291,5,FALSE)="","",VLOOKUP($A198,Salta!$A$8:$O$291,5,FALSE))</f>
        <v/>
      </c>
      <c r="N198" s="9" t="str">
        <f>IF(VLOOKUP($A198,Salta!$A$8:$O$291,7,FALSE)="","",VLOOKUP($A198,Salta!$A$8:$O$291,7,FALSE))</f>
        <v>Sin coincidencia</v>
      </c>
      <c r="O198" s="9" t="str">
        <f>IF(VLOOKUP($A198,Salta!$A$8:$O$291,6,FALSE)="","",VLOOKUP($A198,Salta!$A$8:$O$291,6,FALSE))</f>
        <v>Sin coincidencia</v>
      </c>
      <c r="P198" s="24" t="str">
        <f>IF(VLOOKUP($A198,Neuquén!$A$8:$O$291,15,FALSE)="Homologado",VLOOKUP($A198,Neuquén!$A$8:$O$291,10,FALSE),"")</f>
        <v/>
      </c>
      <c r="Q198" s="24" t="str">
        <f>IF(VLOOKUP($A198,'San Juan'!$A$8:$O$291,15,FALSE)="Homologado",VLOOKUP($A198,'San Juan'!$A$8:$O$291,10,FALSE),"")</f>
        <v/>
      </c>
      <c r="R198" s="24" t="str">
        <f>IF(VLOOKUP($A198,Salta!$A$8:$O$291,15,FALSE)="Homologado",VLOOKUP($A198,Salta!$A$8:$O$291,10,FALSE),"")</f>
        <v/>
      </c>
      <c r="S198" s="24" t="str">
        <f>IF(VLOOKUP($A198,'Master vs SAP'!$A$8:$O$291,4,FALSE)="","",VLOOKUP($A198,'Master vs SAP'!$A$8:$O$291,4,FALSE))</f>
        <v>3000002</v>
      </c>
      <c r="T198" s="9" t="str">
        <f>IF(VLOOKUP($A198,'Master vs SAP'!$A$8:$O$291,5,FALSE)="","",VLOOKUP($A198,'Master vs SAP'!$A$8:$O$291,5,FALSE))</f>
        <v>CHALECO DE EXTRICACION</v>
      </c>
      <c r="U198" s="9" t="str">
        <f>IF(VLOOKUP($A198,'Master vs SAP'!$A$8:$O$291,7,FALSE)="","",VLOOKUP($A198,'Master vs SAP'!$A$8:$O$291,7,FALSE))</f>
        <v>Alta</v>
      </c>
      <c r="V198" s="9" t="str">
        <f>IF(VLOOKUP($A198,'Master vs SAP'!$A$8:$O$291,6,FALSE)="","",VLOOKUP($A198,'Master vs SAP'!$A$8:$O$291,6,FALSE))</f>
        <v>Coincidencia</v>
      </c>
      <c r="W198" s="24" t="str">
        <f>IF(VLOOKUP($A198,'Master vs SAP'!$A$8:$O$291,15,FALSE)="Homologado",VLOOKUP($A198,'Master vs SAP'!$A$8:$O$291,10,FALSE),"")</f>
        <v/>
      </c>
    </row>
    <row r="199" spans="1:23" ht="61.95" customHeight="1">
      <c r="A199" s="9" t="s">
        <v>492</v>
      </c>
      <c r="B199" s="9" t="s">
        <v>464</v>
      </c>
      <c r="C199" s="9" t="s">
        <v>493</v>
      </c>
      <c r="D199" s="24" t="str">
        <f>IF(VLOOKUP($A199,Neuquén!$A$8:$O$291,4,FALSE)="","",VLOOKUP($A199,Neuquén!$A$8:$O$291,4,FALSE))</f>
        <v>422</v>
      </c>
      <c r="E199" s="9" t="str">
        <f>IF(VLOOKUP($A199,Neuquén!$A$8:$O$291,5,FALSE)="","",VLOOKUP($A199,Neuquén!$A$8:$O$291,5,FALSE))</f>
        <v>TABLARIGIDAc/INMOVILIZADORCERVICAL</v>
      </c>
      <c r="F199" s="9" t="str">
        <f>IF(VLOOKUP($A199,Neuquén!$A$8:$O$291,7,FALSE)="","",VLOOKUP($A199,Neuquén!$A$8:$O$291,7,FALSE))</f>
        <v>Media</v>
      </c>
      <c r="G199" s="9" t="str">
        <f>IF(VLOOKUP($A199,Neuquén!$A$8:$O$291,6,FALSE)="","",VLOOKUP($A199,Neuquén!$A$8:$O$291,6,FALSE))</f>
        <v>Código compartido: revisar</v>
      </c>
      <c r="H199" s="24" t="str">
        <f>IF(VLOOKUP($A199,'San Juan'!$A$8:$O$291,4,FALSE)="","",VLOOKUP($A199,'San Juan'!$A$8:$O$291,4,FALSE))</f>
        <v/>
      </c>
      <c r="I199" s="9" t="str">
        <f>IF(VLOOKUP($A199,'San Juan'!$A$8:$O$291,5,FALSE)="","",VLOOKUP($A199,'San Juan'!$A$8:$O$291,5,FALSE))</f>
        <v/>
      </c>
      <c r="J199" s="9" t="str">
        <f>IF(VLOOKUP($A199,'San Juan'!$A$8:$O$291,7,FALSE)="","",VLOOKUP($A199,'San Juan'!$A$8:$O$291,7,FALSE))</f>
        <v>Sin coincidencia</v>
      </c>
      <c r="K199" s="9" t="str">
        <f>IF(VLOOKUP($A199,'San Juan'!$A$8:$O$291,6,FALSE)="","",VLOOKUP($A199,'San Juan'!$A$8:$O$291,6,FALSE))</f>
        <v>Sin código encontrado</v>
      </c>
      <c r="L199" s="24" t="str">
        <f>IF(VLOOKUP($A199,Salta!$A$8:$O$291,4,FALSE)="","",VLOOKUP($A199,Salta!$A$8:$O$291,4,FALSE))</f>
        <v/>
      </c>
      <c r="M199" s="9" t="str">
        <f>IF(VLOOKUP($A199,Salta!$A$8:$O$291,5,FALSE)="","",VLOOKUP($A199,Salta!$A$8:$O$291,5,FALSE))</f>
        <v/>
      </c>
      <c r="N199" s="9" t="str">
        <f>IF(VLOOKUP($A199,Salta!$A$8:$O$291,7,FALSE)="","",VLOOKUP($A199,Salta!$A$8:$O$291,7,FALSE))</f>
        <v>Sin coincidencia</v>
      </c>
      <c r="O199" s="9" t="str">
        <f>IF(VLOOKUP($A199,Salta!$A$8:$O$291,6,FALSE)="","",VLOOKUP($A199,Salta!$A$8:$O$291,6,FALSE))</f>
        <v>Sin coincidencia</v>
      </c>
      <c r="P199" s="24" t="str">
        <f>IF(VLOOKUP($A199,Neuquén!$A$8:$O$291,15,FALSE)="Homologado",VLOOKUP($A199,Neuquén!$A$8:$O$291,10,FALSE),"")</f>
        <v/>
      </c>
      <c r="Q199" s="24" t="str">
        <f>IF(VLOOKUP($A199,'San Juan'!$A$8:$O$291,15,FALSE)="Homologado",VLOOKUP($A199,'San Juan'!$A$8:$O$291,10,FALSE),"")</f>
        <v/>
      </c>
      <c r="R199" s="24" t="str">
        <f>IF(VLOOKUP($A199,Salta!$A$8:$O$291,15,FALSE)="Homologado",VLOOKUP($A199,Salta!$A$8:$O$291,10,FALSE),"")</f>
        <v/>
      </c>
      <c r="S199" s="24" t="str">
        <f>IF(VLOOKUP($A199,'Master vs SAP'!$A$8:$O$291,4,FALSE)="","",VLOOKUP($A199,'Master vs SAP'!$A$8:$O$291,4,FALSE))</f>
        <v>2001909</v>
      </c>
      <c r="T199" s="9" t="str">
        <f>IF(VLOOKUP($A199,'Master vs SAP'!$A$8:$O$291,5,FALSE)="","",VLOOKUP($A199,'Master vs SAP'!$A$8:$O$291,5,FALSE))</f>
        <v>INMOV DE CABEZA P/TABLA 3PIEZAS</v>
      </c>
      <c r="U199" s="9" t="str">
        <f>IF(VLOOKUP($A199,'Master vs SAP'!$A$8:$O$291,7,FALSE)="","",VLOOKUP($A199,'Master vs SAP'!$A$8:$O$291,7,FALSE))</f>
        <v>Alta</v>
      </c>
      <c r="V199" s="9" t="str">
        <f>IF(VLOOKUP($A199,'Master vs SAP'!$A$8:$O$291,6,FALSE)="","",VLOOKUP($A199,'Master vs SAP'!$A$8:$O$291,6,FALSE))</f>
        <v>Coincidencia</v>
      </c>
      <c r="W199" s="24" t="str">
        <f>IF(VLOOKUP($A199,'Master vs SAP'!$A$8:$O$291,15,FALSE)="Homologado",VLOOKUP($A199,'Master vs SAP'!$A$8:$O$291,10,FALSE),"")</f>
        <v/>
      </c>
    </row>
    <row r="200" spans="1:23" ht="61.95" customHeight="1">
      <c r="A200" s="9" t="s">
        <v>494</v>
      </c>
      <c r="B200" s="9" t="s">
        <v>464</v>
      </c>
      <c r="C200" s="9" t="s">
        <v>495</v>
      </c>
      <c r="D200" s="24" t="str">
        <f>IF(VLOOKUP($A200,Neuquén!$A$8:$O$291,4,FALSE)="","",VLOOKUP($A200,Neuquén!$A$8:$O$291,4,FALSE))</f>
        <v>411</v>
      </c>
      <c r="E200" s="9" t="str">
        <f>IF(VLOOKUP($A200,Neuquén!$A$8:$O$291,5,FALSE)="","",VLOOKUP($A200,Neuquén!$A$8:$O$291,5,FALSE))</f>
        <v>COLLAR FILADELFIA (distintas med.)</v>
      </c>
      <c r="F200" s="9" t="str">
        <f>IF(VLOOKUP($A200,Neuquén!$A$8:$O$291,7,FALSE)="","",VLOOKUP($A200,Neuquén!$A$8:$O$291,7,FALSE))</f>
        <v>Sin coincidencia</v>
      </c>
      <c r="G200" s="9" t="str">
        <f>IF(VLOOKUP($A200,Neuquén!$A$8:$O$291,6,FALSE)="","",VLOOKUP($A200,Neuquén!$A$8:$O$291,6,FALSE))</f>
        <v>Código compartido: revisar</v>
      </c>
      <c r="H200" s="24" t="str">
        <f>IF(VLOOKUP($A200,'San Juan'!$A$8:$O$291,4,FALSE)="","",VLOOKUP($A200,'San Juan'!$A$8:$O$291,4,FALSE))</f>
        <v/>
      </c>
      <c r="I200" s="9" t="str">
        <f>IF(VLOOKUP($A200,'San Juan'!$A$8:$O$291,5,FALSE)="","",VLOOKUP($A200,'San Juan'!$A$8:$O$291,5,FALSE))</f>
        <v/>
      </c>
      <c r="J200" s="9" t="str">
        <f>IF(VLOOKUP($A200,'San Juan'!$A$8:$O$291,7,FALSE)="","",VLOOKUP($A200,'San Juan'!$A$8:$O$291,7,FALSE))</f>
        <v>Sin coincidencia</v>
      </c>
      <c r="K200" s="9" t="str">
        <f>IF(VLOOKUP($A200,'San Juan'!$A$8:$O$291,6,FALSE)="","",VLOOKUP($A200,'San Juan'!$A$8:$O$291,6,FALSE))</f>
        <v>Sin código encontrado</v>
      </c>
      <c r="L200" s="24" t="str">
        <f>IF(VLOOKUP($A200,Salta!$A$8:$O$291,4,FALSE)="","",VLOOKUP($A200,Salta!$A$8:$O$291,4,FALSE))</f>
        <v>329</v>
      </c>
      <c r="M200" s="9" t="str">
        <f>IF(VLOOKUP($A200,Salta!$A$8:$O$291,5,FALSE)="","",VLOOKUP($A200,Salta!$A$8:$O$291,5,FALSE))</f>
        <v>Collar Cervical TU regulable</v>
      </c>
      <c r="N200" s="9" t="str">
        <f>IF(VLOOKUP($A200,Salta!$A$8:$O$291,7,FALSE)="","",VLOOKUP($A200,Salta!$A$8:$O$291,7,FALSE))</f>
        <v>Media</v>
      </c>
      <c r="O200" s="9" t="str">
        <f>IF(VLOOKUP($A200,Salta!$A$8:$O$291,6,FALSE)="","",VLOOKUP($A200,Salta!$A$8:$O$291,6,FALSE))</f>
        <v>Revisar datos</v>
      </c>
      <c r="P200" s="24" t="str">
        <f>IF(VLOOKUP($A200,Neuquén!$A$8:$O$291,15,FALSE)="Homologado",VLOOKUP($A200,Neuquén!$A$8:$O$291,10,FALSE),"")</f>
        <v/>
      </c>
      <c r="Q200" s="24" t="str">
        <f>IF(VLOOKUP($A200,'San Juan'!$A$8:$O$291,15,FALSE)="Homologado",VLOOKUP($A200,'San Juan'!$A$8:$O$291,10,FALSE),"")</f>
        <v/>
      </c>
      <c r="R200" s="24" t="str">
        <f>IF(VLOOKUP($A200,Salta!$A$8:$O$291,15,FALSE)="Homologado",VLOOKUP($A200,Salta!$A$8:$O$291,10,FALSE),"")</f>
        <v/>
      </c>
      <c r="S200" s="24" t="str">
        <f>IF(VLOOKUP($A200,'Master vs SAP'!$A$8:$O$291,4,FALSE)="","",VLOOKUP($A200,'Master vs SAP'!$A$8:$O$291,4,FALSE))</f>
        <v>2001447</v>
      </c>
      <c r="T200" s="9" t="str">
        <f>IF(VLOOKUP($A200,'Master vs SAP'!$A$8:$O$291,5,FALSE)="","",VLOOKUP($A200,'Master vs SAP'!$A$8:$O$291,5,FALSE))</f>
        <v>COLLAR CERVICAL AJUSTABLE ADULTO</v>
      </c>
      <c r="U200" s="9" t="str">
        <f>IF(VLOOKUP($A200,'Master vs SAP'!$A$8:$O$291,7,FALSE)="","",VLOOKUP($A200,'Master vs SAP'!$A$8:$O$291,7,FALSE))</f>
        <v>Alta</v>
      </c>
      <c r="V200" s="9" t="str">
        <f>IF(VLOOKUP($A200,'Master vs SAP'!$A$8:$O$291,6,FALSE)="","",VLOOKUP($A200,'Master vs SAP'!$A$8:$O$291,6,FALSE))</f>
        <v>Coincidencia</v>
      </c>
      <c r="W200" s="24" t="str">
        <f>IF(VLOOKUP($A200,'Master vs SAP'!$A$8:$O$291,15,FALSE)="Homologado",VLOOKUP($A200,'Master vs SAP'!$A$8:$O$291,10,FALSE),"")</f>
        <v/>
      </c>
    </row>
    <row r="201" spans="1:23" ht="94.05" customHeight="1">
      <c r="A201" s="9" t="s">
        <v>496</v>
      </c>
      <c r="B201" s="9" t="s">
        <v>464</v>
      </c>
      <c r="C201" s="9" t="s">
        <v>497</v>
      </c>
      <c r="D201" s="24" t="str">
        <f>IF(VLOOKUP($A201,Neuquén!$A$8:$O$291,4,FALSE)="","",VLOOKUP($A201,Neuquén!$A$8:$O$291,4,FALSE))</f>
        <v>415</v>
      </c>
      <c r="E201" s="9" t="str">
        <f>IF(VLOOKUP($A201,Neuquén!$A$8:$O$291,5,FALSE)="","",VLOOKUP($A201,Neuquén!$A$8:$O$291,5,FALSE))</f>
        <v>FERULASCONCIERREABROJO(juegos)</v>
      </c>
      <c r="F201" s="9" t="str">
        <f>IF(VLOOKUP($A201,Neuquén!$A$8:$O$291,7,FALSE)="","",VLOOKUP($A201,Neuquén!$A$8:$O$291,7,FALSE))</f>
        <v>Media</v>
      </c>
      <c r="G201" s="9" t="str">
        <f>IF(VLOOKUP($A201,Neuquén!$A$8:$O$291,6,FALSE)="","",VLOOKUP($A201,Neuquén!$A$8:$O$291,6,FALSE))</f>
        <v>Código compartido: revisar</v>
      </c>
      <c r="H201" s="24" t="str">
        <f>IF(VLOOKUP($A201,'San Juan'!$A$8:$O$291,4,FALSE)="","",VLOOKUP($A201,'San Juan'!$A$8:$O$291,4,FALSE))</f>
        <v/>
      </c>
      <c r="I201" s="9" t="str">
        <f>IF(VLOOKUP($A201,'San Juan'!$A$8:$O$291,5,FALSE)="","",VLOOKUP($A201,'San Juan'!$A$8:$O$291,5,FALSE))</f>
        <v/>
      </c>
      <c r="J201" s="9" t="str">
        <f>IF(VLOOKUP($A201,'San Juan'!$A$8:$O$291,7,FALSE)="","",VLOOKUP($A201,'San Juan'!$A$8:$O$291,7,FALSE))</f>
        <v>Sin coincidencia</v>
      </c>
      <c r="K201" s="9" t="str">
        <f>IF(VLOOKUP($A201,'San Juan'!$A$8:$O$291,6,FALSE)="","",VLOOKUP($A201,'San Juan'!$A$8:$O$291,6,FALSE))</f>
        <v>Sin código encontrado</v>
      </c>
      <c r="L201" s="24" t="str">
        <f>IF(VLOOKUP($A201,Salta!$A$8:$O$291,4,FALSE)="","",VLOOKUP($A201,Salta!$A$8:$O$291,4,FALSE))</f>
        <v/>
      </c>
      <c r="M201" s="9" t="str">
        <f>IF(VLOOKUP($A201,Salta!$A$8:$O$291,5,FALSE)="","",VLOOKUP($A201,Salta!$A$8:$O$291,5,FALSE))</f>
        <v/>
      </c>
      <c r="N201" s="9" t="str">
        <f>IF(VLOOKUP($A201,Salta!$A$8:$O$291,7,FALSE)="","",VLOOKUP($A201,Salta!$A$8:$O$291,7,FALSE))</f>
        <v>Sin coincidencia</v>
      </c>
      <c r="O201" s="9" t="str">
        <f>IF(VLOOKUP($A201,Salta!$A$8:$O$291,6,FALSE)="","",VLOOKUP($A201,Salta!$A$8:$O$291,6,FALSE))</f>
        <v>Sin coincidencia</v>
      </c>
      <c r="P201" s="24" t="str">
        <f>IF(VLOOKUP($A201,Neuquén!$A$8:$O$291,15,FALSE)="Homologado",VLOOKUP($A201,Neuquén!$A$8:$O$291,10,FALSE),"")</f>
        <v/>
      </c>
      <c r="Q201" s="24" t="str">
        <f>IF(VLOOKUP($A201,'San Juan'!$A$8:$O$291,15,FALSE)="Homologado",VLOOKUP($A201,'San Juan'!$A$8:$O$291,10,FALSE),"")</f>
        <v/>
      </c>
      <c r="R201" s="24" t="str">
        <f>IF(VLOOKUP($A201,Salta!$A$8:$O$291,15,FALSE)="Homologado",VLOOKUP($A201,Salta!$A$8:$O$291,10,FALSE),"")</f>
        <v/>
      </c>
      <c r="S201" s="24" t="str">
        <f>IF(VLOOKUP($A201,'Master vs SAP'!$A$8:$O$291,4,FALSE)="","",VLOOKUP($A201,'Master vs SAP'!$A$8:$O$291,4,FALSE))</f>
        <v>2000749
2000087
2001294</v>
      </c>
      <c r="T201" s="9" t="str">
        <f>IF(VLOOKUP($A201,'Master vs SAP'!$A$8:$O$291,5,FALSE)="","",VLOOKUP($A201,'Master vs SAP'!$A$8:$O$291,5,FALSE))</f>
        <v>SET FERULAS RIGIDAS 4 PIEZAS
SET FERULAS INFLABLES PARA MIEMBROS INF.
SET FERULAS INFLABL. MIEMBROS SUPERIORES</v>
      </c>
      <c r="U201" s="9" t="str">
        <f>IF(VLOOKUP($A201,'Master vs SAP'!$A$8:$O$291,7,FALSE)="","",VLOOKUP($A201,'Master vs SAP'!$A$8:$O$291,7,FALSE))</f>
        <v>Media</v>
      </c>
      <c r="V201" s="9" t="str">
        <f>IF(VLOOKUP($A201,'Master vs SAP'!$A$8:$O$291,6,FALSE)="","",VLOOKUP($A201,'Master vs SAP'!$A$8:$O$291,6,FALSE))</f>
        <v>Revisar grupo</v>
      </c>
      <c r="W201" s="24" t="str">
        <f>IF(VLOOKUP($A201,'Master vs SAP'!$A$8:$O$291,15,FALSE)="Homologado",VLOOKUP($A201,'Master vs SAP'!$A$8:$O$291,10,FALSE),"")</f>
        <v/>
      </c>
    </row>
    <row r="202" spans="1:23" ht="61.95" customHeight="1">
      <c r="A202" s="9" t="s">
        <v>498</v>
      </c>
      <c r="B202" s="9" t="s">
        <v>464</v>
      </c>
      <c r="C202" s="9" t="s">
        <v>499</v>
      </c>
      <c r="D202" s="24" t="str">
        <f>IF(VLOOKUP($A202,Neuquén!$A$8:$O$291,4,FALSE)="","",VLOOKUP($A202,Neuquén!$A$8:$O$291,4,FALSE))</f>
        <v>303</v>
      </c>
      <c r="E202" s="9" t="str">
        <f>IF(VLOOKUP($A202,Neuquén!$A$8:$O$291,5,FALSE)="","",VLOOKUP($A202,Neuquén!$A$8:$O$291,5,FALSE))</f>
        <v>TORNIQUETE</v>
      </c>
      <c r="F202" s="9" t="str">
        <f>IF(VLOOKUP($A202,Neuquén!$A$8:$O$291,7,FALSE)="","",VLOOKUP($A202,Neuquén!$A$8:$O$291,7,FALSE))</f>
        <v>Media</v>
      </c>
      <c r="G202" s="9" t="str">
        <f>IF(VLOOKUP($A202,Neuquén!$A$8:$O$291,6,FALSE)="","",VLOOKUP($A202,Neuquén!$A$8:$O$291,6,FALSE))</f>
        <v>Código compartido: revisar</v>
      </c>
      <c r="H202" s="24" t="str">
        <f>IF(VLOOKUP($A202,'San Juan'!$A$8:$O$291,4,FALSE)="","",VLOOKUP($A202,'San Juan'!$A$8:$O$291,4,FALSE))</f>
        <v/>
      </c>
      <c r="I202" s="9" t="str">
        <f>IF(VLOOKUP($A202,'San Juan'!$A$8:$O$291,5,FALSE)="","",VLOOKUP($A202,'San Juan'!$A$8:$O$291,5,FALSE))</f>
        <v/>
      </c>
      <c r="J202" s="9" t="str">
        <f>IF(VLOOKUP($A202,'San Juan'!$A$8:$O$291,7,FALSE)="","",VLOOKUP($A202,'San Juan'!$A$8:$O$291,7,FALSE))</f>
        <v>Sin coincidencia</v>
      </c>
      <c r="K202" s="9" t="str">
        <f>IF(VLOOKUP($A202,'San Juan'!$A$8:$O$291,6,FALSE)="","",VLOOKUP($A202,'San Juan'!$A$8:$O$291,6,FALSE))</f>
        <v>Sin código encontrado</v>
      </c>
      <c r="L202" s="24" t="str">
        <f>IF(VLOOKUP($A202,Salta!$A$8:$O$291,4,FALSE)="","",VLOOKUP($A202,Salta!$A$8:$O$291,4,FALSE))</f>
        <v>401</v>
      </c>
      <c r="M202" s="9" t="str">
        <f>IF(VLOOKUP($A202,Salta!$A$8:$O$291,5,FALSE)="","",VLOOKUP($A202,Salta!$A$8:$O$291,5,FALSE))</f>
        <v>Torniquete</v>
      </c>
      <c r="N202" s="9" t="str">
        <f>IF(VLOOKUP($A202,Salta!$A$8:$O$291,7,FALSE)="","",VLOOKUP($A202,Salta!$A$8:$O$291,7,FALSE))</f>
        <v>Media</v>
      </c>
      <c r="O202" s="9" t="str">
        <f>IF(VLOOKUP($A202,Salta!$A$8:$O$291,6,FALSE)="","",VLOOKUP($A202,Salta!$A$8:$O$291,6,FALSE))</f>
        <v>Revisar datos</v>
      </c>
      <c r="P202" s="24" t="str">
        <f>IF(VLOOKUP($A202,Neuquén!$A$8:$O$291,15,FALSE)="Homologado",VLOOKUP($A202,Neuquén!$A$8:$O$291,10,FALSE),"")</f>
        <v/>
      </c>
      <c r="Q202" s="24" t="str">
        <f>IF(VLOOKUP($A202,'San Juan'!$A$8:$O$291,15,FALSE)="Homologado",VLOOKUP($A202,'San Juan'!$A$8:$O$291,10,FALSE),"")</f>
        <v/>
      </c>
      <c r="R202" s="24" t="str">
        <f>IF(VLOOKUP($A202,Salta!$A$8:$O$291,15,FALSE)="Homologado",VLOOKUP($A202,Salta!$A$8:$O$291,10,FALSE),"")</f>
        <v/>
      </c>
      <c r="S202" s="24" t="str">
        <f>IF(VLOOKUP($A202,'Master vs SAP'!$A$8:$O$291,4,FALSE)="","",VLOOKUP($A202,'Master vs SAP'!$A$8:$O$291,4,FALSE))</f>
        <v>2000553</v>
      </c>
      <c r="T202" s="9" t="str">
        <f>IF(VLOOKUP($A202,'Master vs SAP'!$A$8:$O$291,5,FALSE)="","",VLOOKUP($A202,'Master vs SAP'!$A$8:$O$291,5,FALSE))</f>
        <v>TORNIQUETE TACTICO</v>
      </c>
      <c r="U202" s="9" t="str">
        <f>IF(VLOOKUP($A202,'Master vs SAP'!$A$8:$O$291,7,FALSE)="","",VLOOKUP($A202,'Master vs SAP'!$A$8:$O$291,7,FALSE))</f>
        <v>Alta</v>
      </c>
      <c r="V202" s="9" t="str">
        <f>IF(VLOOKUP($A202,'Master vs SAP'!$A$8:$O$291,6,FALSE)="","",VLOOKUP($A202,'Master vs SAP'!$A$8:$O$291,6,FALSE))</f>
        <v>Coincidencia</v>
      </c>
      <c r="W202" s="24" t="str">
        <f>IF(VLOOKUP($A202,'Master vs SAP'!$A$8:$O$291,15,FALSE)="Homologado",VLOOKUP($A202,'Master vs SAP'!$A$8:$O$291,10,FALSE),"")</f>
        <v/>
      </c>
    </row>
    <row r="203" spans="1:23" ht="61.95" customHeight="1">
      <c r="A203" s="9" t="s">
        <v>500</v>
      </c>
      <c r="B203" s="9" t="s">
        <v>464</v>
      </c>
      <c r="C203" s="9" t="s">
        <v>501</v>
      </c>
      <c r="D203" s="24" t="str">
        <f>IF(VLOOKUP($A203,Neuquén!$A$8:$O$291,4,FALSE)="","",VLOOKUP($A203,Neuquén!$A$8:$O$291,4,FALSE))</f>
        <v>424</v>
      </c>
      <c r="E203" s="9" t="str">
        <f>IF(VLOOKUP($A203,Neuquén!$A$8:$O$291,5,FALSE)="","",VLOOKUP($A203,Neuquén!$A$8:$O$291,5,FALSE))</f>
        <v>TIJERAMULTIUSO</v>
      </c>
      <c r="F203" s="9" t="str">
        <f>IF(VLOOKUP($A203,Neuquén!$A$8:$O$291,7,FALSE)="","",VLOOKUP($A203,Neuquén!$A$8:$O$291,7,FALSE))</f>
        <v>Media</v>
      </c>
      <c r="G203" s="9" t="str">
        <f>IF(VLOOKUP($A203,Neuquén!$A$8:$O$291,6,FALSE)="","",VLOOKUP($A203,Neuquén!$A$8:$O$291,6,FALSE))</f>
        <v>Código compartido: revisar</v>
      </c>
      <c r="H203" s="24" t="str">
        <f>IF(VLOOKUP($A203,'San Juan'!$A$8:$O$291,4,FALSE)="","",VLOOKUP($A203,'San Juan'!$A$8:$O$291,4,FALSE))</f>
        <v/>
      </c>
      <c r="I203" s="9" t="str">
        <f>IF(VLOOKUP($A203,'San Juan'!$A$8:$O$291,5,FALSE)="","",VLOOKUP($A203,'San Juan'!$A$8:$O$291,5,FALSE))</f>
        <v/>
      </c>
      <c r="J203" s="9" t="str">
        <f>IF(VLOOKUP($A203,'San Juan'!$A$8:$O$291,7,FALSE)="","",VLOOKUP($A203,'San Juan'!$A$8:$O$291,7,FALSE))</f>
        <v>Sin coincidencia</v>
      </c>
      <c r="K203" s="9" t="str">
        <f>IF(VLOOKUP($A203,'San Juan'!$A$8:$O$291,6,FALSE)="","",VLOOKUP($A203,'San Juan'!$A$8:$O$291,6,FALSE))</f>
        <v>Sin código encontrado</v>
      </c>
      <c r="L203" s="24" t="str">
        <f>IF(VLOOKUP($A203,Salta!$A$8:$O$291,4,FALSE)="","",VLOOKUP($A203,Salta!$A$8:$O$291,4,FALSE))</f>
        <v>434</v>
      </c>
      <c r="M203" s="9" t="str">
        <f>IF(VLOOKUP($A203,Salta!$A$8:$O$291,5,FALSE)="","",VLOOKUP($A203,Salta!$A$8:$O$291,5,FALSE))</f>
        <v>Tijera de  trauma 18cm</v>
      </c>
      <c r="N203" s="9" t="str">
        <f>IF(VLOOKUP($A203,Salta!$A$8:$O$291,7,FALSE)="","",VLOOKUP($A203,Salta!$A$8:$O$291,7,FALSE))</f>
        <v>Alta</v>
      </c>
      <c r="O203" s="9" t="str">
        <f>IF(VLOOKUP($A203,Salta!$A$8:$O$291,6,FALSE)="","",VLOOKUP($A203,Salta!$A$8:$O$291,6,FALSE))</f>
        <v>Coincidencia</v>
      </c>
      <c r="P203" s="24" t="str">
        <f>IF(VLOOKUP($A203,Neuquén!$A$8:$O$291,15,FALSE)="Homologado",VLOOKUP($A203,Neuquén!$A$8:$O$291,10,FALSE),"")</f>
        <v/>
      </c>
      <c r="Q203" s="24" t="str">
        <f>IF(VLOOKUP($A203,'San Juan'!$A$8:$O$291,15,FALSE)="Homologado",VLOOKUP($A203,'San Juan'!$A$8:$O$291,10,FALSE),"")</f>
        <v/>
      </c>
      <c r="R203" s="24" t="str">
        <f>IF(VLOOKUP($A203,Salta!$A$8:$O$291,15,FALSE)="Homologado",VLOOKUP($A203,Salta!$A$8:$O$291,10,FALSE),"")</f>
        <v/>
      </c>
      <c r="S203" s="24" t="str">
        <f>IF(VLOOKUP($A203,'Master vs SAP'!$A$8:$O$291,4,FALSE)="","",VLOOKUP($A203,'Master vs SAP'!$A$8:$O$291,4,FALSE))</f>
        <v>2000209</v>
      </c>
      <c r="T203" s="9" t="str">
        <f>IF(VLOOKUP($A203,'Master vs SAP'!$A$8:$O$291,5,FALSE)="","",VLOOKUP($A203,'Master vs SAP'!$A$8:$O$291,5,FALSE))</f>
        <v>TIJERA  PARA VENDAJES  (TRAUMA)</v>
      </c>
      <c r="U203" s="9" t="str">
        <f>IF(VLOOKUP($A203,'Master vs SAP'!$A$8:$O$291,7,FALSE)="","",VLOOKUP($A203,'Master vs SAP'!$A$8:$O$291,7,FALSE))</f>
        <v>Alta</v>
      </c>
      <c r="V203" s="9" t="str">
        <f>IF(VLOOKUP($A203,'Master vs SAP'!$A$8:$O$291,6,FALSE)="","",VLOOKUP($A203,'Master vs SAP'!$A$8:$O$291,6,FALSE))</f>
        <v>Coincidencia</v>
      </c>
      <c r="W203" s="24" t="str">
        <f>IF(VLOOKUP($A203,'Master vs SAP'!$A$8:$O$291,15,FALSE)="Homologado",VLOOKUP($A203,'Master vs SAP'!$A$8:$O$291,10,FALSE),"")</f>
        <v/>
      </c>
    </row>
    <row r="204" spans="1:23" ht="61.95" customHeight="1">
      <c r="A204" s="9" t="s">
        <v>502</v>
      </c>
      <c r="B204" s="9" t="s">
        <v>464</v>
      </c>
      <c r="C204" s="9" t="s">
        <v>503</v>
      </c>
      <c r="D204" s="24" t="str">
        <f>IF(VLOOKUP($A204,Neuquén!$A$8:$O$291,4,FALSE)="","",VLOOKUP($A204,Neuquén!$A$8:$O$291,4,FALSE))</f>
        <v>407</v>
      </c>
      <c r="E204" s="9" t="str">
        <f>IF(VLOOKUP($A204,Neuquén!$A$8:$O$291,5,FALSE)="","",VLOOKUP($A204,Neuquén!$A$8:$O$291,5,FALSE))</f>
        <v>CAMILLAARTICULADA</v>
      </c>
      <c r="F204" s="9" t="str">
        <f>IF(VLOOKUP($A204,Neuquén!$A$8:$O$291,7,FALSE)="","",VLOOKUP($A204,Neuquén!$A$8:$O$291,7,FALSE))</f>
        <v>Media</v>
      </c>
      <c r="G204" s="9" t="str">
        <f>IF(VLOOKUP($A204,Neuquén!$A$8:$O$291,6,FALSE)="","",VLOOKUP($A204,Neuquén!$A$8:$O$291,6,FALSE))</f>
        <v>Código compartido: revisar</v>
      </c>
      <c r="H204" s="24" t="str">
        <f>IF(VLOOKUP($A204,'San Juan'!$A$8:$O$291,4,FALSE)="","",VLOOKUP($A204,'San Juan'!$A$8:$O$291,4,FALSE))</f>
        <v/>
      </c>
      <c r="I204" s="9" t="str">
        <f>IF(VLOOKUP($A204,'San Juan'!$A$8:$O$291,5,FALSE)="","",VLOOKUP($A204,'San Juan'!$A$8:$O$291,5,FALSE))</f>
        <v/>
      </c>
      <c r="J204" s="9" t="str">
        <f>IF(VLOOKUP($A204,'San Juan'!$A$8:$O$291,7,FALSE)="","",VLOOKUP($A204,'San Juan'!$A$8:$O$291,7,FALSE))</f>
        <v>Sin coincidencia</v>
      </c>
      <c r="K204" s="9" t="str">
        <f>IF(VLOOKUP($A204,'San Juan'!$A$8:$O$291,6,FALSE)="","",VLOOKUP($A204,'San Juan'!$A$8:$O$291,6,FALSE))</f>
        <v>Sin código encontrado</v>
      </c>
      <c r="L204" s="24" t="str">
        <f>IF(VLOOKUP($A204,Salta!$A$8:$O$291,4,FALSE)="","",VLOOKUP($A204,Salta!$A$8:$O$291,4,FALSE))</f>
        <v/>
      </c>
      <c r="M204" s="9" t="str">
        <f>IF(VLOOKUP($A204,Salta!$A$8:$O$291,5,FALSE)="","",VLOOKUP($A204,Salta!$A$8:$O$291,5,FALSE))</f>
        <v/>
      </c>
      <c r="N204" s="9" t="str">
        <f>IF(VLOOKUP($A204,Salta!$A$8:$O$291,7,FALSE)="","",VLOOKUP($A204,Salta!$A$8:$O$291,7,FALSE))</f>
        <v>Sin coincidencia</v>
      </c>
      <c r="O204" s="9" t="str">
        <f>IF(VLOOKUP($A204,Salta!$A$8:$O$291,6,FALSE)="","",VLOOKUP($A204,Salta!$A$8:$O$291,6,FALSE))</f>
        <v>Sin coincidencia</v>
      </c>
      <c r="P204" s="24" t="str">
        <f>IF(VLOOKUP($A204,Neuquén!$A$8:$O$291,15,FALSE)="Homologado",VLOOKUP($A204,Neuquén!$A$8:$O$291,10,FALSE),"")</f>
        <v/>
      </c>
      <c r="Q204" s="24" t="str">
        <f>IF(VLOOKUP($A204,'San Juan'!$A$8:$O$291,15,FALSE)="Homologado",VLOOKUP($A204,'San Juan'!$A$8:$O$291,10,FALSE),"")</f>
        <v/>
      </c>
      <c r="R204" s="24" t="str">
        <f>IF(VLOOKUP($A204,Salta!$A$8:$O$291,15,FALSE)="Homologado",VLOOKUP($A204,Salta!$A$8:$O$291,10,FALSE),"")</f>
        <v/>
      </c>
      <c r="S204" s="24" t="str">
        <f>IF(VLOOKUP($A204,'Master vs SAP'!$A$8:$O$291,4,FALSE)="","",VLOOKUP($A204,'Master vs SAP'!$A$8:$O$291,4,FALSE))</f>
        <v>8000032
8000051
8000446</v>
      </c>
      <c r="T204" s="9" t="str">
        <f>IF(VLOOKUP($A204,'Master vs SAP'!$A$8:$O$291,5,FALSE)="","",VLOOKUP($A204,'Master vs SAP'!$A$8:$O$291,5,FALSE))</f>
        <v>CAMILLA DE TRANSPORTE
CAMILLA FIJA
CAMILLA TRASLADO PARDO ATICA</v>
      </c>
      <c r="U204" s="9" t="str">
        <f>IF(VLOOKUP($A204,'Master vs SAP'!$A$8:$O$291,7,FALSE)="","",VLOOKUP($A204,'Master vs SAP'!$A$8:$O$291,7,FALSE))</f>
        <v>Media</v>
      </c>
      <c r="V204" s="9" t="str">
        <f>IF(VLOOKUP($A204,'Master vs SAP'!$A$8:$O$291,6,FALSE)="","",VLOOKUP($A204,'Master vs SAP'!$A$8:$O$291,6,FALSE))</f>
        <v>Revisar grupo</v>
      </c>
      <c r="W204" s="24" t="str">
        <f>IF(VLOOKUP($A204,'Master vs SAP'!$A$8:$O$291,15,FALSE)="Homologado",VLOOKUP($A204,'Master vs SAP'!$A$8:$O$291,10,FALSE),"")</f>
        <v/>
      </c>
    </row>
    <row r="205" spans="1:23" ht="61.95" customHeight="1">
      <c r="A205" s="9" t="s">
        <v>504</v>
      </c>
      <c r="B205" s="9" t="s">
        <v>464</v>
      </c>
      <c r="C205" s="9" t="s">
        <v>505</v>
      </c>
      <c r="D205" s="24" t="str">
        <f>IF(VLOOKUP($A205,Neuquén!$A$8:$O$291,4,FALSE)="","",VLOOKUP($A205,Neuquén!$A$8:$O$291,4,FALSE))</f>
        <v>421</v>
      </c>
      <c r="E205" s="9" t="str">
        <f>IF(VLOOKUP($A205,Neuquén!$A$8:$O$291,5,FALSE)="","",VLOOKUP($A205,Neuquén!$A$8:$O$291,5,FALSE))</f>
        <v>SILLADERUEDASPORTATIL</v>
      </c>
      <c r="F205" s="9" t="str">
        <f>IF(VLOOKUP($A205,Neuquén!$A$8:$O$291,7,FALSE)="","",VLOOKUP($A205,Neuquén!$A$8:$O$291,7,FALSE))</f>
        <v>Alta</v>
      </c>
      <c r="G205" s="9" t="str">
        <f>IF(VLOOKUP($A205,Neuquén!$A$8:$O$291,6,FALSE)="","",VLOOKUP($A205,Neuquén!$A$8:$O$291,6,FALSE))</f>
        <v>Coincidencia por validar</v>
      </c>
      <c r="H205" s="24" t="str">
        <f>IF(VLOOKUP($A205,'San Juan'!$A$8:$O$291,4,FALSE)="","",VLOOKUP($A205,'San Juan'!$A$8:$O$291,4,FALSE))</f>
        <v/>
      </c>
      <c r="I205" s="9" t="str">
        <f>IF(VLOOKUP($A205,'San Juan'!$A$8:$O$291,5,FALSE)="","",VLOOKUP($A205,'San Juan'!$A$8:$O$291,5,FALSE))</f>
        <v/>
      </c>
      <c r="J205" s="9" t="str">
        <f>IF(VLOOKUP($A205,'San Juan'!$A$8:$O$291,7,FALSE)="","",VLOOKUP($A205,'San Juan'!$A$8:$O$291,7,FALSE))</f>
        <v>Sin coincidencia</v>
      </c>
      <c r="K205" s="9" t="str">
        <f>IF(VLOOKUP($A205,'San Juan'!$A$8:$O$291,6,FALSE)="","",VLOOKUP($A205,'San Juan'!$A$8:$O$291,6,FALSE))</f>
        <v>Sin código encontrado</v>
      </c>
      <c r="L205" s="24" t="str">
        <f>IF(VLOOKUP($A205,Salta!$A$8:$O$291,4,FALSE)="","",VLOOKUP($A205,Salta!$A$8:$O$291,4,FALSE))</f>
        <v/>
      </c>
      <c r="M205" s="9" t="str">
        <f>IF(VLOOKUP($A205,Salta!$A$8:$O$291,5,FALSE)="","",VLOOKUP($A205,Salta!$A$8:$O$291,5,FALSE))</f>
        <v/>
      </c>
      <c r="N205" s="9" t="str">
        <f>IF(VLOOKUP($A205,Salta!$A$8:$O$291,7,FALSE)="","",VLOOKUP($A205,Salta!$A$8:$O$291,7,FALSE))</f>
        <v>Sin coincidencia</v>
      </c>
      <c r="O205" s="9" t="str">
        <f>IF(VLOOKUP($A205,Salta!$A$8:$O$291,6,FALSE)="","",VLOOKUP($A205,Salta!$A$8:$O$291,6,FALSE))</f>
        <v>Sin coincidencia</v>
      </c>
      <c r="P205" s="24" t="str">
        <f>IF(VLOOKUP($A205,Neuquén!$A$8:$O$291,15,FALSE)="Homologado",VLOOKUP($A205,Neuquén!$A$8:$O$291,10,FALSE),"")</f>
        <v/>
      </c>
      <c r="Q205" s="24" t="str">
        <f>IF(VLOOKUP($A205,'San Juan'!$A$8:$O$291,15,FALSE)="Homologado",VLOOKUP($A205,'San Juan'!$A$8:$O$291,10,FALSE),"")</f>
        <v/>
      </c>
      <c r="R205" s="24" t="str">
        <f>IF(VLOOKUP($A205,Salta!$A$8:$O$291,15,FALSE)="Homologado",VLOOKUP($A205,Salta!$A$8:$O$291,10,FALSE),"")</f>
        <v/>
      </c>
      <c r="S205" s="24" t="str">
        <f>IF(VLOOKUP($A205,'Master vs SAP'!$A$8:$O$291,4,FALSE)="","",VLOOKUP($A205,'Master vs SAP'!$A$8:$O$291,4,FALSE))</f>
        <v>1005210
5001334</v>
      </c>
      <c r="T205" s="9" t="str">
        <f>IF(VLOOKUP($A205,'Master vs SAP'!$A$8:$O$291,5,FALSE)="","",VLOOKUP($A205,'Master vs SAP'!$A$8:$O$291,5,FALSE))</f>
        <v>SILLA DE RUEDAS
SILLA DE RUEDAS</v>
      </c>
      <c r="U205" s="9" t="str">
        <f>IF(VLOOKUP($A205,'Master vs SAP'!$A$8:$O$291,7,FALSE)="","",VLOOKUP($A205,'Master vs SAP'!$A$8:$O$291,7,FALSE))</f>
        <v>Alta</v>
      </c>
      <c r="V205" s="9" t="str">
        <f>IF(VLOOKUP($A205,'Master vs SAP'!$A$8:$O$291,6,FALSE)="","",VLOOKUP($A205,'Master vs SAP'!$A$8:$O$291,6,FALSE))</f>
        <v>Coincidencia</v>
      </c>
      <c r="W205" s="24" t="str">
        <f>IF(VLOOKUP($A205,'Master vs SAP'!$A$8:$O$291,15,FALSE)="Homologado",VLOOKUP($A205,'Master vs SAP'!$A$8:$O$291,10,FALSE),"")</f>
        <v/>
      </c>
    </row>
    <row r="206" spans="1:23" ht="61.95" customHeight="1">
      <c r="A206" s="9" t="s">
        <v>506</v>
      </c>
      <c r="B206" s="9" t="s">
        <v>464</v>
      </c>
      <c r="C206" s="9" t="s">
        <v>507</v>
      </c>
      <c r="D206" s="24" t="str">
        <f>IF(VLOOKUP($A206,Neuquén!$A$8:$O$291,4,FALSE)="","",VLOOKUP($A206,Neuquén!$A$8:$O$291,4,FALSE))</f>
        <v>379</v>
      </c>
      <c r="E206" s="9" t="str">
        <f>IF(VLOOKUP($A206,Neuquén!$A$8:$O$291,5,FALSE)="","",VLOOKUP($A206,Neuquén!$A$8:$O$291,5,FALSE))</f>
        <v>AMBU</v>
      </c>
      <c r="F206" s="9" t="str">
        <f>IF(VLOOKUP($A206,Neuquén!$A$8:$O$291,7,FALSE)="","",VLOOKUP($A206,Neuquén!$A$8:$O$291,7,FALSE))</f>
        <v>Media</v>
      </c>
      <c r="G206" s="9" t="str">
        <f>IF(VLOOKUP($A206,Neuquén!$A$8:$O$291,6,FALSE)="","",VLOOKUP($A206,Neuquén!$A$8:$O$291,6,FALSE))</f>
        <v>Código compartido: revisar</v>
      </c>
      <c r="H206" s="24" t="str">
        <f>IF(VLOOKUP($A206,'San Juan'!$A$8:$O$291,4,FALSE)="","",VLOOKUP($A206,'San Juan'!$A$8:$O$291,4,FALSE))</f>
        <v/>
      </c>
      <c r="I206" s="9" t="str">
        <f>IF(VLOOKUP($A206,'San Juan'!$A$8:$O$291,5,FALSE)="","",VLOOKUP($A206,'San Juan'!$A$8:$O$291,5,FALSE))</f>
        <v/>
      </c>
      <c r="J206" s="9" t="str">
        <f>IF(VLOOKUP($A206,'San Juan'!$A$8:$O$291,7,FALSE)="","",VLOOKUP($A206,'San Juan'!$A$8:$O$291,7,FALSE))</f>
        <v>Sin coincidencia</v>
      </c>
      <c r="K206" s="9" t="str">
        <f>IF(VLOOKUP($A206,'San Juan'!$A$8:$O$291,6,FALSE)="","",VLOOKUP($A206,'San Juan'!$A$8:$O$291,6,FALSE))</f>
        <v>Sin código encontrado</v>
      </c>
      <c r="L206" s="24" t="str">
        <f>IF(VLOOKUP($A206,Salta!$A$8:$O$291,4,FALSE)="","",VLOOKUP($A206,Salta!$A$8:$O$291,4,FALSE))</f>
        <v>207</v>
      </c>
      <c r="M206" s="9" t="str">
        <f>IF(VLOOKUP($A206,Salta!$A$8:$O$291,5,FALSE)="","",VLOOKUP($A206,Salta!$A$8:$O$291,5,FALSE))</f>
        <v>Resucitador Manual Tipo Ambu</v>
      </c>
      <c r="N206" s="9" t="str">
        <f>IF(VLOOKUP($A206,Salta!$A$8:$O$291,7,FALSE)="","",VLOOKUP($A206,Salta!$A$8:$O$291,7,FALSE))</f>
        <v>Media</v>
      </c>
      <c r="O206" s="9" t="str">
        <f>IF(VLOOKUP($A206,Salta!$A$8:$O$291,6,FALSE)="","",VLOOKUP($A206,Salta!$A$8:$O$291,6,FALSE))</f>
        <v>Revisar datos</v>
      </c>
      <c r="P206" s="24" t="str">
        <f>IF(VLOOKUP($A206,Neuquén!$A$8:$O$291,15,FALSE)="Homologado",VLOOKUP($A206,Neuquén!$A$8:$O$291,10,FALSE),"")</f>
        <v/>
      </c>
      <c r="Q206" s="24" t="str">
        <f>IF(VLOOKUP($A206,'San Juan'!$A$8:$O$291,15,FALSE)="Homologado",VLOOKUP($A206,'San Juan'!$A$8:$O$291,10,FALSE),"")</f>
        <v/>
      </c>
      <c r="R206" s="24" t="str">
        <f>IF(VLOOKUP($A206,Salta!$A$8:$O$291,15,FALSE)="Homologado",VLOOKUP($A206,Salta!$A$8:$O$291,10,FALSE),"")</f>
        <v/>
      </c>
      <c r="S206" s="24" t="str">
        <f>IF(VLOOKUP($A206,'Master vs SAP'!$A$8:$O$291,4,FALSE)="","",VLOOKUP($A206,'Master vs SAP'!$A$8:$O$291,4,FALSE))</f>
        <v>2000491</v>
      </c>
      <c r="T206" s="9" t="str">
        <f>IF(VLOOKUP($A206,'Master vs SAP'!$A$8:$O$291,5,FALSE)="","",VLOOKUP($A206,'Master vs SAP'!$A$8:$O$291,5,FALSE))</f>
        <v>BOLSA RESUCITACION MANUAL(TIPO AMBU)ADUL</v>
      </c>
      <c r="U206" s="9" t="str">
        <f>IF(VLOOKUP($A206,'Master vs SAP'!$A$8:$O$291,7,FALSE)="","",VLOOKUP($A206,'Master vs SAP'!$A$8:$O$291,7,FALSE))</f>
        <v>Alta</v>
      </c>
      <c r="V206" s="9" t="str">
        <f>IF(VLOOKUP($A206,'Master vs SAP'!$A$8:$O$291,6,FALSE)="","",VLOOKUP($A206,'Master vs SAP'!$A$8:$O$291,6,FALSE))</f>
        <v>Coincidencia</v>
      </c>
      <c r="W206" s="24" t="str">
        <f>IF(VLOOKUP($A206,'Master vs SAP'!$A$8:$O$291,15,FALSE)="Homologado",VLOOKUP($A206,'Master vs SAP'!$A$8:$O$291,10,FALSE),"")</f>
        <v/>
      </c>
    </row>
    <row r="207" spans="1:23" ht="61.95" customHeight="1">
      <c r="A207" s="9" t="s">
        <v>508</v>
      </c>
      <c r="B207" s="9" t="s">
        <v>464</v>
      </c>
      <c r="C207" s="9" t="s">
        <v>509</v>
      </c>
      <c r="D207" s="24" t="str">
        <f>IF(VLOOKUP($A207,Neuquén!$A$8:$O$291,4,FALSE)="","",VLOOKUP($A207,Neuquén!$A$8:$O$291,4,FALSE))</f>
        <v>417</v>
      </c>
      <c r="E207" s="9" t="str">
        <f>IF(VLOOKUP($A207,Neuquén!$A$8:$O$291,5,FALSE)="","",VLOOKUP($A207,Neuquén!$A$8:$O$291,5,FALSE))</f>
        <v>LARINGOSCOPIO</v>
      </c>
      <c r="F207" s="9" t="str">
        <f>IF(VLOOKUP($A207,Neuquén!$A$8:$O$291,7,FALSE)="","",VLOOKUP($A207,Neuquén!$A$8:$O$291,7,FALSE))</f>
        <v>Media</v>
      </c>
      <c r="G207" s="9" t="str">
        <f>IF(VLOOKUP($A207,Neuquén!$A$8:$O$291,6,FALSE)="","",VLOOKUP($A207,Neuquén!$A$8:$O$291,6,FALSE))</f>
        <v>Código compartido: revisar</v>
      </c>
      <c r="H207" s="24" t="str">
        <f>IF(VLOOKUP($A207,'San Juan'!$A$8:$O$291,4,FALSE)="","",VLOOKUP($A207,'San Juan'!$A$8:$O$291,4,FALSE))</f>
        <v/>
      </c>
      <c r="I207" s="9" t="str">
        <f>IF(VLOOKUP($A207,'San Juan'!$A$8:$O$291,5,FALSE)="","",VLOOKUP($A207,'San Juan'!$A$8:$O$291,5,FALSE))</f>
        <v/>
      </c>
      <c r="J207" s="9" t="str">
        <f>IF(VLOOKUP($A207,'San Juan'!$A$8:$O$291,7,FALSE)="","",VLOOKUP($A207,'San Juan'!$A$8:$O$291,7,FALSE))</f>
        <v>Sin coincidencia</v>
      </c>
      <c r="K207" s="9" t="str">
        <f>IF(VLOOKUP($A207,'San Juan'!$A$8:$O$291,6,FALSE)="","",VLOOKUP($A207,'San Juan'!$A$8:$O$291,6,FALSE))</f>
        <v>Sin código encontrado</v>
      </c>
      <c r="L207" s="24" t="str">
        <f>IF(VLOOKUP($A207,Salta!$A$8:$O$291,4,FALSE)="","",VLOOKUP($A207,Salta!$A$8:$O$291,4,FALSE))</f>
        <v>165</v>
      </c>
      <c r="M207" s="9" t="str">
        <f>IF(VLOOKUP($A207,Salta!$A$8:$O$291,5,FALSE)="","",VLOOKUP($A207,Salta!$A$8:$O$291,5,FALSE))</f>
        <v>Laringoscopio adulto de tres ramas</v>
      </c>
      <c r="N207" s="9" t="str">
        <f>IF(VLOOKUP($A207,Salta!$A$8:$O$291,7,FALSE)="","",VLOOKUP($A207,Salta!$A$8:$O$291,7,FALSE))</f>
        <v>Alta</v>
      </c>
      <c r="O207" s="9" t="str">
        <f>IF(VLOOKUP($A207,Salta!$A$8:$O$291,6,FALSE)="","",VLOOKUP($A207,Salta!$A$8:$O$291,6,FALSE))</f>
        <v>Coincidencia</v>
      </c>
      <c r="P207" s="24" t="str">
        <f>IF(VLOOKUP($A207,Neuquén!$A$8:$O$291,15,FALSE)="Homologado",VLOOKUP($A207,Neuquén!$A$8:$O$291,10,FALSE),"")</f>
        <v/>
      </c>
      <c r="Q207" s="24" t="str">
        <f>IF(VLOOKUP($A207,'San Juan'!$A$8:$O$291,15,FALSE)="Homologado",VLOOKUP($A207,'San Juan'!$A$8:$O$291,10,FALSE),"")</f>
        <v/>
      </c>
      <c r="R207" s="24" t="str">
        <f>IF(VLOOKUP($A207,Salta!$A$8:$O$291,15,FALSE)="Homologado",VLOOKUP($A207,Salta!$A$8:$O$291,10,FALSE),"")</f>
        <v/>
      </c>
      <c r="S207" s="24" t="str">
        <f>IF(VLOOKUP($A207,'Master vs SAP'!$A$8:$O$291,4,FALSE)="","",VLOOKUP($A207,'Master vs SAP'!$A$8:$O$291,4,FALSE))</f>
        <v>1000027</v>
      </c>
      <c r="T207" s="9" t="str">
        <f>IF(VLOOKUP($A207,'Master vs SAP'!$A$8:$O$291,5,FALSE)="","",VLOOKUP($A207,'Master vs SAP'!$A$8:$O$291,5,FALSE))</f>
        <v>LARINGOSCOPIO ADULTO DE TRES RAMAS</v>
      </c>
      <c r="U207" s="9" t="str">
        <f>IF(VLOOKUP($A207,'Master vs SAP'!$A$8:$O$291,7,FALSE)="","",VLOOKUP($A207,'Master vs SAP'!$A$8:$O$291,7,FALSE))</f>
        <v>Alta</v>
      </c>
      <c r="V207" s="9" t="str">
        <f>IF(VLOOKUP($A207,'Master vs SAP'!$A$8:$O$291,6,FALSE)="","",VLOOKUP($A207,'Master vs SAP'!$A$8:$O$291,6,FALSE))</f>
        <v>Coincidencia</v>
      </c>
      <c r="W207" s="24" t="str">
        <f>IF(VLOOKUP($A207,'Master vs SAP'!$A$8:$O$291,15,FALSE)="Homologado",VLOOKUP($A207,'Master vs SAP'!$A$8:$O$291,10,FALSE),"")</f>
        <v/>
      </c>
    </row>
    <row r="208" spans="1:23" ht="61.95" customHeight="1">
      <c r="A208" s="9" t="s">
        <v>510</v>
      </c>
      <c r="B208" s="9" t="s">
        <v>464</v>
      </c>
      <c r="C208" s="9" t="s">
        <v>511</v>
      </c>
      <c r="D208" s="24" t="str">
        <f>IF(VLOOKUP($A208,Neuquén!$A$8:$O$291,4,FALSE)="","",VLOOKUP($A208,Neuquén!$A$8:$O$291,4,FALSE))</f>
        <v>419</v>
      </c>
      <c r="E208" s="9" t="str">
        <f>IF(VLOOKUP($A208,Neuquén!$A$8:$O$291,5,FALSE)="","",VLOOKUP($A208,Neuquén!$A$8:$O$291,5,FALSE))</f>
        <v>PINZA DE EXTRACCION CUERPO EXTRAÑO</v>
      </c>
      <c r="F208" s="9" t="str">
        <f>IF(VLOOKUP($A208,Neuquén!$A$8:$O$291,7,FALSE)="","",VLOOKUP($A208,Neuquén!$A$8:$O$291,7,FALSE))</f>
        <v>Sin coincidencia</v>
      </c>
      <c r="G208" s="9" t="str">
        <f>IF(VLOOKUP($A208,Neuquén!$A$8:$O$291,6,FALSE)="","",VLOOKUP($A208,Neuquén!$A$8:$O$291,6,FALSE))</f>
        <v>Código compartido: revisar</v>
      </c>
      <c r="H208" s="24" t="str">
        <f>IF(VLOOKUP($A208,'San Juan'!$A$8:$O$291,4,FALSE)="","",VLOOKUP($A208,'San Juan'!$A$8:$O$291,4,FALSE))</f>
        <v/>
      </c>
      <c r="I208" s="9" t="str">
        <f>IF(VLOOKUP($A208,'San Juan'!$A$8:$O$291,5,FALSE)="","",VLOOKUP($A208,'San Juan'!$A$8:$O$291,5,FALSE))</f>
        <v/>
      </c>
      <c r="J208" s="9" t="str">
        <f>IF(VLOOKUP($A208,'San Juan'!$A$8:$O$291,7,FALSE)="","",VLOOKUP($A208,'San Juan'!$A$8:$O$291,7,FALSE))</f>
        <v>Sin coincidencia</v>
      </c>
      <c r="K208" s="9" t="str">
        <f>IF(VLOOKUP($A208,'San Juan'!$A$8:$O$291,6,FALSE)="","",VLOOKUP($A208,'San Juan'!$A$8:$O$291,6,FALSE))</f>
        <v>Sin código encontrado</v>
      </c>
      <c r="L208" s="24" t="str">
        <f>IF(VLOOKUP($A208,Salta!$A$8:$O$291,4,FALSE)="","",VLOOKUP($A208,Salta!$A$8:$O$291,4,FALSE))</f>
        <v/>
      </c>
      <c r="M208" s="9" t="str">
        <f>IF(VLOOKUP($A208,Salta!$A$8:$O$291,5,FALSE)="","",VLOOKUP($A208,Salta!$A$8:$O$291,5,FALSE))</f>
        <v/>
      </c>
      <c r="N208" s="9" t="str">
        <f>IF(VLOOKUP($A208,Salta!$A$8:$O$291,7,FALSE)="","",VLOOKUP($A208,Salta!$A$8:$O$291,7,FALSE))</f>
        <v>Sin coincidencia</v>
      </c>
      <c r="O208" s="9" t="str">
        <f>IF(VLOOKUP($A208,Salta!$A$8:$O$291,6,FALSE)="","",VLOOKUP($A208,Salta!$A$8:$O$291,6,FALSE))</f>
        <v>Sin coincidencia</v>
      </c>
      <c r="P208" s="24" t="str">
        <f>IF(VLOOKUP($A208,Neuquén!$A$8:$O$291,15,FALSE)="Homologado",VLOOKUP($A208,Neuquén!$A$8:$O$291,10,FALSE),"")</f>
        <v/>
      </c>
      <c r="Q208" s="24" t="str">
        <f>IF(VLOOKUP($A208,'San Juan'!$A$8:$O$291,15,FALSE)="Homologado",VLOOKUP($A208,'San Juan'!$A$8:$O$291,10,FALSE),"")</f>
        <v/>
      </c>
      <c r="R208" s="24" t="str">
        <f>IF(VLOOKUP($A208,Salta!$A$8:$O$291,15,FALSE)="Homologado",VLOOKUP($A208,Salta!$A$8:$O$291,10,FALSE),"")</f>
        <v/>
      </c>
      <c r="S208" s="24" t="str">
        <f>IF(VLOOKUP($A208,'Master vs SAP'!$A$8:$O$291,4,FALSE)="","",VLOOKUP($A208,'Master vs SAP'!$A$8:$O$291,4,FALSE))</f>
        <v>2001340
1000202</v>
      </c>
      <c r="T208" s="9" t="str">
        <f>IF(VLOOKUP($A208,'Master vs SAP'!$A$8:$O$291,5,FALSE)="","",VLOOKUP($A208,'Master vs SAP'!$A$8:$O$291,5,FALSE))</f>
        <v>PINZA MAGILL ADULTO
PINZA DE MAGUIL ADULTO</v>
      </c>
      <c r="U208" s="9" t="str">
        <f>IF(VLOOKUP($A208,'Master vs SAP'!$A$8:$O$291,7,FALSE)="","",VLOOKUP($A208,'Master vs SAP'!$A$8:$O$291,7,FALSE))</f>
        <v>Alta</v>
      </c>
      <c r="V208" s="9" t="str">
        <f>IF(VLOOKUP($A208,'Master vs SAP'!$A$8:$O$291,6,FALSE)="","",VLOOKUP($A208,'Master vs SAP'!$A$8:$O$291,6,FALSE))</f>
        <v>Coincidencia</v>
      </c>
      <c r="W208" s="24" t="str">
        <f>IF(VLOOKUP($A208,'Master vs SAP'!$A$8:$O$291,15,FALSE)="Homologado",VLOOKUP($A208,'Master vs SAP'!$A$8:$O$291,10,FALSE),"")</f>
        <v/>
      </c>
    </row>
    <row r="209" spans="1:23" ht="61.95" customHeight="1">
      <c r="A209" s="9" t="s">
        <v>512</v>
      </c>
      <c r="B209" s="9" t="s">
        <v>464</v>
      </c>
      <c r="C209" s="9" t="s">
        <v>513</v>
      </c>
      <c r="D209" s="24" t="str">
        <f>IF(VLOOKUP($A209,Neuquén!$A$8:$O$291,4,FALSE)="","",VLOOKUP($A209,Neuquén!$A$8:$O$291,4,FALSE))</f>
        <v>546</v>
      </c>
      <c r="E209" s="9" t="str">
        <f>IF(VLOOKUP($A209,Neuquén!$A$8:$O$291,5,FALSE)="","",VLOOKUP($A209,Neuquén!$A$8:$O$291,5,FALSE))</f>
        <v>GUIA DE ESCHMANN</v>
      </c>
      <c r="F209" s="9" t="str">
        <f>IF(VLOOKUP($A209,Neuquén!$A$8:$O$291,7,FALSE)="","",VLOOKUP($A209,Neuquén!$A$8:$O$291,7,FALSE))</f>
        <v>Sin coincidencia</v>
      </c>
      <c r="G209" s="9" t="str">
        <f>IF(VLOOKUP($A209,Neuquén!$A$8:$O$291,6,FALSE)="","",VLOOKUP($A209,Neuquén!$A$8:$O$291,6,FALSE))</f>
        <v>Código compartido: revisar</v>
      </c>
      <c r="H209" s="24" t="str">
        <f>IF(VLOOKUP($A209,'San Juan'!$A$8:$O$291,4,FALSE)="","",VLOOKUP($A209,'San Juan'!$A$8:$O$291,4,FALSE))</f>
        <v/>
      </c>
      <c r="I209" s="9" t="str">
        <f>IF(VLOOKUP($A209,'San Juan'!$A$8:$O$291,5,FALSE)="","",VLOOKUP($A209,'San Juan'!$A$8:$O$291,5,FALSE))</f>
        <v/>
      </c>
      <c r="J209" s="9" t="str">
        <f>IF(VLOOKUP($A209,'San Juan'!$A$8:$O$291,7,FALSE)="","",VLOOKUP($A209,'San Juan'!$A$8:$O$291,7,FALSE))</f>
        <v>Sin coincidencia</v>
      </c>
      <c r="K209" s="9" t="str">
        <f>IF(VLOOKUP($A209,'San Juan'!$A$8:$O$291,6,FALSE)="","",VLOOKUP($A209,'San Juan'!$A$8:$O$291,6,FALSE))</f>
        <v>Sin código encontrado</v>
      </c>
      <c r="L209" s="24" t="str">
        <f>IF(VLOOKUP($A209,Salta!$A$8:$O$291,4,FALSE)="","",VLOOKUP($A209,Salta!$A$8:$O$291,4,FALSE))</f>
        <v>319</v>
      </c>
      <c r="M209" s="9" t="str">
        <f>IF(VLOOKUP($A209,Salta!$A$8:$O$291,5,FALSE)="","",VLOOKUP($A209,Salta!$A$8:$O$291,5,FALSE))</f>
        <v>Guia de intubacion EICHMAN</v>
      </c>
      <c r="N209" s="9" t="str">
        <f>IF(VLOOKUP($A209,Salta!$A$8:$O$291,7,FALSE)="","",VLOOKUP($A209,Salta!$A$8:$O$291,7,FALSE))</f>
        <v>Media</v>
      </c>
      <c r="O209" s="9" t="str">
        <f>IF(VLOOKUP($A209,Salta!$A$8:$O$291,6,FALSE)="","",VLOOKUP($A209,Salta!$A$8:$O$291,6,FALSE))</f>
        <v>Revisar datos</v>
      </c>
      <c r="P209" s="24" t="str">
        <f>IF(VLOOKUP($A209,Neuquén!$A$8:$O$291,15,FALSE)="Homologado",VLOOKUP($A209,Neuquén!$A$8:$O$291,10,FALSE),"")</f>
        <v/>
      </c>
      <c r="Q209" s="24" t="str">
        <f>IF(VLOOKUP($A209,'San Juan'!$A$8:$O$291,15,FALSE)="Homologado",VLOOKUP($A209,'San Juan'!$A$8:$O$291,10,FALSE),"")</f>
        <v/>
      </c>
      <c r="R209" s="24" t="str">
        <f>IF(VLOOKUP($A209,Salta!$A$8:$O$291,15,FALSE)="Homologado",VLOOKUP($A209,Salta!$A$8:$O$291,10,FALSE),"")</f>
        <v/>
      </c>
      <c r="S209" s="24" t="str">
        <f>IF(VLOOKUP($A209,'Master vs SAP'!$A$8:$O$291,4,FALSE)="","",VLOOKUP($A209,'Master vs SAP'!$A$8:$O$291,4,FALSE))</f>
        <v>2002615</v>
      </c>
      <c r="T209" s="9" t="str">
        <f>IF(VLOOKUP($A209,'Master vs SAP'!$A$8:$O$291,5,FALSE)="","",VLOOKUP($A209,'Master vs SAP'!$A$8:$O$291,5,FALSE))</f>
        <v>VARA/INTROD. ESCHMANN ADULT 70</v>
      </c>
      <c r="U209" s="9" t="str">
        <f>IF(VLOOKUP($A209,'Master vs SAP'!$A$8:$O$291,7,FALSE)="","",VLOOKUP($A209,'Master vs SAP'!$A$8:$O$291,7,FALSE))</f>
        <v>Alta</v>
      </c>
      <c r="V209" s="9" t="str">
        <f>IF(VLOOKUP($A209,'Master vs SAP'!$A$8:$O$291,6,FALSE)="","",VLOOKUP($A209,'Master vs SAP'!$A$8:$O$291,6,FALSE))</f>
        <v>Coincidencia</v>
      </c>
      <c r="W209" s="24" t="str">
        <f>IF(VLOOKUP($A209,'Master vs SAP'!$A$8:$O$291,15,FALSE)="Homologado",VLOOKUP($A209,'Master vs SAP'!$A$8:$O$291,10,FALSE),"")</f>
        <v/>
      </c>
    </row>
    <row r="210" spans="1:23" ht="61.95" customHeight="1">
      <c r="A210" s="9" t="s">
        <v>514</v>
      </c>
      <c r="B210" s="9" t="s">
        <v>464</v>
      </c>
      <c r="C210" s="9" t="s">
        <v>515</v>
      </c>
      <c r="D210" s="24" t="str">
        <f>IF(VLOOKUP($A210,Neuquén!$A$8:$O$291,4,FALSE)="","",VLOOKUP($A210,Neuquén!$A$8:$O$291,4,FALSE))</f>
        <v>545</v>
      </c>
      <c r="E210" s="9" t="str">
        <f>IF(VLOOKUP($A210,Neuquén!$A$8:$O$291,5,FALSE)="","",VLOOKUP($A210,Neuquén!$A$8:$O$291,5,FALSE))</f>
        <v>SET DE CRICOTOMIA</v>
      </c>
      <c r="F210" s="9" t="str">
        <f>IF(VLOOKUP($A210,Neuquén!$A$8:$O$291,7,FALSE)="","",VLOOKUP($A210,Neuquén!$A$8:$O$291,7,FALSE))</f>
        <v>Sin coincidencia</v>
      </c>
      <c r="G210" s="9" t="str">
        <f>IF(VLOOKUP($A210,Neuquén!$A$8:$O$291,6,FALSE)="","",VLOOKUP($A210,Neuquén!$A$8:$O$291,6,FALSE))</f>
        <v>Código sin equivalencia validada</v>
      </c>
      <c r="H210" s="24" t="str">
        <f>IF(VLOOKUP($A210,'San Juan'!$A$8:$O$291,4,FALSE)="","",VLOOKUP($A210,'San Juan'!$A$8:$O$291,4,FALSE))</f>
        <v/>
      </c>
      <c r="I210" s="9" t="str">
        <f>IF(VLOOKUP($A210,'San Juan'!$A$8:$O$291,5,FALSE)="","",VLOOKUP($A210,'San Juan'!$A$8:$O$291,5,FALSE))</f>
        <v/>
      </c>
      <c r="J210" s="9" t="str">
        <f>IF(VLOOKUP($A210,'San Juan'!$A$8:$O$291,7,FALSE)="","",VLOOKUP($A210,'San Juan'!$A$8:$O$291,7,FALSE))</f>
        <v>Sin coincidencia</v>
      </c>
      <c r="K210" s="9" t="str">
        <f>IF(VLOOKUP($A210,'San Juan'!$A$8:$O$291,6,FALSE)="","",VLOOKUP($A210,'San Juan'!$A$8:$O$291,6,FALSE))</f>
        <v>Sin código encontrado</v>
      </c>
      <c r="L210" s="24" t="str">
        <f>IF(VLOOKUP($A210,Salta!$A$8:$O$291,4,FALSE)="","",VLOOKUP($A210,Salta!$A$8:$O$291,4,FALSE))</f>
        <v/>
      </c>
      <c r="M210" s="9" t="str">
        <f>IF(VLOOKUP($A210,Salta!$A$8:$O$291,5,FALSE)="","",VLOOKUP($A210,Salta!$A$8:$O$291,5,FALSE))</f>
        <v/>
      </c>
      <c r="N210" s="9" t="str">
        <f>IF(VLOOKUP($A210,Salta!$A$8:$O$291,7,FALSE)="","",VLOOKUP($A210,Salta!$A$8:$O$291,7,FALSE))</f>
        <v>Sin coincidencia</v>
      </c>
      <c r="O210" s="9" t="str">
        <f>IF(VLOOKUP($A210,Salta!$A$8:$O$291,6,FALSE)="","",VLOOKUP($A210,Salta!$A$8:$O$291,6,FALSE))</f>
        <v>Sin coincidencia</v>
      </c>
      <c r="P210" s="24" t="str">
        <f>IF(VLOOKUP($A210,Neuquén!$A$8:$O$291,15,FALSE)="Homologado",VLOOKUP($A210,Neuquén!$A$8:$O$291,10,FALSE),"")</f>
        <v/>
      </c>
      <c r="Q210" s="24" t="str">
        <f>IF(VLOOKUP($A210,'San Juan'!$A$8:$O$291,15,FALSE)="Homologado",VLOOKUP($A210,'San Juan'!$A$8:$O$291,10,FALSE),"")</f>
        <v/>
      </c>
      <c r="R210" s="24" t="str">
        <f>IF(VLOOKUP($A210,Salta!$A$8:$O$291,15,FALSE)="Homologado",VLOOKUP($A210,Salta!$A$8:$O$291,10,FALSE),"")</f>
        <v/>
      </c>
      <c r="S210" s="24" t="str">
        <f>IF(VLOOKUP($A210,'Master vs SAP'!$A$8:$O$291,4,FALSE)="","",VLOOKUP($A210,'Master vs SAP'!$A$8:$O$291,4,FALSE))</f>
        <v>2000573</v>
      </c>
      <c r="T210" s="9" t="str">
        <f>IF(VLOOKUP($A210,'Master vs SAP'!$A$8:$O$291,5,FALSE)="","",VLOOKUP($A210,'Master vs SAP'!$A$8:$O$291,5,FALSE))</f>
        <v>SET DE CRICOTOMIA</v>
      </c>
      <c r="U210" s="9" t="str">
        <f>IF(VLOOKUP($A210,'Master vs SAP'!$A$8:$O$291,7,FALSE)="","",VLOOKUP($A210,'Master vs SAP'!$A$8:$O$291,7,FALSE))</f>
        <v>Alta</v>
      </c>
      <c r="V210" s="9" t="str">
        <f>IF(VLOOKUP($A210,'Master vs SAP'!$A$8:$O$291,6,FALSE)="","",VLOOKUP($A210,'Master vs SAP'!$A$8:$O$291,6,FALSE))</f>
        <v>Coincidencia</v>
      </c>
      <c r="W210" s="24" t="str">
        <f>IF(VLOOKUP($A210,'Master vs SAP'!$A$8:$O$291,15,FALSE)="Homologado",VLOOKUP($A210,'Master vs SAP'!$A$8:$O$291,10,FALSE),"")</f>
        <v/>
      </c>
    </row>
    <row r="211" spans="1:23" ht="61.95" customHeight="1">
      <c r="A211" s="9" t="s">
        <v>516</v>
      </c>
      <c r="B211" s="9" t="s">
        <v>464</v>
      </c>
      <c r="C211" s="9" t="s">
        <v>517</v>
      </c>
      <c r="D211" s="24" t="str">
        <f>IF(VLOOKUP($A211,Neuquén!$A$8:$O$291,4,FALSE)="","",VLOOKUP($A211,Neuquén!$A$8:$O$291,4,FALSE))</f>
        <v>537</v>
      </c>
      <c r="E211" s="9" t="str">
        <f>IF(VLOOKUP($A211,Neuquén!$A$8:$O$291,5,FALSE)="","",VLOOKUP($A211,Neuquén!$A$8:$O$291,5,FALSE))</f>
        <v>vía central</v>
      </c>
      <c r="F211" s="9" t="str">
        <f>IF(VLOOKUP($A211,Neuquén!$A$8:$O$291,7,FALSE)="","",VLOOKUP($A211,Neuquén!$A$8:$O$291,7,FALSE))</f>
        <v>Sin coincidencia</v>
      </c>
      <c r="G211" s="9" t="str">
        <f>IF(VLOOKUP($A211,Neuquén!$A$8:$O$291,6,FALSE)="","",VLOOKUP($A211,Neuquén!$A$8:$O$291,6,FALSE))</f>
        <v>Código sin equivalencia validada</v>
      </c>
      <c r="H211" s="24" t="str">
        <f>IF(VLOOKUP($A211,'San Juan'!$A$8:$O$291,4,FALSE)="","",VLOOKUP($A211,'San Juan'!$A$8:$O$291,4,FALSE))</f>
        <v/>
      </c>
      <c r="I211" s="9" t="str">
        <f>IF(VLOOKUP($A211,'San Juan'!$A$8:$O$291,5,FALSE)="","",VLOOKUP($A211,'San Juan'!$A$8:$O$291,5,FALSE))</f>
        <v/>
      </c>
      <c r="J211" s="9" t="str">
        <f>IF(VLOOKUP($A211,'San Juan'!$A$8:$O$291,7,FALSE)="","",VLOOKUP($A211,'San Juan'!$A$8:$O$291,7,FALSE))</f>
        <v>Sin coincidencia</v>
      </c>
      <c r="K211" s="9" t="str">
        <f>IF(VLOOKUP($A211,'San Juan'!$A$8:$O$291,6,FALSE)="","",VLOOKUP($A211,'San Juan'!$A$8:$O$291,6,FALSE))</f>
        <v>Sin código encontrado</v>
      </c>
      <c r="L211" s="24" t="str">
        <f>IF(VLOOKUP($A211,Salta!$A$8:$O$291,4,FALSE)="","",VLOOKUP($A211,Salta!$A$8:$O$291,4,FALSE))</f>
        <v/>
      </c>
      <c r="M211" s="9" t="str">
        <f>IF(VLOOKUP($A211,Salta!$A$8:$O$291,5,FALSE)="","",VLOOKUP($A211,Salta!$A$8:$O$291,5,FALSE))</f>
        <v/>
      </c>
      <c r="N211" s="9" t="str">
        <f>IF(VLOOKUP($A211,Salta!$A$8:$O$291,7,FALSE)="","",VLOOKUP($A211,Salta!$A$8:$O$291,7,FALSE))</f>
        <v>Sin coincidencia</v>
      </c>
      <c r="O211" s="9" t="str">
        <f>IF(VLOOKUP($A211,Salta!$A$8:$O$291,6,FALSE)="","",VLOOKUP($A211,Salta!$A$8:$O$291,6,FALSE))</f>
        <v>Sin coincidencia</v>
      </c>
      <c r="P211" s="24" t="str">
        <f>IF(VLOOKUP($A211,Neuquén!$A$8:$O$291,15,FALSE)="Homologado",VLOOKUP($A211,Neuquén!$A$8:$O$291,10,FALSE),"")</f>
        <v/>
      </c>
      <c r="Q211" s="24" t="str">
        <f>IF(VLOOKUP($A211,'San Juan'!$A$8:$O$291,15,FALSE)="Homologado",VLOOKUP($A211,'San Juan'!$A$8:$O$291,10,FALSE),"")</f>
        <v/>
      </c>
      <c r="R211" s="24" t="str">
        <f>IF(VLOOKUP($A211,Salta!$A$8:$O$291,15,FALSE)="Homologado",VLOOKUP($A211,Salta!$A$8:$O$291,10,FALSE),"")</f>
        <v/>
      </c>
      <c r="S211" s="24" t="str">
        <f>IF(VLOOKUP($A211,'Master vs SAP'!$A$8:$O$291,4,FALSE)="","",VLOOKUP($A211,'Master vs SAP'!$A$8:$O$291,4,FALSE))</f>
        <v>2001491</v>
      </c>
      <c r="T211" s="9" t="str">
        <f>IF(VLOOKUP($A211,'Master vs SAP'!$A$8:$O$291,5,FALSE)="","",VLOOKUP($A211,'Master vs SAP'!$A$8:$O$291,5,FALSE))</f>
        <v>SET VIA CENTRAL</v>
      </c>
      <c r="U211" s="9" t="str">
        <f>IF(VLOOKUP($A211,'Master vs SAP'!$A$8:$O$291,7,FALSE)="","",VLOOKUP($A211,'Master vs SAP'!$A$8:$O$291,7,FALSE))</f>
        <v>Alta</v>
      </c>
      <c r="V211" s="9" t="str">
        <f>IF(VLOOKUP($A211,'Master vs SAP'!$A$8:$O$291,6,FALSE)="","",VLOOKUP($A211,'Master vs SAP'!$A$8:$O$291,6,FALSE))</f>
        <v>Coincidencia</v>
      </c>
      <c r="W211" s="24" t="str">
        <f>IF(VLOOKUP($A211,'Master vs SAP'!$A$8:$O$291,15,FALSE)="Homologado",VLOOKUP($A211,'Master vs SAP'!$A$8:$O$291,10,FALSE),"")</f>
        <v/>
      </c>
    </row>
    <row r="212" spans="1:23" ht="61.95" customHeight="1">
      <c r="A212" s="9" t="s">
        <v>518</v>
      </c>
      <c r="B212" s="9" t="s">
        <v>464</v>
      </c>
      <c r="C212" s="9" t="s">
        <v>519</v>
      </c>
      <c r="D212" s="24" t="str">
        <f>IF(VLOOKUP($A212,Neuquén!$A$8:$O$291,4,FALSE)="","",VLOOKUP($A212,Neuquén!$A$8:$O$291,4,FALSE))</f>
        <v>544</v>
      </c>
      <c r="E212" s="9" t="str">
        <f>IF(VLOOKUP($A212,Neuquén!$A$8:$O$291,5,FALSE)="","",VLOOKUP($A212,Neuquén!$A$8:$O$291,5,FALSE))</f>
        <v>CATETER</v>
      </c>
      <c r="F212" s="9" t="str">
        <f>IF(VLOOKUP($A212,Neuquén!$A$8:$O$291,7,FALSE)="","",VLOOKUP($A212,Neuquén!$A$8:$O$291,7,FALSE))</f>
        <v>Sin coincidencia</v>
      </c>
      <c r="G212" s="9" t="str">
        <f>IF(VLOOKUP($A212,Neuquén!$A$8:$O$291,6,FALSE)="","",VLOOKUP($A212,Neuquén!$A$8:$O$291,6,FALSE))</f>
        <v>Código sin equivalencia validada</v>
      </c>
      <c r="H212" s="24" t="str">
        <f>IF(VLOOKUP($A212,'San Juan'!$A$8:$O$291,4,FALSE)="","",VLOOKUP($A212,'San Juan'!$A$8:$O$291,4,FALSE))</f>
        <v/>
      </c>
      <c r="I212" s="9" t="str">
        <f>IF(VLOOKUP($A212,'San Juan'!$A$8:$O$291,5,FALSE)="","",VLOOKUP($A212,'San Juan'!$A$8:$O$291,5,FALSE))</f>
        <v/>
      </c>
      <c r="J212" s="9" t="str">
        <f>IF(VLOOKUP($A212,'San Juan'!$A$8:$O$291,7,FALSE)="","",VLOOKUP($A212,'San Juan'!$A$8:$O$291,7,FALSE))</f>
        <v>Sin coincidencia</v>
      </c>
      <c r="K212" s="9" t="str">
        <f>IF(VLOOKUP($A212,'San Juan'!$A$8:$O$291,6,FALSE)="","",VLOOKUP($A212,'San Juan'!$A$8:$O$291,6,FALSE))</f>
        <v>Sin código encontrado</v>
      </c>
      <c r="L212" s="24" t="str">
        <f>IF(VLOOKUP($A212,Salta!$A$8:$O$291,4,FALSE)="","",VLOOKUP($A212,Salta!$A$8:$O$291,4,FALSE))</f>
        <v/>
      </c>
      <c r="M212" s="9" t="str">
        <f>IF(VLOOKUP($A212,Salta!$A$8:$O$291,5,FALSE)="","",VLOOKUP($A212,Salta!$A$8:$O$291,5,FALSE))</f>
        <v/>
      </c>
      <c r="N212" s="9" t="str">
        <f>IF(VLOOKUP($A212,Salta!$A$8:$O$291,7,FALSE)="","",VLOOKUP($A212,Salta!$A$8:$O$291,7,FALSE))</f>
        <v>Sin coincidencia</v>
      </c>
      <c r="O212" s="9" t="str">
        <f>IF(VLOOKUP($A212,Salta!$A$8:$O$291,6,FALSE)="","",VLOOKUP($A212,Salta!$A$8:$O$291,6,FALSE))</f>
        <v>Sin coincidencia</v>
      </c>
      <c r="P212" s="24" t="str">
        <f>IF(VLOOKUP($A212,Neuquén!$A$8:$O$291,15,FALSE)="Homologado",VLOOKUP($A212,Neuquén!$A$8:$O$291,10,FALSE),"")</f>
        <v/>
      </c>
      <c r="Q212" s="24" t="str">
        <f>IF(VLOOKUP($A212,'San Juan'!$A$8:$O$291,15,FALSE)="Homologado",VLOOKUP($A212,'San Juan'!$A$8:$O$291,10,FALSE),"")</f>
        <v/>
      </c>
      <c r="R212" s="24" t="str">
        <f>IF(VLOOKUP($A212,Salta!$A$8:$O$291,15,FALSE)="Homologado",VLOOKUP($A212,Salta!$A$8:$O$291,10,FALSE),"")</f>
        <v/>
      </c>
      <c r="S212" s="24" t="str">
        <f>IF(VLOOKUP($A212,'Master vs SAP'!$A$8:$O$291,4,FALSE)="","",VLOOKUP($A212,'Master vs SAP'!$A$8:$O$291,4,FALSE))</f>
        <v>2000587</v>
      </c>
      <c r="T212" s="9" t="str">
        <f>IF(VLOOKUP($A212,'Master vs SAP'!$A$8:$O$291,5,FALSE)="","",VLOOKUP($A212,'Master vs SAP'!$A$8:$O$291,5,FALSE))</f>
        <v>SET DE DRENAJE TORAXICO</v>
      </c>
      <c r="U212" s="9" t="str">
        <f>IF(VLOOKUP($A212,'Master vs SAP'!$A$8:$O$291,7,FALSE)="","",VLOOKUP($A212,'Master vs SAP'!$A$8:$O$291,7,FALSE))</f>
        <v>Media</v>
      </c>
      <c r="V212" s="9" t="str">
        <f>IF(VLOOKUP($A212,'Master vs SAP'!$A$8:$O$291,6,FALSE)="","",VLOOKUP($A212,'Master vs SAP'!$A$8:$O$291,6,FALSE))</f>
        <v>Revisar datos</v>
      </c>
      <c r="W212" s="24" t="str">
        <f>IF(VLOOKUP($A212,'Master vs SAP'!$A$8:$O$291,15,FALSE)="Homologado",VLOOKUP($A212,'Master vs SAP'!$A$8:$O$291,10,FALSE),"")</f>
        <v/>
      </c>
    </row>
    <row r="213" spans="1:23" ht="61.95" customHeight="1">
      <c r="A213" s="9" t="s">
        <v>520</v>
      </c>
      <c r="B213" s="9" t="s">
        <v>464</v>
      </c>
      <c r="C213" s="9" t="s">
        <v>521</v>
      </c>
      <c r="D213" s="24" t="str">
        <f>IF(VLOOKUP($A213,Neuquén!$A$8:$O$291,4,FALSE)="","",VLOOKUP($A213,Neuquén!$A$8:$O$291,4,FALSE))</f>
        <v>258</v>
      </c>
      <c r="E213" s="9" t="str">
        <f>IF(VLOOKUP($A213,Neuquén!$A$8:$O$291,5,FALSE)="","",VLOOKUP($A213,Neuquén!$A$8:$O$291,5,FALSE))</f>
        <v>Tensiometromanual+estetoscopio</v>
      </c>
      <c r="F213" s="9" t="str">
        <f>IF(VLOOKUP($A213,Neuquén!$A$8:$O$291,7,FALSE)="","",VLOOKUP($A213,Neuquén!$A$8:$O$291,7,FALSE))</f>
        <v>Media</v>
      </c>
      <c r="G213" s="9" t="str">
        <f>IF(VLOOKUP($A213,Neuquén!$A$8:$O$291,6,FALSE)="","",VLOOKUP($A213,Neuquén!$A$8:$O$291,6,FALSE))</f>
        <v>Código compartido: revisar</v>
      </c>
      <c r="H213" s="24" t="str">
        <f>IF(VLOOKUP($A213,'San Juan'!$A$8:$O$291,4,FALSE)="","",VLOOKUP($A213,'San Juan'!$A$8:$O$291,4,FALSE))</f>
        <v/>
      </c>
      <c r="I213" s="9" t="str">
        <f>IF(VLOOKUP($A213,'San Juan'!$A$8:$O$291,5,FALSE)="","",VLOOKUP($A213,'San Juan'!$A$8:$O$291,5,FALSE))</f>
        <v/>
      </c>
      <c r="J213" s="9" t="str">
        <f>IF(VLOOKUP($A213,'San Juan'!$A$8:$O$291,7,FALSE)="","",VLOOKUP($A213,'San Juan'!$A$8:$O$291,7,FALSE))</f>
        <v>Sin coincidencia</v>
      </c>
      <c r="K213" s="9" t="str">
        <f>IF(VLOOKUP($A213,'San Juan'!$A$8:$O$291,6,FALSE)="","",VLOOKUP($A213,'San Juan'!$A$8:$O$291,6,FALSE))</f>
        <v>Sin código encontrado</v>
      </c>
      <c r="L213" s="24" t="str">
        <f>IF(VLOOKUP($A213,Salta!$A$8:$O$291,4,FALSE)="","",VLOOKUP($A213,Salta!$A$8:$O$291,4,FALSE))</f>
        <v>233</v>
      </c>
      <c r="M213" s="9" t="str">
        <f>IF(VLOOKUP($A213,Salta!$A$8:$O$291,5,FALSE)="","",VLOOKUP($A213,Salta!$A$8:$O$291,5,FALSE))</f>
        <v>Tensiometro Manual</v>
      </c>
      <c r="N213" s="9" t="str">
        <f>IF(VLOOKUP($A213,Salta!$A$8:$O$291,7,FALSE)="","",VLOOKUP($A213,Salta!$A$8:$O$291,7,FALSE))</f>
        <v>Media</v>
      </c>
      <c r="O213" s="9" t="str">
        <f>IF(VLOOKUP($A213,Salta!$A$8:$O$291,6,FALSE)="","",VLOOKUP($A213,Salta!$A$8:$O$291,6,FALSE))</f>
        <v>Revisar datos</v>
      </c>
      <c r="P213" s="24" t="str">
        <f>IF(VLOOKUP($A213,Neuquén!$A$8:$O$291,15,FALSE)="Homologado",VLOOKUP($A213,Neuquén!$A$8:$O$291,10,FALSE),"")</f>
        <v/>
      </c>
      <c r="Q213" s="24" t="str">
        <f>IF(VLOOKUP($A213,'San Juan'!$A$8:$O$291,15,FALSE)="Homologado",VLOOKUP($A213,'San Juan'!$A$8:$O$291,10,FALSE),"")</f>
        <v/>
      </c>
      <c r="R213" s="24" t="str">
        <f>IF(VLOOKUP($A213,Salta!$A$8:$O$291,15,FALSE)="Homologado",VLOOKUP($A213,Salta!$A$8:$O$291,10,FALSE),"")</f>
        <v/>
      </c>
      <c r="S213" s="24" t="str">
        <f>IF(VLOOKUP($A213,'Master vs SAP'!$A$8:$O$291,4,FALSE)="","",VLOOKUP($A213,'Master vs SAP'!$A$8:$O$291,4,FALSE))</f>
        <v>2000035</v>
      </c>
      <c r="T213" s="9" t="str">
        <f>IF(VLOOKUP($A213,'Master vs SAP'!$A$8:$O$291,5,FALSE)="","",VLOOKUP($A213,'Master vs SAP'!$A$8:$O$291,5,FALSE))</f>
        <v>TENSIOMETRO ADULTO</v>
      </c>
      <c r="U213" s="9" t="str">
        <f>IF(VLOOKUP($A213,'Master vs SAP'!$A$8:$O$291,7,FALSE)="","",VLOOKUP($A213,'Master vs SAP'!$A$8:$O$291,7,FALSE))</f>
        <v>Alta</v>
      </c>
      <c r="V213" s="9" t="str">
        <f>IF(VLOOKUP($A213,'Master vs SAP'!$A$8:$O$291,6,FALSE)="","",VLOOKUP($A213,'Master vs SAP'!$A$8:$O$291,6,FALSE))</f>
        <v>Coincidencia</v>
      </c>
      <c r="W213" s="24" t="str">
        <f>IF(VLOOKUP($A213,'Master vs SAP'!$A$8:$O$291,15,FALSE)="Homologado",VLOOKUP($A213,'Master vs SAP'!$A$8:$O$291,10,FALSE),"")</f>
        <v/>
      </c>
    </row>
    <row r="214" spans="1:23" ht="61.95" customHeight="1">
      <c r="A214" s="9" t="s">
        <v>522</v>
      </c>
      <c r="B214" s="9" t="s">
        <v>464</v>
      </c>
      <c r="C214" s="9" t="s">
        <v>523</v>
      </c>
      <c r="D214" s="24" t="str">
        <f>IF(VLOOKUP($A214,Neuquén!$A$8:$O$291,4,FALSE)="","",VLOOKUP($A214,Neuquén!$A$8:$O$291,4,FALSE))</f>
        <v>413</v>
      </c>
      <c r="E214" s="9" t="str">
        <f>IF(VLOOKUP($A214,Neuquén!$A$8:$O$291,5,FALSE)="","",VLOOKUP($A214,Neuquén!$A$8:$O$291,5,FALSE))</f>
        <v>ESTETOSCOPIO</v>
      </c>
      <c r="F214" s="9" t="str">
        <f>IF(VLOOKUP($A214,Neuquén!$A$8:$O$291,7,FALSE)="","",VLOOKUP($A214,Neuquén!$A$8:$O$291,7,FALSE))</f>
        <v>Media</v>
      </c>
      <c r="G214" s="9" t="str">
        <f>IF(VLOOKUP($A214,Neuquén!$A$8:$O$291,6,FALSE)="","",VLOOKUP($A214,Neuquén!$A$8:$O$291,6,FALSE))</f>
        <v>Código compartido: revisar</v>
      </c>
      <c r="H214" s="24" t="str">
        <f>IF(VLOOKUP($A214,'San Juan'!$A$8:$O$291,4,FALSE)="","",VLOOKUP($A214,'San Juan'!$A$8:$O$291,4,FALSE))</f>
        <v>DESC175</v>
      </c>
      <c r="I214" s="9" t="str">
        <f>IF(VLOOKUP($A214,'San Juan'!$A$8:$O$291,5,FALSE)="","",VLOOKUP($A214,'San Juan'!$A$8:$O$291,5,FALSE))</f>
        <v>Estetoscopio</v>
      </c>
      <c r="J214" s="9" t="str">
        <f>IF(VLOOKUP($A214,'San Juan'!$A$8:$O$291,7,FALSE)="","",VLOOKUP($A214,'San Juan'!$A$8:$O$291,7,FALSE))</f>
        <v>Media</v>
      </c>
      <c r="K214" s="9" t="str">
        <f>IF(VLOOKUP($A214,'San Juan'!$A$8:$O$291,6,FALSE)="","",VLOOKUP($A214,'San Juan'!$A$8:$O$291,6,FALSE))</f>
        <v>Código compartido: revisar</v>
      </c>
      <c r="L214" s="24" t="str">
        <f>IF(VLOOKUP($A214,Salta!$A$8:$O$291,4,FALSE)="","",VLOOKUP($A214,Salta!$A$8:$O$291,4,FALSE))</f>
        <v/>
      </c>
      <c r="M214" s="9" t="str">
        <f>IF(VLOOKUP($A214,Salta!$A$8:$O$291,5,FALSE)="","",VLOOKUP($A214,Salta!$A$8:$O$291,5,FALSE))</f>
        <v/>
      </c>
      <c r="N214" s="9" t="str">
        <f>IF(VLOOKUP($A214,Salta!$A$8:$O$291,7,FALSE)="","",VLOOKUP($A214,Salta!$A$8:$O$291,7,FALSE))</f>
        <v>Sin coincidencia</v>
      </c>
      <c r="O214" s="9" t="str">
        <f>IF(VLOOKUP($A214,Salta!$A$8:$O$291,6,FALSE)="","",VLOOKUP($A214,Salta!$A$8:$O$291,6,FALSE))</f>
        <v>Sin coincidencia</v>
      </c>
      <c r="P214" s="24" t="str">
        <f>IF(VLOOKUP($A214,Neuquén!$A$8:$O$291,15,FALSE)="Homologado",VLOOKUP($A214,Neuquén!$A$8:$O$291,10,FALSE),"")</f>
        <v/>
      </c>
      <c r="Q214" s="24" t="str">
        <f>IF(VLOOKUP($A214,'San Juan'!$A$8:$O$291,15,FALSE)="Homologado",VLOOKUP($A214,'San Juan'!$A$8:$O$291,10,FALSE),"")</f>
        <v/>
      </c>
      <c r="R214" s="24" t="str">
        <f>IF(VLOOKUP($A214,Salta!$A$8:$O$291,15,FALSE)="Homologado",VLOOKUP($A214,Salta!$A$8:$O$291,10,FALSE),"")</f>
        <v/>
      </c>
      <c r="S214" s="24" t="str">
        <f>IF(VLOOKUP($A214,'Master vs SAP'!$A$8:$O$291,4,FALSE)="","",VLOOKUP($A214,'Master vs SAP'!$A$8:$O$291,4,FALSE))</f>
        <v>2000016</v>
      </c>
      <c r="T214" s="9" t="str">
        <f>IF(VLOOKUP($A214,'Master vs SAP'!$A$8:$O$291,5,FALSE)="","",VLOOKUP($A214,'Master vs SAP'!$A$8:$O$291,5,FALSE))</f>
        <v>ESTETOSCOPIO ADULTO</v>
      </c>
      <c r="U214" s="9" t="str">
        <f>IF(VLOOKUP($A214,'Master vs SAP'!$A$8:$O$291,7,FALSE)="","",VLOOKUP($A214,'Master vs SAP'!$A$8:$O$291,7,FALSE))</f>
        <v>Alta</v>
      </c>
      <c r="V214" s="9" t="str">
        <f>IF(VLOOKUP($A214,'Master vs SAP'!$A$8:$O$291,6,FALSE)="","",VLOOKUP($A214,'Master vs SAP'!$A$8:$O$291,6,FALSE))</f>
        <v>Coincidencia</v>
      </c>
      <c r="W214" s="24" t="str">
        <f>IF(VLOOKUP($A214,'Master vs SAP'!$A$8:$O$291,15,FALSE)="Homologado",VLOOKUP($A214,'Master vs SAP'!$A$8:$O$291,10,FALSE),"")</f>
        <v/>
      </c>
    </row>
    <row r="215" spans="1:23" ht="61.95" customHeight="1">
      <c r="A215" s="9" t="s">
        <v>524</v>
      </c>
      <c r="B215" s="9" t="s">
        <v>464</v>
      </c>
      <c r="C215" s="9" t="s">
        <v>525</v>
      </c>
      <c r="D215" s="24" t="str">
        <f>IF(VLOOKUP($A215,Neuquén!$A$8:$O$291,4,FALSE)="","",VLOOKUP($A215,Neuquén!$A$8:$O$291,4,FALSE))</f>
        <v>423</v>
      </c>
      <c r="E215" s="9" t="str">
        <f>IF(VLOOKUP($A215,Neuquén!$A$8:$O$291,5,FALSE)="","",VLOOKUP($A215,Neuquén!$A$8:$O$291,5,FALSE))</f>
        <v>TERMOMETRODIGITAL</v>
      </c>
      <c r="F215" s="9" t="str">
        <f>IF(VLOOKUP($A215,Neuquén!$A$8:$O$291,7,FALSE)="","",VLOOKUP($A215,Neuquén!$A$8:$O$291,7,FALSE))</f>
        <v>Alta</v>
      </c>
      <c r="G215" s="9" t="str">
        <f>IF(VLOOKUP($A215,Neuquén!$A$8:$O$291,6,FALSE)="","",VLOOKUP($A215,Neuquén!$A$8:$O$291,6,FALSE))</f>
        <v>Coincidencia por validar</v>
      </c>
      <c r="H215" s="24" t="str">
        <f>IF(VLOOKUP($A215,'San Juan'!$A$8:$O$291,4,FALSE)="","",VLOOKUP($A215,'San Juan'!$A$8:$O$291,4,FALSE))</f>
        <v>DESC138</v>
      </c>
      <c r="I215" s="9" t="str">
        <f>IF(VLOOKUP($A215,'San Juan'!$A$8:$O$291,5,FALSE)="","",VLOOKUP($A215,'San Juan'!$A$8:$O$291,5,FALSE))</f>
        <v>Termómetro digital</v>
      </c>
      <c r="J215" s="9" t="str">
        <f>IF(VLOOKUP($A215,'San Juan'!$A$8:$O$291,7,FALSE)="","",VLOOKUP($A215,'San Juan'!$A$8:$O$291,7,FALSE))</f>
        <v>Alta</v>
      </c>
      <c r="K215" s="9" t="str">
        <f>IF(VLOOKUP($A215,'San Juan'!$A$8:$O$291,6,FALSE)="","",VLOOKUP($A215,'San Juan'!$A$8:$O$291,6,FALSE))</f>
        <v>Coincidencia por validar</v>
      </c>
      <c r="L215" s="24" t="str">
        <f>IF(VLOOKUP($A215,Salta!$A$8:$O$291,4,FALSE)="","",VLOOKUP($A215,Salta!$A$8:$O$291,4,FALSE))</f>
        <v>234
277</v>
      </c>
      <c r="M215" s="9" t="str">
        <f>IF(VLOOKUP($A215,Salta!$A$8:$O$291,5,FALSE)="","",VLOOKUP($A215,Salta!$A$8:$O$291,5,FALSE))</f>
        <v>Termometro axilar
Termometro Infrarojo</v>
      </c>
      <c r="N215" s="9" t="str">
        <f>IF(VLOOKUP($A215,Salta!$A$8:$O$291,7,FALSE)="","",VLOOKUP($A215,Salta!$A$8:$O$291,7,FALSE))</f>
        <v>Media</v>
      </c>
      <c r="O215" s="9" t="str">
        <f>IF(VLOOKUP($A215,Salta!$A$8:$O$291,6,FALSE)="","",VLOOKUP($A215,Salta!$A$8:$O$291,6,FALSE))</f>
        <v>Revisar datos</v>
      </c>
      <c r="P215" s="24" t="str">
        <f>IF(VLOOKUP($A215,Neuquén!$A$8:$O$291,15,FALSE)="Homologado",VLOOKUP($A215,Neuquén!$A$8:$O$291,10,FALSE),"")</f>
        <v/>
      </c>
      <c r="Q215" s="24" t="str">
        <f>IF(VLOOKUP($A215,'San Juan'!$A$8:$O$291,15,FALSE)="Homologado",VLOOKUP($A215,'San Juan'!$A$8:$O$291,10,FALSE),"")</f>
        <v/>
      </c>
      <c r="R215" s="24" t="str">
        <f>IF(VLOOKUP($A215,Salta!$A$8:$O$291,15,FALSE)="Homologado",VLOOKUP($A215,Salta!$A$8:$O$291,10,FALSE),"")</f>
        <v/>
      </c>
      <c r="S215" s="24" t="str">
        <f>IF(VLOOKUP($A215,'Master vs SAP'!$A$8:$O$291,4,FALSE)="","",VLOOKUP($A215,'Master vs SAP'!$A$8:$O$291,4,FALSE))</f>
        <v>2000037</v>
      </c>
      <c r="T215" s="9" t="str">
        <f>IF(VLOOKUP($A215,'Master vs SAP'!$A$8:$O$291,5,FALSE)="","",VLOOKUP($A215,'Master vs SAP'!$A$8:$O$291,5,FALSE))</f>
        <v>TERMOMETRO DIGITAL</v>
      </c>
      <c r="U215" s="9" t="str">
        <f>IF(VLOOKUP($A215,'Master vs SAP'!$A$8:$O$291,7,FALSE)="","",VLOOKUP($A215,'Master vs SAP'!$A$8:$O$291,7,FALSE))</f>
        <v>Alta</v>
      </c>
      <c r="V215" s="9" t="str">
        <f>IF(VLOOKUP($A215,'Master vs SAP'!$A$8:$O$291,6,FALSE)="","",VLOOKUP($A215,'Master vs SAP'!$A$8:$O$291,6,FALSE))</f>
        <v>Coincidencia</v>
      </c>
      <c r="W215" s="24" t="str">
        <f>IF(VLOOKUP($A215,'Master vs SAP'!$A$8:$O$291,15,FALSE)="Homologado",VLOOKUP($A215,'Master vs SAP'!$A$8:$O$291,10,FALSE),"")</f>
        <v/>
      </c>
    </row>
    <row r="216" spans="1:23" ht="61.95" customHeight="1">
      <c r="A216" s="9" t="s">
        <v>526</v>
      </c>
      <c r="B216" s="9" t="s">
        <v>464</v>
      </c>
      <c r="C216" s="9" t="s">
        <v>527</v>
      </c>
      <c r="D216" s="24" t="str">
        <f>IF(VLOOKUP($A216,Neuquén!$A$8:$O$291,4,FALSE)="","",VLOOKUP($A216,Neuquén!$A$8:$O$291,4,FALSE))</f>
        <v>458</v>
      </c>
      <c r="E216" s="9" t="str">
        <f>IF(VLOOKUP($A216,Neuquén!$A$8:$O$291,5,FALSE)="","",VLOOKUP($A216,Neuquén!$A$8:$O$291,5,FALSE))</f>
        <v>OTOSCOPIO</v>
      </c>
      <c r="F216" s="9" t="str">
        <f>IF(VLOOKUP($A216,Neuquén!$A$8:$O$291,7,FALSE)="","",VLOOKUP($A216,Neuquén!$A$8:$O$291,7,FALSE))</f>
        <v>Alta</v>
      </c>
      <c r="G216" s="9" t="str">
        <f>IF(VLOOKUP($A216,Neuquén!$A$8:$O$291,6,FALSE)="","",VLOOKUP($A216,Neuquén!$A$8:$O$291,6,FALSE))</f>
        <v>Coincidencia por validar</v>
      </c>
      <c r="H216" s="24" t="str">
        <f>IF(VLOOKUP($A216,'San Juan'!$A$8:$O$291,4,FALSE)="","",VLOOKUP($A216,'San Juan'!$A$8:$O$291,4,FALSE))</f>
        <v>DESC94</v>
      </c>
      <c r="I216" s="9" t="str">
        <f>IF(VLOOKUP($A216,'San Juan'!$A$8:$O$291,5,FALSE)="","",VLOOKUP($A216,'San Juan'!$A$8:$O$291,5,FALSE))</f>
        <v>Otoscopio</v>
      </c>
      <c r="J216" s="9" t="str">
        <f>IF(VLOOKUP($A216,'San Juan'!$A$8:$O$291,7,FALSE)="","",VLOOKUP($A216,'San Juan'!$A$8:$O$291,7,FALSE))</f>
        <v>Alta</v>
      </c>
      <c r="K216" s="9" t="str">
        <f>IF(VLOOKUP($A216,'San Juan'!$A$8:$O$291,6,FALSE)="","",VLOOKUP($A216,'San Juan'!$A$8:$O$291,6,FALSE))</f>
        <v>Coincidencia por validar</v>
      </c>
      <c r="L216" s="24" t="str">
        <f>IF(VLOOKUP($A216,Salta!$A$8:$O$291,4,FALSE)="","",VLOOKUP($A216,Salta!$A$8:$O$291,4,FALSE))</f>
        <v>321</v>
      </c>
      <c r="M216" s="9" t="str">
        <f>IF(VLOOKUP($A216,Salta!$A$8:$O$291,5,FALSE)="","",VLOOKUP($A216,Salta!$A$8:$O$291,5,FALSE))</f>
        <v>Otoscopio C/Pilas</v>
      </c>
      <c r="N216" s="9" t="str">
        <f>IF(VLOOKUP($A216,Salta!$A$8:$O$291,7,FALSE)="","",VLOOKUP($A216,Salta!$A$8:$O$291,7,FALSE))</f>
        <v>Alta</v>
      </c>
      <c r="O216" s="9" t="str">
        <f>IF(VLOOKUP($A216,Salta!$A$8:$O$291,6,FALSE)="","",VLOOKUP($A216,Salta!$A$8:$O$291,6,FALSE))</f>
        <v>Coincidencia</v>
      </c>
      <c r="P216" s="24" t="str">
        <f>IF(VLOOKUP($A216,Neuquén!$A$8:$O$291,15,FALSE)="Homologado",VLOOKUP($A216,Neuquén!$A$8:$O$291,10,FALSE),"")</f>
        <v/>
      </c>
      <c r="Q216" s="24" t="str">
        <f>IF(VLOOKUP($A216,'San Juan'!$A$8:$O$291,15,FALSE)="Homologado",VLOOKUP($A216,'San Juan'!$A$8:$O$291,10,FALSE),"")</f>
        <v/>
      </c>
      <c r="R216" s="24" t="str">
        <f>IF(VLOOKUP($A216,Salta!$A$8:$O$291,15,FALSE)="Homologado",VLOOKUP($A216,Salta!$A$8:$O$291,10,FALSE),"")</f>
        <v/>
      </c>
      <c r="S216" s="24" t="str">
        <f>IF(VLOOKUP($A216,'Master vs SAP'!$A$8:$O$291,4,FALSE)="","",VLOOKUP($A216,'Master vs SAP'!$A$8:$O$291,4,FALSE))</f>
        <v>2000470</v>
      </c>
      <c r="T216" s="9" t="str">
        <f>IF(VLOOKUP($A216,'Master vs SAP'!$A$8:$O$291,5,FALSE)="","",VLOOKUP($A216,'Master vs SAP'!$A$8:$O$291,5,FALSE))</f>
        <v>OTOSCOPIO</v>
      </c>
      <c r="U216" s="9" t="str">
        <f>IF(VLOOKUP($A216,'Master vs SAP'!$A$8:$O$291,7,FALSE)="","",VLOOKUP($A216,'Master vs SAP'!$A$8:$O$291,7,FALSE))</f>
        <v>Alta</v>
      </c>
      <c r="V216" s="9" t="str">
        <f>IF(VLOOKUP($A216,'Master vs SAP'!$A$8:$O$291,6,FALSE)="","",VLOOKUP($A216,'Master vs SAP'!$A$8:$O$291,6,FALSE))</f>
        <v>Coincidencia</v>
      </c>
      <c r="W216" s="24" t="str">
        <f>IF(VLOOKUP($A216,'Master vs SAP'!$A$8:$O$291,15,FALSE)="Homologado",VLOOKUP($A216,'Master vs SAP'!$A$8:$O$291,10,FALSE),"")</f>
        <v/>
      </c>
    </row>
    <row r="217" spans="1:23" ht="61.95" customHeight="1">
      <c r="A217" s="9" t="s">
        <v>528</v>
      </c>
      <c r="B217" s="9" t="s">
        <v>464</v>
      </c>
      <c r="C217" s="9" t="s">
        <v>529</v>
      </c>
      <c r="D217" s="24" t="str">
        <f>IF(VLOOKUP($A217,Neuquén!$A$8:$O$291,4,FALSE)="","",VLOOKUP($A217,Neuquén!$A$8:$O$291,4,FALSE))</f>
        <v>1004</v>
      </c>
      <c r="E217" s="9" t="str">
        <f>IF(VLOOKUP($A217,Neuquén!$A$8:$O$291,5,FALSE)="","",VLOOKUP($A217,Neuquén!$A$8:$O$291,5,FALSE))</f>
        <v>LINTERNA</v>
      </c>
      <c r="F217" s="9" t="str">
        <f>IF(VLOOKUP($A217,Neuquén!$A$8:$O$291,7,FALSE)="","",VLOOKUP($A217,Neuquén!$A$8:$O$291,7,FALSE))</f>
        <v>Sin coincidencia</v>
      </c>
      <c r="G217" s="9" t="str">
        <f>IF(VLOOKUP($A217,Neuquén!$A$8:$O$291,6,FALSE)="","",VLOOKUP($A217,Neuquén!$A$8:$O$291,6,FALSE))</f>
        <v>Código compartido: revisar</v>
      </c>
      <c r="H217" s="24" t="str">
        <f>IF(VLOOKUP($A217,'San Juan'!$A$8:$O$291,4,FALSE)="","",VLOOKUP($A217,'San Juan'!$A$8:$O$291,4,FALSE))</f>
        <v/>
      </c>
      <c r="I217" s="9" t="str">
        <f>IF(VLOOKUP($A217,'San Juan'!$A$8:$O$291,5,FALSE)="","",VLOOKUP($A217,'San Juan'!$A$8:$O$291,5,FALSE))</f>
        <v/>
      </c>
      <c r="J217" s="9" t="str">
        <f>IF(VLOOKUP($A217,'San Juan'!$A$8:$O$291,7,FALSE)="","",VLOOKUP($A217,'San Juan'!$A$8:$O$291,7,FALSE))</f>
        <v>Sin coincidencia</v>
      </c>
      <c r="K217" s="9" t="str">
        <f>IF(VLOOKUP($A217,'San Juan'!$A$8:$O$291,6,FALSE)="","",VLOOKUP($A217,'San Juan'!$A$8:$O$291,6,FALSE))</f>
        <v>Sin código encontrado</v>
      </c>
      <c r="L217" s="24" t="str">
        <f>IF(VLOOKUP($A217,Salta!$A$8:$O$291,4,FALSE)="","",VLOOKUP($A217,Salta!$A$8:$O$291,4,FALSE))</f>
        <v>425</v>
      </c>
      <c r="M217" s="9" t="str">
        <f>IF(VLOOKUP($A217,Salta!$A$8:$O$291,5,FALSE)="","",VLOOKUP($A217,Salta!$A$8:$O$291,5,FALSE))</f>
        <v>Linterna de examinacion</v>
      </c>
      <c r="N217" s="9" t="str">
        <f>IF(VLOOKUP($A217,Salta!$A$8:$O$291,7,FALSE)="","",VLOOKUP($A217,Salta!$A$8:$O$291,7,FALSE))</f>
        <v>Media</v>
      </c>
      <c r="O217" s="9" t="str">
        <f>IF(VLOOKUP($A217,Salta!$A$8:$O$291,6,FALSE)="","",VLOOKUP($A217,Salta!$A$8:$O$291,6,FALSE))</f>
        <v>Revisar grupo</v>
      </c>
      <c r="P217" s="24" t="str">
        <f>IF(VLOOKUP($A217,Neuquén!$A$8:$O$291,15,FALSE)="Homologado",VLOOKUP($A217,Neuquén!$A$8:$O$291,10,FALSE),"")</f>
        <v/>
      </c>
      <c r="Q217" s="24" t="str">
        <f>IF(VLOOKUP($A217,'San Juan'!$A$8:$O$291,15,FALSE)="Homologado",VLOOKUP($A217,'San Juan'!$A$8:$O$291,10,FALSE),"")</f>
        <v/>
      </c>
      <c r="R217" s="24" t="str">
        <f>IF(VLOOKUP($A217,Salta!$A$8:$O$291,15,FALSE)="Homologado",VLOOKUP($A217,Salta!$A$8:$O$291,10,FALSE),"")</f>
        <v/>
      </c>
      <c r="S217" s="24" t="str">
        <f>IF(VLOOKUP($A217,'Master vs SAP'!$A$8:$O$291,4,FALSE)="","",VLOOKUP($A217,'Master vs SAP'!$A$8:$O$291,4,FALSE))</f>
        <v>2000483
2000030</v>
      </c>
      <c r="T217" s="9" t="str">
        <f>IF(VLOOKUP($A217,'Master vs SAP'!$A$8:$O$291,5,FALSE)="","",VLOOKUP($A217,'Master vs SAP'!$A$8:$O$291,5,FALSE))</f>
        <v>LINTERNA LAPICERA
MARTILLO DE REFLEJOS</v>
      </c>
      <c r="U217" s="9" t="str">
        <f>IF(VLOOKUP($A217,'Master vs SAP'!$A$8:$O$291,7,FALSE)="","",VLOOKUP($A217,'Master vs SAP'!$A$8:$O$291,7,FALSE))</f>
        <v>Media</v>
      </c>
      <c r="V217" s="9" t="str">
        <f>IF(VLOOKUP($A217,'Master vs SAP'!$A$8:$O$291,6,FALSE)="","",VLOOKUP($A217,'Master vs SAP'!$A$8:$O$291,6,FALSE))</f>
        <v>Revisar grupo</v>
      </c>
      <c r="W217" s="24" t="str">
        <f>IF(VLOOKUP($A217,'Master vs SAP'!$A$8:$O$291,15,FALSE)="Homologado",VLOOKUP($A217,'Master vs SAP'!$A$8:$O$291,10,FALSE),"")</f>
        <v/>
      </c>
    </row>
    <row r="218" spans="1:23" ht="61.95" customHeight="1">
      <c r="A218" s="9" t="s">
        <v>530</v>
      </c>
      <c r="B218" s="9" t="s">
        <v>464</v>
      </c>
      <c r="C218" s="9" t="s">
        <v>531</v>
      </c>
      <c r="D218" s="24" t="str">
        <f>IF(VLOOKUP($A218,Neuquén!$A$8:$O$291,4,FALSE)="","",VLOOKUP($A218,Neuquén!$A$8:$O$291,4,FALSE))</f>
        <v>406</v>
      </c>
      <c r="E218" s="9" t="str">
        <f>IF(VLOOKUP($A218,Neuquén!$A$8:$O$291,5,FALSE)="","",VLOOKUP($A218,Neuquén!$A$8:$O$291,5,FALSE))</f>
        <v>CARRODEPARO</v>
      </c>
      <c r="F218" s="9" t="str">
        <f>IF(VLOOKUP($A218,Neuquén!$A$8:$O$291,7,FALSE)="","",VLOOKUP($A218,Neuquén!$A$8:$O$291,7,FALSE))</f>
        <v>Alta</v>
      </c>
      <c r="G218" s="9" t="str">
        <f>IF(VLOOKUP($A218,Neuquén!$A$8:$O$291,6,FALSE)="","",VLOOKUP($A218,Neuquén!$A$8:$O$291,6,FALSE))</f>
        <v>Coincidencia por validar</v>
      </c>
      <c r="H218" s="24" t="str">
        <f>IF(VLOOKUP($A218,'San Juan'!$A$8:$O$291,4,FALSE)="","",VLOOKUP($A218,'San Juan'!$A$8:$O$291,4,FALSE))</f>
        <v/>
      </c>
      <c r="I218" s="9" t="str">
        <f>IF(VLOOKUP($A218,'San Juan'!$A$8:$O$291,5,FALSE)="","",VLOOKUP($A218,'San Juan'!$A$8:$O$291,5,FALSE))</f>
        <v/>
      </c>
      <c r="J218" s="9" t="str">
        <f>IF(VLOOKUP($A218,'San Juan'!$A$8:$O$291,7,FALSE)="","",VLOOKUP($A218,'San Juan'!$A$8:$O$291,7,FALSE))</f>
        <v>Sin coincidencia</v>
      </c>
      <c r="K218" s="9" t="str">
        <f>IF(VLOOKUP($A218,'San Juan'!$A$8:$O$291,6,FALSE)="","",VLOOKUP($A218,'San Juan'!$A$8:$O$291,6,FALSE))</f>
        <v>Sin código encontrado</v>
      </c>
      <c r="L218" s="24" t="str">
        <f>IF(VLOOKUP($A218,Salta!$A$8:$O$291,4,FALSE)="","",VLOOKUP($A218,Salta!$A$8:$O$291,4,FALSE))</f>
        <v/>
      </c>
      <c r="M218" s="9" t="str">
        <f>IF(VLOOKUP($A218,Salta!$A$8:$O$291,5,FALSE)="","",VLOOKUP($A218,Salta!$A$8:$O$291,5,FALSE))</f>
        <v/>
      </c>
      <c r="N218" s="9" t="str">
        <f>IF(VLOOKUP($A218,Salta!$A$8:$O$291,7,FALSE)="","",VLOOKUP($A218,Salta!$A$8:$O$291,7,FALSE))</f>
        <v>Sin coincidencia</v>
      </c>
      <c r="O218" s="9" t="str">
        <f>IF(VLOOKUP($A218,Salta!$A$8:$O$291,6,FALSE)="","",VLOOKUP($A218,Salta!$A$8:$O$291,6,FALSE))</f>
        <v>Sin coincidencia</v>
      </c>
      <c r="P218" s="24" t="str">
        <f>IF(VLOOKUP($A218,Neuquén!$A$8:$O$291,15,FALSE)="Homologado",VLOOKUP($A218,Neuquén!$A$8:$O$291,10,FALSE),"")</f>
        <v/>
      </c>
      <c r="Q218" s="24" t="str">
        <f>IF(VLOOKUP($A218,'San Juan'!$A$8:$O$291,15,FALSE)="Homologado",VLOOKUP($A218,'San Juan'!$A$8:$O$291,10,FALSE),"")</f>
        <v/>
      </c>
      <c r="R218" s="24" t="str">
        <f>IF(VLOOKUP($A218,Salta!$A$8:$O$291,15,FALSE)="Homologado",VLOOKUP($A218,Salta!$A$8:$O$291,10,FALSE),"")</f>
        <v/>
      </c>
      <c r="S218" s="24" t="str">
        <f>IF(VLOOKUP($A218,'Master vs SAP'!$A$8:$O$291,4,FALSE)="","",VLOOKUP($A218,'Master vs SAP'!$A$8:$O$291,4,FALSE))</f>
        <v>5001239</v>
      </c>
      <c r="T218" s="9" t="str">
        <f>IF(VLOOKUP($A218,'Master vs SAP'!$A$8:$O$291,5,FALSE)="","",VLOOKUP($A218,'Master vs SAP'!$A$8:$O$291,5,FALSE))</f>
        <v>CARRO DE PARO</v>
      </c>
      <c r="U218" s="9" t="str">
        <f>IF(VLOOKUP($A218,'Master vs SAP'!$A$8:$O$291,7,FALSE)="","",VLOOKUP($A218,'Master vs SAP'!$A$8:$O$291,7,FALSE))</f>
        <v>Alta</v>
      </c>
      <c r="V218" s="9" t="str">
        <f>IF(VLOOKUP($A218,'Master vs SAP'!$A$8:$O$291,6,FALSE)="","",VLOOKUP($A218,'Master vs SAP'!$A$8:$O$291,6,FALSE))</f>
        <v>Coincidencia</v>
      </c>
      <c r="W218" s="24" t="str">
        <f>IF(VLOOKUP($A218,'Master vs SAP'!$A$8:$O$291,15,FALSE)="Homologado",VLOOKUP($A218,'Master vs SAP'!$A$8:$O$291,10,FALSE),"")</f>
        <v/>
      </c>
    </row>
    <row r="219" spans="1:23" ht="61.95" customHeight="1">
      <c r="A219" s="9" t="s">
        <v>532</v>
      </c>
      <c r="B219" s="9" t="s">
        <v>464</v>
      </c>
      <c r="C219" s="9" t="s">
        <v>533</v>
      </c>
      <c r="D219" s="24" t="str">
        <f>IF(VLOOKUP($A219,Neuquén!$A$8:$O$291,4,FALSE)="","",VLOOKUP($A219,Neuquén!$A$8:$O$291,4,FALSE))</f>
        <v>1005</v>
      </c>
      <c r="E219" s="9" t="str">
        <f>IF(VLOOKUP($A219,Neuquén!$A$8:$O$291,5,FALSE)="","",VLOOKUP($A219,Neuquén!$A$8:$O$291,5,FALSE))</f>
        <v>INTRAOSEA</v>
      </c>
      <c r="F219" s="9" t="str">
        <f>IF(VLOOKUP($A219,Neuquén!$A$8:$O$291,7,FALSE)="","",VLOOKUP($A219,Neuquén!$A$8:$O$291,7,FALSE))</f>
        <v>Sin coincidencia</v>
      </c>
      <c r="G219" s="9" t="str">
        <f>IF(VLOOKUP($A219,Neuquén!$A$8:$O$291,6,FALSE)="","",VLOOKUP($A219,Neuquén!$A$8:$O$291,6,FALSE))</f>
        <v>Código sin equivalencia validada</v>
      </c>
      <c r="H219" s="24" t="str">
        <f>IF(VLOOKUP($A219,'San Juan'!$A$8:$O$291,4,FALSE)="","",VLOOKUP($A219,'San Juan'!$A$8:$O$291,4,FALSE))</f>
        <v/>
      </c>
      <c r="I219" s="9" t="str">
        <f>IF(VLOOKUP($A219,'San Juan'!$A$8:$O$291,5,FALSE)="","",VLOOKUP($A219,'San Juan'!$A$8:$O$291,5,FALSE))</f>
        <v/>
      </c>
      <c r="J219" s="9" t="str">
        <f>IF(VLOOKUP($A219,'San Juan'!$A$8:$O$291,7,FALSE)="","",VLOOKUP($A219,'San Juan'!$A$8:$O$291,7,FALSE))</f>
        <v>Sin coincidencia</v>
      </c>
      <c r="K219" s="9" t="str">
        <f>IF(VLOOKUP($A219,'San Juan'!$A$8:$O$291,6,FALSE)="","",VLOOKUP($A219,'San Juan'!$A$8:$O$291,6,FALSE))</f>
        <v>Sin código encontrado</v>
      </c>
      <c r="L219" s="24" t="str">
        <f>IF(VLOOKUP($A219,Salta!$A$8:$O$291,4,FALSE)="","",VLOOKUP($A219,Salta!$A$8:$O$291,4,FALSE))</f>
        <v/>
      </c>
      <c r="M219" s="9" t="str">
        <f>IF(VLOOKUP($A219,Salta!$A$8:$O$291,5,FALSE)="","",VLOOKUP($A219,Salta!$A$8:$O$291,5,FALSE))</f>
        <v/>
      </c>
      <c r="N219" s="9" t="str">
        <f>IF(VLOOKUP($A219,Salta!$A$8:$O$291,7,FALSE)="","",VLOOKUP($A219,Salta!$A$8:$O$291,7,FALSE))</f>
        <v>Sin coincidencia</v>
      </c>
      <c r="O219" s="9" t="str">
        <f>IF(VLOOKUP($A219,Salta!$A$8:$O$291,6,FALSE)="","",VLOOKUP($A219,Salta!$A$8:$O$291,6,FALSE))</f>
        <v>Sin coincidencia</v>
      </c>
      <c r="P219" s="24" t="str">
        <f>IF(VLOOKUP($A219,Neuquén!$A$8:$O$291,15,FALSE)="Homologado",VLOOKUP($A219,Neuquén!$A$8:$O$291,10,FALSE),"")</f>
        <v/>
      </c>
      <c r="Q219" s="24" t="str">
        <f>IF(VLOOKUP($A219,'San Juan'!$A$8:$O$291,15,FALSE)="Homologado",VLOOKUP($A219,'San Juan'!$A$8:$O$291,10,FALSE),"")</f>
        <v/>
      </c>
      <c r="R219" s="24" t="str">
        <f>IF(VLOOKUP($A219,Salta!$A$8:$O$291,15,FALSE)="Homologado",VLOOKUP($A219,Salta!$A$8:$O$291,10,FALSE),"")</f>
        <v/>
      </c>
      <c r="S219" s="24" t="str">
        <f>IF(VLOOKUP($A219,'Master vs SAP'!$A$8:$O$291,4,FALSE)="","",VLOOKUP($A219,'Master vs SAP'!$A$8:$O$291,4,FALSE))</f>
        <v>2001529</v>
      </c>
      <c r="T219" s="9" t="str">
        <f>IF(VLOOKUP($A219,'Master vs SAP'!$A$8:$O$291,5,FALSE)="","",VLOOKUP($A219,'Master vs SAP'!$A$8:$O$291,5,FALSE))</f>
        <v>ACCESO VASCULAR INTRAOSEO</v>
      </c>
      <c r="U219" s="9" t="str">
        <f>IF(VLOOKUP($A219,'Master vs SAP'!$A$8:$O$291,7,FALSE)="","",VLOOKUP($A219,'Master vs SAP'!$A$8:$O$291,7,FALSE))</f>
        <v>Media</v>
      </c>
      <c r="V219" s="9" t="str">
        <f>IF(VLOOKUP($A219,'Master vs SAP'!$A$8:$O$291,6,FALSE)="","",VLOOKUP($A219,'Master vs SAP'!$A$8:$O$291,6,FALSE))</f>
        <v>Revisar datos</v>
      </c>
      <c r="W219" s="24" t="str">
        <f>IF(VLOOKUP($A219,'Master vs SAP'!$A$8:$O$291,15,FALSE)="Homologado",VLOOKUP($A219,'Master vs SAP'!$A$8:$O$291,10,FALSE),"")</f>
        <v/>
      </c>
    </row>
    <row r="220" spans="1:23" ht="61.95" customHeight="1">
      <c r="A220" s="9" t="s">
        <v>534</v>
      </c>
      <c r="B220" s="9" t="s">
        <v>464</v>
      </c>
      <c r="C220" s="9" t="s">
        <v>535</v>
      </c>
      <c r="D220" s="24" t="str">
        <f>IF(VLOOKUP($A220,Neuquén!$A$8:$O$291,4,FALSE)="","",VLOOKUP($A220,Neuquén!$A$8:$O$291,4,FALSE))</f>
        <v>407</v>
      </c>
      <c r="E220" s="9" t="str">
        <f>IF(VLOOKUP($A220,Neuquén!$A$8:$O$291,5,FALSE)="","",VLOOKUP($A220,Neuquén!$A$8:$O$291,5,FALSE))</f>
        <v>CAMILLAARTICULADA</v>
      </c>
      <c r="F220" s="9" t="str">
        <f>IF(VLOOKUP($A220,Neuquén!$A$8:$O$291,7,FALSE)="","",VLOOKUP($A220,Neuquén!$A$8:$O$291,7,FALSE))</f>
        <v>Media</v>
      </c>
      <c r="G220" s="9" t="str">
        <f>IF(VLOOKUP($A220,Neuquén!$A$8:$O$291,6,FALSE)="","",VLOOKUP($A220,Neuquén!$A$8:$O$291,6,FALSE))</f>
        <v>Código compartido: revisar</v>
      </c>
      <c r="H220" s="24" t="str">
        <f>IF(VLOOKUP($A220,'San Juan'!$A$8:$O$291,4,FALSE)="","",VLOOKUP($A220,'San Juan'!$A$8:$O$291,4,FALSE))</f>
        <v/>
      </c>
      <c r="I220" s="9" t="str">
        <f>IF(VLOOKUP($A220,'San Juan'!$A$8:$O$291,5,FALSE)="","",VLOOKUP($A220,'San Juan'!$A$8:$O$291,5,FALSE))</f>
        <v/>
      </c>
      <c r="J220" s="9" t="str">
        <f>IF(VLOOKUP($A220,'San Juan'!$A$8:$O$291,7,FALSE)="","",VLOOKUP($A220,'San Juan'!$A$8:$O$291,7,FALSE))</f>
        <v>Sin coincidencia</v>
      </c>
      <c r="K220" s="9" t="str">
        <f>IF(VLOOKUP($A220,'San Juan'!$A$8:$O$291,6,FALSE)="","",VLOOKUP($A220,'San Juan'!$A$8:$O$291,6,FALSE))</f>
        <v>Sin código encontrado</v>
      </c>
      <c r="L220" s="24" t="str">
        <f>IF(VLOOKUP($A220,Salta!$A$8:$O$291,4,FALSE)="","",VLOOKUP($A220,Salta!$A$8:$O$291,4,FALSE))</f>
        <v/>
      </c>
      <c r="M220" s="9" t="str">
        <f>IF(VLOOKUP($A220,Salta!$A$8:$O$291,5,FALSE)="","",VLOOKUP($A220,Salta!$A$8:$O$291,5,FALSE))</f>
        <v/>
      </c>
      <c r="N220" s="9" t="str">
        <f>IF(VLOOKUP($A220,Salta!$A$8:$O$291,7,FALSE)="","",VLOOKUP($A220,Salta!$A$8:$O$291,7,FALSE))</f>
        <v>Sin coincidencia</v>
      </c>
      <c r="O220" s="9" t="str">
        <f>IF(VLOOKUP($A220,Salta!$A$8:$O$291,6,FALSE)="","",VLOOKUP($A220,Salta!$A$8:$O$291,6,FALSE))</f>
        <v>Sin coincidencia</v>
      </c>
      <c r="P220" s="24" t="str">
        <f>IF(VLOOKUP($A220,Neuquén!$A$8:$O$291,15,FALSE)="Homologado",VLOOKUP($A220,Neuquén!$A$8:$O$291,10,FALSE),"")</f>
        <v/>
      </c>
      <c r="Q220" s="24" t="str">
        <f>IF(VLOOKUP($A220,'San Juan'!$A$8:$O$291,15,FALSE)="Homologado",VLOOKUP($A220,'San Juan'!$A$8:$O$291,10,FALSE),"")</f>
        <v/>
      </c>
      <c r="R220" s="24" t="str">
        <f>IF(VLOOKUP($A220,Salta!$A$8:$O$291,15,FALSE)="Homologado",VLOOKUP($A220,Salta!$A$8:$O$291,10,FALSE),"")</f>
        <v/>
      </c>
      <c r="S220" s="24" t="str">
        <f>IF(VLOOKUP($A220,'Master vs SAP'!$A$8:$O$291,4,FALSE)="","",VLOOKUP($A220,'Master vs SAP'!$A$8:$O$291,4,FALSE))</f>
        <v>8000032
8000446</v>
      </c>
      <c r="T220" s="9" t="str">
        <f>IF(VLOOKUP($A220,'Master vs SAP'!$A$8:$O$291,5,FALSE)="","",VLOOKUP($A220,'Master vs SAP'!$A$8:$O$291,5,FALSE))</f>
        <v>CAMILLA DE TRANSPORTE
CAMILLA TRASLADO PARDO ATICA</v>
      </c>
      <c r="U220" s="9" t="str">
        <f>IF(VLOOKUP($A220,'Master vs SAP'!$A$8:$O$291,7,FALSE)="","",VLOOKUP($A220,'Master vs SAP'!$A$8:$O$291,7,FALSE))</f>
        <v>Media</v>
      </c>
      <c r="V220" s="9" t="str">
        <f>IF(VLOOKUP($A220,'Master vs SAP'!$A$8:$O$291,6,FALSE)="","",VLOOKUP($A220,'Master vs SAP'!$A$8:$O$291,6,FALSE))</f>
        <v>Revisar datos</v>
      </c>
      <c r="W220" s="24" t="str">
        <f>IF(VLOOKUP($A220,'Master vs SAP'!$A$8:$O$291,15,FALSE)="Homologado",VLOOKUP($A220,'Master vs SAP'!$A$8:$O$291,10,FALSE),"")</f>
        <v/>
      </c>
    </row>
    <row r="221" spans="1:23" ht="61.95" customHeight="1">
      <c r="A221" s="9" t="s">
        <v>536</v>
      </c>
      <c r="B221" s="9" t="s">
        <v>537</v>
      </c>
      <c r="C221" s="9" t="s">
        <v>538</v>
      </c>
      <c r="D221" s="24" t="str">
        <f>IF(VLOOKUP($A221,Neuquén!$A$8:$O$291,4,FALSE)="","",VLOOKUP($A221,Neuquén!$A$8:$O$291,4,FALSE))</f>
        <v>379</v>
      </c>
      <c r="E221" s="9" t="str">
        <f>IF(VLOOKUP($A221,Neuquén!$A$8:$O$291,5,FALSE)="","",VLOOKUP($A221,Neuquén!$A$8:$O$291,5,FALSE))</f>
        <v>AMBU</v>
      </c>
      <c r="F221" s="9" t="str">
        <f>IF(VLOOKUP($A221,Neuquén!$A$8:$O$291,7,FALSE)="","",VLOOKUP($A221,Neuquén!$A$8:$O$291,7,FALSE))</f>
        <v>Media</v>
      </c>
      <c r="G221" s="9" t="str">
        <f>IF(VLOOKUP($A221,Neuquén!$A$8:$O$291,6,FALSE)="","",VLOOKUP($A221,Neuquén!$A$8:$O$291,6,FALSE))</f>
        <v>Código compartido: revisar</v>
      </c>
      <c r="H221" s="24" t="str">
        <f>IF(VLOOKUP($A221,'San Juan'!$A$8:$O$291,4,FALSE)="","",VLOOKUP($A221,'San Juan'!$A$8:$O$291,4,FALSE))</f>
        <v/>
      </c>
      <c r="I221" s="9" t="str">
        <f>IF(VLOOKUP($A221,'San Juan'!$A$8:$O$291,5,FALSE)="","",VLOOKUP($A221,'San Juan'!$A$8:$O$291,5,FALSE))</f>
        <v/>
      </c>
      <c r="J221" s="9" t="str">
        <f>IF(VLOOKUP($A221,'San Juan'!$A$8:$O$291,7,FALSE)="","",VLOOKUP($A221,'San Juan'!$A$8:$O$291,7,FALSE))</f>
        <v>Sin coincidencia</v>
      </c>
      <c r="K221" s="9" t="str">
        <f>IF(VLOOKUP($A221,'San Juan'!$A$8:$O$291,6,FALSE)="","",VLOOKUP($A221,'San Juan'!$A$8:$O$291,6,FALSE))</f>
        <v>Sin código encontrado</v>
      </c>
      <c r="L221" s="24" t="str">
        <f>IF(VLOOKUP($A221,Salta!$A$8:$O$291,4,FALSE)="","",VLOOKUP($A221,Salta!$A$8:$O$291,4,FALSE))</f>
        <v>207</v>
      </c>
      <c r="M221" s="9" t="str">
        <f>IF(VLOOKUP($A221,Salta!$A$8:$O$291,5,FALSE)="","",VLOOKUP($A221,Salta!$A$8:$O$291,5,FALSE))</f>
        <v>Resucitador Manual Tipo Ambu</v>
      </c>
      <c r="N221" s="9" t="str">
        <f>IF(VLOOKUP($A221,Salta!$A$8:$O$291,7,FALSE)="","",VLOOKUP($A221,Salta!$A$8:$O$291,7,FALSE))</f>
        <v>Media</v>
      </c>
      <c r="O221" s="9" t="str">
        <f>IF(VLOOKUP($A221,Salta!$A$8:$O$291,6,FALSE)="","",VLOOKUP($A221,Salta!$A$8:$O$291,6,FALSE))</f>
        <v>Revisar datos</v>
      </c>
      <c r="P221" s="24" t="str">
        <f>IF(VLOOKUP($A221,Neuquén!$A$8:$O$291,15,FALSE)="Homologado",VLOOKUP($A221,Neuquén!$A$8:$O$291,10,FALSE),"")</f>
        <v/>
      </c>
      <c r="Q221" s="24" t="str">
        <f>IF(VLOOKUP($A221,'San Juan'!$A$8:$O$291,15,FALSE)="Homologado",VLOOKUP($A221,'San Juan'!$A$8:$O$291,10,FALSE),"")</f>
        <v/>
      </c>
      <c r="R221" s="24" t="str">
        <f>IF(VLOOKUP($A221,Salta!$A$8:$O$291,15,FALSE)="Homologado",VLOOKUP($A221,Salta!$A$8:$O$291,10,FALSE),"")</f>
        <v/>
      </c>
      <c r="S221" s="24" t="str">
        <f>IF(VLOOKUP($A221,'Master vs SAP'!$A$8:$O$291,4,FALSE)="","",VLOOKUP($A221,'Master vs SAP'!$A$8:$O$291,4,FALSE))</f>
        <v>2000039</v>
      </c>
      <c r="T221" s="9" t="str">
        <f>IF(VLOOKUP($A221,'Master vs SAP'!$A$8:$O$291,5,FALSE)="","",VLOOKUP($A221,'Master vs SAP'!$A$8:$O$291,5,FALSE))</f>
        <v>BOLSA DE RESUCITACION MANUAL (TIPO AMBU)</v>
      </c>
      <c r="U221" s="9" t="str">
        <f>IF(VLOOKUP($A221,'Master vs SAP'!$A$8:$O$291,7,FALSE)="","",VLOOKUP($A221,'Master vs SAP'!$A$8:$O$291,7,FALSE))</f>
        <v>Media</v>
      </c>
      <c r="V221" s="9" t="str">
        <f>IF(VLOOKUP($A221,'Master vs SAP'!$A$8:$O$291,6,FALSE)="","",VLOOKUP($A221,'Master vs SAP'!$A$8:$O$291,6,FALSE))</f>
        <v>Revisar datos</v>
      </c>
      <c r="W221" s="24" t="str">
        <f>IF(VLOOKUP($A221,'Master vs SAP'!$A$8:$O$291,15,FALSE)="Homologado",VLOOKUP($A221,'Master vs SAP'!$A$8:$O$291,10,FALSE),"")</f>
        <v/>
      </c>
    </row>
    <row r="222" spans="1:23" ht="61.95" customHeight="1">
      <c r="A222" s="9" t="s">
        <v>539</v>
      </c>
      <c r="B222" s="9" t="s">
        <v>537</v>
      </c>
      <c r="C222" s="9" t="s">
        <v>540</v>
      </c>
      <c r="D222" s="24" t="str">
        <f>IF(VLOOKUP($A222,Neuquén!$A$8:$O$291,4,FALSE)="","",VLOOKUP($A222,Neuquén!$A$8:$O$291,4,FALSE))</f>
        <v>318</v>
      </c>
      <c r="E222" s="9" t="str">
        <f>IF(VLOOKUP($A222,Neuquén!$A$8:$O$291,5,FALSE)="","",VLOOKUP($A222,Neuquén!$A$8:$O$291,5,FALSE))</f>
        <v>MASCARAC/RESERVORIOnousar</v>
      </c>
      <c r="F222" s="9" t="str">
        <f>IF(VLOOKUP($A222,Neuquén!$A$8:$O$291,7,FALSE)="","",VLOOKUP($A222,Neuquén!$A$8:$O$291,7,FALSE))</f>
        <v>Media</v>
      </c>
      <c r="G222" s="9" t="str">
        <f>IF(VLOOKUP($A222,Neuquén!$A$8:$O$291,6,FALSE)="","",VLOOKUP($A222,Neuquén!$A$8:$O$291,6,FALSE))</f>
        <v>Código compartido: revisar</v>
      </c>
      <c r="H222" s="24" t="str">
        <f>IF(VLOOKUP($A222,'San Juan'!$A$8:$O$291,4,FALSE)="","",VLOOKUP($A222,'San Juan'!$A$8:$O$291,4,FALSE))</f>
        <v>DESC93</v>
      </c>
      <c r="I222" s="9" t="str">
        <f>IF(VLOOKUP($A222,'San Juan'!$A$8:$O$291,5,FALSE)="","",VLOOKUP($A222,'San Juan'!$A$8:$O$291,5,FALSE))</f>
        <v>Mascaras para oxigeno c/ reservorio</v>
      </c>
      <c r="J222" s="9" t="str">
        <f>IF(VLOOKUP($A222,'San Juan'!$A$8:$O$291,7,FALSE)="","",VLOOKUP($A222,'San Juan'!$A$8:$O$291,7,FALSE))</f>
        <v>Media</v>
      </c>
      <c r="K222" s="9" t="str">
        <f>IF(VLOOKUP($A222,'San Juan'!$A$8:$O$291,6,FALSE)="","",VLOOKUP($A222,'San Juan'!$A$8:$O$291,6,FALSE))</f>
        <v>Código compartido: revisar</v>
      </c>
      <c r="L222" s="24" t="str">
        <f>IF(VLOOKUP($A222,Salta!$A$8:$O$291,4,FALSE)="","",VLOOKUP($A222,Salta!$A$8:$O$291,4,FALSE))</f>
        <v>182</v>
      </c>
      <c r="M222" s="9" t="str">
        <f>IF(VLOOKUP($A222,Salta!$A$8:$O$291,5,FALSE)="","",VLOOKUP($A222,Salta!$A$8:$O$291,5,FALSE))</f>
        <v>Máscaras para oxigeno c/ reservorio</v>
      </c>
      <c r="N222" s="9" t="str">
        <f>IF(VLOOKUP($A222,Salta!$A$8:$O$291,7,FALSE)="","",VLOOKUP($A222,Salta!$A$8:$O$291,7,FALSE))</f>
        <v>Media</v>
      </c>
      <c r="O222" s="9" t="str">
        <f>IF(VLOOKUP($A222,Salta!$A$8:$O$291,6,FALSE)="","",VLOOKUP($A222,Salta!$A$8:$O$291,6,FALSE))</f>
        <v>Revisar datos</v>
      </c>
      <c r="P222" s="24" t="str">
        <f>IF(VLOOKUP($A222,Neuquén!$A$8:$O$291,15,FALSE)="Homologado",VLOOKUP($A222,Neuquén!$A$8:$O$291,10,FALSE),"")</f>
        <v/>
      </c>
      <c r="Q222" s="24" t="str">
        <f>IF(VLOOKUP($A222,'San Juan'!$A$8:$O$291,15,FALSE)="Homologado",VLOOKUP($A222,'San Juan'!$A$8:$O$291,10,FALSE),"")</f>
        <v/>
      </c>
      <c r="R222" s="24" t="str">
        <f>IF(VLOOKUP($A222,Salta!$A$8:$O$291,15,FALSE)="Homologado",VLOOKUP($A222,Salta!$A$8:$O$291,10,FALSE),"")</f>
        <v/>
      </c>
      <c r="S222" s="24" t="str">
        <f>IF(VLOOKUP($A222,'Master vs SAP'!$A$8:$O$291,4,FALSE)="","",VLOOKUP($A222,'Master vs SAP'!$A$8:$O$291,4,FALSE))</f>
        <v>2000363</v>
      </c>
      <c r="T222" s="9" t="str">
        <f>IF(VLOOKUP($A222,'Master vs SAP'!$A$8:$O$291,5,FALSE)="","",VLOOKUP($A222,'Master vs SAP'!$A$8:$O$291,5,FALSE))</f>
        <v>MASCARA PARA O2 ADULTO CON RESERVORIO</v>
      </c>
      <c r="U222" s="9" t="str">
        <f>IF(VLOOKUP($A222,'Master vs SAP'!$A$8:$O$291,7,FALSE)="","",VLOOKUP($A222,'Master vs SAP'!$A$8:$O$291,7,FALSE))</f>
        <v>Alta</v>
      </c>
      <c r="V222" s="9" t="str">
        <f>IF(VLOOKUP($A222,'Master vs SAP'!$A$8:$O$291,6,FALSE)="","",VLOOKUP($A222,'Master vs SAP'!$A$8:$O$291,6,FALSE))</f>
        <v>Coincidencia</v>
      </c>
      <c r="W222" s="24" t="str">
        <f>IF(VLOOKUP($A222,'Master vs SAP'!$A$8:$O$291,15,FALSE)="Homologado",VLOOKUP($A222,'Master vs SAP'!$A$8:$O$291,10,FALSE),"")</f>
        <v/>
      </c>
    </row>
    <row r="223" spans="1:23" ht="61.95" customHeight="1">
      <c r="A223" s="9" t="s">
        <v>541</v>
      </c>
      <c r="B223" s="9" t="s">
        <v>537</v>
      </c>
      <c r="C223" s="9" t="s">
        <v>542</v>
      </c>
      <c r="D223" s="24" t="str">
        <f>IF(VLOOKUP($A223,Neuquén!$A$8:$O$291,4,FALSE)="","",VLOOKUP($A223,Neuquén!$A$8:$O$291,4,FALSE))</f>
        <v>345</v>
      </c>
      <c r="E223" s="9" t="str">
        <f>IF(VLOOKUP($A223,Neuquén!$A$8:$O$291,5,FALSE)="","",VLOOKUP($A223,Neuquén!$A$8:$O$291,5,FALSE))</f>
        <v>mascaranebulizar</v>
      </c>
      <c r="F223" s="9" t="str">
        <f>IF(VLOOKUP($A223,Neuquén!$A$8:$O$291,7,FALSE)="","",VLOOKUP($A223,Neuquén!$A$8:$O$291,7,FALSE))</f>
        <v>Media</v>
      </c>
      <c r="G223" s="9" t="str">
        <f>IF(VLOOKUP($A223,Neuquén!$A$8:$O$291,6,FALSE)="","",VLOOKUP($A223,Neuquén!$A$8:$O$291,6,FALSE))</f>
        <v>Código compartido: revisar</v>
      </c>
      <c r="H223" s="24" t="str">
        <f>IF(VLOOKUP($A223,'San Juan'!$A$8:$O$291,4,FALSE)="","",VLOOKUP($A223,'San Juan'!$A$8:$O$291,4,FALSE))</f>
        <v>DESC92</v>
      </c>
      <c r="I223" s="9" t="str">
        <f>IF(VLOOKUP($A223,'San Juan'!$A$8:$O$291,5,FALSE)="","",VLOOKUP($A223,'San Juan'!$A$8:$O$291,5,FALSE))</f>
        <v>Mascaras para nebulizar</v>
      </c>
      <c r="J223" s="9" t="str">
        <f>IF(VLOOKUP($A223,'San Juan'!$A$8:$O$291,7,FALSE)="","",VLOOKUP($A223,'San Juan'!$A$8:$O$291,7,FALSE))</f>
        <v>Media</v>
      </c>
      <c r="K223" s="9" t="str">
        <f>IF(VLOOKUP($A223,'San Juan'!$A$8:$O$291,6,FALSE)="","",VLOOKUP($A223,'San Juan'!$A$8:$O$291,6,FALSE))</f>
        <v>Código compartido: revisar</v>
      </c>
      <c r="L223" s="24" t="str">
        <f>IF(VLOOKUP($A223,Salta!$A$8:$O$291,4,FALSE)="","",VLOOKUP($A223,Salta!$A$8:$O$291,4,FALSE))</f>
        <v>181</v>
      </c>
      <c r="M223" s="9" t="str">
        <f>IF(VLOOKUP($A223,Salta!$A$8:$O$291,5,FALSE)="","",VLOOKUP($A223,Salta!$A$8:$O$291,5,FALSE))</f>
        <v>Mascara NBZ</v>
      </c>
      <c r="N223" s="9" t="str">
        <f>IF(VLOOKUP($A223,Salta!$A$8:$O$291,7,FALSE)="","",VLOOKUP($A223,Salta!$A$8:$O$291,7,FALSE))</f>
        <v>Media</v>
      </c>
      <c r="O223" s="9" t="str">
        <f>IF(VLOOKUP($A223,Salta!$A$8:$O$291,6,FALSE)="","",VLOOKUP($A223,Salta!$A$8:$O$291,6,FALSE))</f>
        <v>Revisar datos</v>
      </c>
      <c r="P223" s="24" t="str">
        <f>IF(VLOOKUP($A223,Neuquén!$A$8:$O$291,15,FALSE)="Homologado",VLOOKUP($A223,Neuquén!$A$8:$O$291,10,FALSE),"")</f>
        <v/>
      </c>
      <c r="Q223" s="24" t="str">
        <f>IF(VLOOKUP($A223,'San Juan'!$A$8:$O$291,15,FALSE)="Homologado",VLOOKUP($A223,'San Juan'!$A$8:$O$291,10,FALSE),"")</f>
        <v/>
      </c>
      <c r="R223" s="24" t="str">
        <f>IF(VLOOKUP($A223,Salta!$A$8:$O$291,15,FALSE)="Homologado",VLOOKUP($A223,Salta!$A$8:$O$291,10,FALSE),"")</f>
        <v/>
      </c>
      <c r="S223" s="24" t="str">
        <f>IF(VLOOKUP($A223,'Master vs SAP'!$A$8:$O$291,4,FALSE)="","",VLOOKUP($A223,'Master vs SAP'!$A$8:$O$291,4,FALSE))</f>
        <v>2000090</v>
      </c>
      <c r="T223" s="9" t="str">
        <f>IF(VLOOKUP($A223,'Master vs SAP'!$A$8:$O$291,5,FALSE)="","",VLOOKUP($A223,'Master vs SAP'!$A$8:$O$291,5,FALSE))</f>
        <v>MASCARA PARA NEBULIZAR ADULTO</v>
      </c>
      <c r="U223" s="9" t="str">
        <f>IF(VLOOKUP($A223,'Master vs SAP'!$A$8:$O$291,7,FALSE)="","",VLOOKUP($A223,'Master vs SAP'!$A$8:$O$291,7,FALSE))</f>
        <v>Alta</v>
      </c>
      <c r="V223" s="9" t="str">
        <f>IF(VLOOKUP($A223,'Master vs SAP'!$A$8:$O$291,6,FALSE)="","",VLOOKUP($A223,'Master vs SAP'!$A$8:$O$291,6,FALSE))</f>
        <v>Coincidencia</v>
      </c>
      <c r="W223" s="24" t="str">
        <f>IF(VLOOKUP($A223,'Master vs SAP'!$A$8:$O$291,15,FALSE)="Homologado",VLOOKUP($A223,'Master vs SAP'!$A$8:$O$291,10,FALSE),"")</f>
        <v/>
      </c>
    </row>
    <row r="224" spans="1:23" ht="61.95" customHeight="1">
      <c r="A224" s="9" t="s">
        <v>543</v>
      </c>
      <c r="B224" s="9" t="s">
        <v>537</v>
      </c>
      <c r="C224" s="9" t="s">
        <v>544</v>
      </c>
      <c r="D224" s="24" t="str">
        <f>IF(VLOOKUP($A224,Neuquén!$A$8:$O$291,4,FALSE)="","",VLOOKUP($A224,Neuquén!$A$8:$O$291,4,FALSE))</f>
        <v>284</v>
      </c>
      <c r="E224" s="9" t="str">
        <f>IF(VLOOKUP($A224,Neuquén!$A$8:$O$291,5,FALSE)="","",VLOOKUP($A224,Neuquén!$A$8:$O$291,5,FALSE))</f>
        <v>MascaralaringeaN°5</v>
      </c>
      <c r="F224" s="9" t="str">
        <f>IF(VLOOKUP($A224,Neuquén!$A$8:$O$291,7,FALSE)="","",VLOOKUP($A224,Neuquén!$A$8:$O$291,7,FALSE))</f>
        <v>Media</v>
      </c>
      <c r="G224" s="9" t="str">
        <f>IF(VLOOKUP($A224,Neuquén!$A$8:$O$291,6,FALSE)="","",VLOOKUP($A224,Neuquén!$A$8:$O$291,6,FALSE))</f>
        <v>Código compartido: revisar</v>
      </c>
      <c r="H224" s="24" t="str">
        <f>IF(VLOOKUP($A224,'San Juan'!$A$8:$O$291,4,FALSE)="","",VLOOKUP($A224,'San Juan'!$A$8:$O$291,4,FALSE))</f>
        <v/>
      </c>
      <c r="I224" s="9" t="str">
        <f>IF(VLOOKUP($A224,'San Juan'!$A$8:$O$291,5,FALSE)="","",VLOOKUP($A224,'San Juan'!$A$8:$O$291,5,FALSE))</f>
        <v/>
      </c>
      <c r="J224" s="9" t="str">
        <f>IF(VLOOKUP($A224,'San Juan'!$A$8:$O$291,7,FALSE)="","",VLOOKUP($A224,'San Juan'!$A$8:$O$291,7,FALSE))</f>
        <v>Sin coincidencia</v>
      </c>
      <c r="K224" s="9" t="str">
        <f>IF(VLOOKUP($A224,'San Juan'!$A$8:$O$291,6,FALSE)="","",VLOOKUP($A224,'San Juan'!$A$8:$O$291,6,FALSE))</f>
        <v>Sin código encontrado</v>
      </c>
      <c r="L224" s="24" t="str">
        <f>IF(VLOOKUP($A224,Salta!$A$8:$O$291,4,FALSE)="","",VLOOKUP($A224,Salta!$A$8:$O$291,4,FALSE))</f>
        <v>405
406</v>
      </c>
      <c r="M224" s="9" t="str">
        <f>IF(VLOOKUP($A224,Salta!$A$8:$O$291,5,FALSE)="","",VLOOKUP($A224,Salta!$A$8:$O$291,5,FALSE))</f>
        <v>Mascara Laringea N 4
Mascara Laringea N 5</v>
      </c>
      <c r="N224" s="9" t="str">
        <f>IF(VLOOKUP($A224,Salta!$A$8:$O$291,7,FALSE)="","",VLOOKUP($A224,Salta!$A$8:$O$291,7,FALSE))</f>
        <v>Media</v>
      </c>
      <c r="O224" s="9" t="str">
        <f>IF(VLOOKUP($A224,Salta!$A$8:$O$291,6,FALSE)="","",VLOOKUP($A224,Salta!$A$8:$O$291,6,FALSE))</f>
        <v>Revisar grupo</v>
      </c>
      <c r="P224" s="24" t="str">
        <f>IF(VLOOKUP($A224,Neuquén!$A$8:$O$291,15,FALSE)="Homologado",VLOOKUP($A224,Neuquén!$A$8:$O$291,10,FALSE),"")</f>
        <v/>
      </c>
      <c r="Q224" s="24" t="str">
        <f>IF(VLOOKUP($A224,'San Juan'!$A$8:$O$291,15,FALSE)="Homologado",VLOOKUP($A224,'San Juan'!$A$8:$O$291,10,FALSE),"")</f>
        <v/>
      </c>
      <c r="R224" s="24" t="str">
        <f>IF(VLOOKUP($A224,Salta!$A$8:$O$291,15,FALSE)="Homologado",VLOOKUP($A224,Salta!$A$8:$O$291,10,FALSE),"")</f>
        <v/>
      </c>
      <c r="S224" s="24" t="str">
        <f>IF(VLOOKUP($A224,'Master vs SAP'!$A$8:$O$291,4,FALSE)="","",VLOOKUP($A224,'Master vs SAP'!$A$8:$O$291,4,FALSE))</f>
        <v>2000397
2000398</v>
      </c>
      <c r="T224" s="9" t="str">
        <f>IF(VLOOKUP($A224,'Master vs SAP'!$A$8:$O$291,5,FALSE)="","",VLOOKUP($A224,'Master vs SAP'!$A$8:$O$291,5,FALSE))</f>
        <v>MASCARA LARINGEA Nº 4
MASCARA LARINGEA Nº 5</v>
      </c>
      <c r="U224" s="9" t="str">
        <f>IF(VLOOKUP($A224,'Master vs SAP'!$A$8:$O$291,7,FALSE)="","",VLOOKUP($A224,'Master vs SAP'!$A$8:$O$291,7,FALSE))</f>
        <v>Media</v>
      </c>
      <c r="V224" s="9" t="str">
        <f>IF(VLOOKUP($A224,'Master vs SAP'!$A$8:$O$291,6,FALSE)="","",VLOOKUP($A224,'Master vs SAP'!$A$8:$O$291,6,FALSE))</f>
        <v>Revisar grupo</v>
      </c>
      <c r="W224" s="24" t="str">
        <f>IF(VLOOKUP($A224,'Master vs SAP'!$A$8:$O$291,15,FALSE)="Homologado",VLOOKUP($A224,'Master vs SAP'!$A$8:$O$291,10,FALSE),"")</f>
        <v/>
      </c>
    </row>
    <row r="225" spans="1:23" ht="78" customHeight="1">
      <c r="A225" s="9" t="s">
        <v>545</v>
      </c>
      <c r="B225" s="9" t="s">
        <v>537</v>
      </c>
      <c r="C225" s="9" t="s">
        <v>442</v>
      </c>
      <c r="D225" s="24" t="str">
        <f>IF(VLOOKUP($A225,Neuquén!$A$8:$O$291,4,FALSE)="","",VLOOKUP($A225,Neuquén!$A$8:$O$291,4,FALSE))</f>
        <v>354</v>
      </c>
      <c r="E225" s="9" t="str">
        <f>IF(VLOOKUP($A225,Neuquén!$A$8:$O$291,5,FALSE)="","",VLOOKUP($A225,Neuquén!$A$8:$O$291,5,FALSE))</f>
        <v>CANULASDEMAYON°3</v>
      </c>
      <c r="F225" s="9" t="str">
        <f>IF(VLOOKUP($A225,Neuquén!$A$8:$O$291,7,FALSE)="","",VLOOKUP($A225,Neuquén!$A$8:$O$291,7,FALSE))</f>
        <v>Media</v>
      </c>
      <c r="G225" s="9" t="str">
        <f>IF(VLOOKUP($A225,Neuquén!$A$8:$O$291,6,FALSE)="","",VLOOKUP($A225,Neuquén!$A$8:$O$291,6,FALSE))</f>
        <v>Código compartido: revisar</v>
      </c>
      <c r="H225" s="24" t="str">
        <f>IF(VLOOKUP($A225,'San Juan'!$A$8:$O$291,4,FALSE)="","",VLOOKUP($A225,'San Juan'!$A$8:$O$291,4,FALSE))</f>
        <v/>
      </c>
      <c r="I225" s="9" t="str">
        <f>IF(VLOOKUP($A225,'San Juan'!$A$8:$O$291,5,FALSE)="","",VLOOKUP($A225,'San Juan'!$A$8:$O$291,5,FALSE))</f>
        <v/>
      </c>
      <c r="J225" s="9" t="str">
        <f>IF(VLOOKUP($A225,'San Juan'!$A$8:$O$291,7,FALSE)="","",VLOOKUP($A225,'San Juan'!$A$8:$O$291,7,FALSE))</f>
        <v>Sin coincidencia</v>
      </c>
      <c r="K225" s="9" t="str">
        <f>IF(VLOOKUP($A225,'San Juan'!$A$8:$O$291,6,FALSE)="","",VLOOKUP($A225,'San Juan'!$A$8:$O$291,6,FALSE))</f>
        <v>Sin código encontrado</v>
      </c>
      <c r="L225" s="24" t="str">
        <f>IF(VLOOKUP($A225,Salta!$A$8:$O$291,4,FALSE)="","",VLOOKUP($A225,Salta!$A$8:$O$291,4,FALSE))</f>
        <v>304
258
412
312</v>
      </c>
      <c r="M225" s="9" t="str">
        <f>IF(VLOOKUP($A225,Salta!$A$8:$O$291,5,FALSE)="","",VLOOKUP($A225,Salta!$A$8:$O$291,5,FALSE))</f>
        <v>Canula de guedel 90mm
Canula de Guedel 100mm
Canula de Guedel 120mm
Canula de Guedel 80mm</v>
      </c>
      <c r="N225" s="9" t="str">
        <f>IF(VLOOKUP($A225,Salta!$A$8:$O$291,7,FALSE)="","",VLOOKUP($A225,Salta!$A$8:$O$291,7,FALSE))</f>
        <v>Media</v>
      </c>
      <c r="O225" s="9" t="str">
        <f>IF(VLOOKUP($A225,Salta!$A$8:$O$291,6,FALSE)="","",VLOOKUP($A225,Salta!$A$8:$O$291,6,FALSE))</f>
        <v>Revisar datos</v>
      </c>
      <c r="P225" s="24" t="str">
        <f>IF(VLOOKUP($A225,Neuquén!$A$8:$O$291,15,FALSE)="Homologado",VLOOKUP($A225,Neuquén!$A$8:$O$291,10,FALSE),"")</f>
        <v/>
      </c>
      <c r="Q225" s="24" t="str">
        <f>IF(VLOOKUP($A225,'San Juan'!$A$8:$O$291,15,FALSE)="Homologado",VLOOKUP($A225,'San Juan'!$A$8:$O$291,10,FALSE),"")</f>
        <v/>
      </c>
      <c r="R225" s="24" t="str">
        <f>IF(VLOOKUP($A225,Salta!$A$8:$O$291,15,FALSE)="Homologado",VLOOKUP($A225,Salta!$A$8:$O$291,10,FALSE),"")</f>
        <v/>
      </c>
      <c r="S225" s="24" t="str">
        <f>IF(VLOOKUP($A225,'Master vs SAP'!$A$8:$O$291,4,FALSE)="","",VLOOKUP($A225,'Master vs SAP'!$A$8:$O$291,4,FALSE))</f>
        <v>2000414
2000404
2001254</v>
      </c>
      <c r="T225" s="9" t="str">
        <f>IF(VLOOKUP($A225,'Master vs SAP'!$A$8:$O$291,5,FALSE)="","",VLOOKUP($A225,'Master vs SAP'!$A$8:$O$291,5,FALSE))</f>
        <v>CANULA DE GUEDEL 11CM N3 CELESTE
CANULA DE GUEDEL 10CM N4 ROJO
CANULA DE GUEDEL 12CM N5 NARANJA</v>
      </c>
      <c r="U225" s="9" t="str">
        <f>IF(VLOOKUP($A225,'Master vs SAP'!$A$8:$O$291,7,FALSE)="","",VLOOKUP($A225,'Master vs SAP'!$A$8:$O$291,7,FALSE))</f>
        <v>Media</v>
      </c>
      <c r="V225" s="9" t="str">
        <f>IF(VLOOKUP($A225,'Master vs SAP'!$A$8:$O$291,6,FALSE)="","",VLOOKUP($A225,'Master vs SAP'!$A$8:$O$291,6,FALSE))</f>
        <v>Revisar grupo</v>
      </c>
      <c r="W225" s="24" t="str">
        <f>IF(VLOOKUP($A225,'Master vs SAP'!$A$8:$O$291,15,FALSE)="Homologado",VLOOKUP($A225,'Master vs SAP'!$A$8:$O$291,10,FALSE),"")</f>
        <v/>
      </c>
    </row>
    <row r="226" spans="1:23" ht="109.95" customHeight="1">
      <c r="A226" s="9" t="s">
        <v>546</v>
      </c>
      <c r="B226" s="9" t="s">
        <v>537</v>
      </c>
      <c r="C226" s="9" t="s">
        <v>547</v>
      </c>
      <c r="D226" s="24" t="str">
        <f>IF(VLOOKUP($A226,Neuquén!$A$8:$O$291,4,FALSE)="","",VLOOKUP($A226,Neuquén!$A$8:$O$291,4,FALSE))</f>
        <v>337</v>
      </c>
      <c r="E226" s="9" t="str">
        <f>IF(VLOOKUP($A226,Neuquén!$A$8:$O$291,5,FALSE)="","",VLOOKUP($A226,Neuquén!$A$8:$O$291,5,FALSE))</f>
        <v>TUBOENDOTRAQUEAL7.5</v>
      </c>
      <c r="F226" s="9" t="str">
        <f>IF(VLOOKUP($A226,Neuquén!$A$8:$O$291,7,FALSE)="","",VLOOKUP($A226,Neuquén!$A$8:$O$291,7,FALSE))</f>
        <v>Media</v>
      </c>
      <c r="G226" s="9" t="str">
        <f>IF(VLOOKUP($A226,Neuquén!$A$8:$O$291,6,FALSE)="","",VLOOKUP($A226,Neuquén!$A$8:$O$291,6,FALSE))</f>
        <v>Código compartido: revisar</v>
      </c>
      <c r="H226" s="24" t="str">
        <f>IF(VLOOKUP($A226,'San Juan'!$A$8:$O$291,4,FALSE)="","",VLOOKUP($A226,'San Juan'!$A$8:$O$291,4,FALSE))</f>
        <v>DESC156</v>
      </c>
      <c r="I226" s="9" t="str">
        <f>IF(VLOOKUP($A226,'San Juan'!$A$8:$O$291,5,FALSE)="","",VLOOKUP($A226,'San Juan'!$A$8:$O$291,5,FALSE))</f>
        <v>Tubo endotraqueal N7.5</v>
      </c>
      <c r="J226" s="9" t="str">
        <f>IF(VLOOKUP($A226,'San Juan'!$A$8:$O$291,7,FALSE)="","",VLOOKUP($A226,'San Juan'!$A$8:$O$291,7,FALSE))</f>
        <v>Media</v>
      </c>
      <c r="K226" s="9" t="str">
        <f>IF(VLOOKUP($A226,'San Juan'!$A$8:$O$291,6,FALSE)="","",VLOOKUP($A226,'San Juan'!$A$8:$O$291,6,FALSE))</f>
        <v>Código compartido: revisar</v>
      </c>
      <c r="L226" s="24" t="str">
        <f>IF(VLOOKUP($A226,Salta!$A$8:$O$291,4,FALSE)="","",VLOOKUP($A226,Salta!$A$8:$O$291,4,FALSE))</f>
        <v>243
244
245
246</v>
      </c>
      <c r="M226" s="9" t="str">
        <f>IF(VLOOKUP($A226,Salta!$A$8:$O$291,5,FALSE)="","",VLOOKUP($A226,Salta!$A$8:$O$291,5,FALSE))</f>
        <v>Tubo endotraqueal Fr 28 N7
Tubo endotraqueal Fr 30 N7.5
Tubo endotraqueal Fr 32 N8
Tubo endotraqueal Fr 34 N8.5</v>
      </c>
      <c r="N226" s="9" t="str">
        <f>IF(VLOOKUP($A226,Salta!$A$8:$O$291,7,FALSE)="","",VLOOKUP($A226,Salta!$A$8:$O$291,7,FALSE))</f>
        <v>Media</v>
      </c>
      <c r="O226" s="9" t="str">
        <f>IF(VLOOKUP($A226,Salta!$A$8:$O$291,6,FALSE)="","",VLOOKUP($A226,Salta!$A$8:$O$291,6,FALSE))</f>
        <v>Revisar grupo</v>
      </c>
      <c r="P226" s="24" t="str">
        <f>IF(VLOOKUP($A226,Neuquén!$A$8:$O$291,15,FALSE)="Homologado",VLOOKUP($A226,Neuquén!$A$8:$O$291,10,FALSE),"")</f>
        <v/>
      </c>
      <c r="Q226" s="24" t="str">
        <f>IF(VLOOKUP($A226,'San Juan'!$A$8:$O$291,15,FALSE)="Homologado",VLOOKUP($A226,'San Juan'!$A$8:$O$291,10,FALSE),"")</f>
        <v/>
      </c>
      <c r="R226" s="24" t="str">
        <f>IF(VLOOKUP($A226,Salta!$A$8:$O$291,15,FALSE)="Homologado",VLOOKUP($A226,Salta!$A$8:$O$291,10,FALSE),"")</f>
        <v/>
      </c>
      <c r="S226" s="24" t="str">
        <f>IF(VLOOKUP($A226,'Master vs SAP'!$A$8:$O$291,4,FALSE)="","",VLOOKUP($A226,'Master vs SAP'!$A$8:$O$291,4,FALSE))</f>
        <v>2000077
2000019
2000078
2000020
2000442
2001365</v>
      </c>
      <c r="T226" s="9" t="str">
        <f>IF(VLOOKUP($A226,'Master vs SAP'!$A$8:$O$291,5,FALSE)="","",VLOOKUP($A226,'Master vs SAP'!$A$8:$O$291,5,FALSE))</f>
        <v>TUBO ENDOTRAQ Nº 7 C/BALON
TUBO ENDOTRAQ N° 7.5 C/BALON
TUBO ENDOTRAQ N° 8 C/BALON
TUBO ENDOTRAQ N° 8.5 C/BALON
TUBO ENDOTRAQ N° 7 S/BALON
TUBO ENDOTRAQ Nº 8 S/BALON</v>
      </c>
      <c r="U226" s="9" t="str">
        <f>IF(VLOOKUP($A226,'Master vs SAP'!$A$8:$O$291,7,FALSE)="","",VLOOKUP($A226,'Master vs SAP'!$A$8:$O$291,7,FALSE))</f>
        <v>Media</v>
      </c>
      <c r="V226" s="9" t="str">
        <f>IF(VLOOKUP($A226,'Master vs SAP'!$A$8:$O$291,6,FALSE)="","",VLOOKUP($A226,'Master vs SAP'!$A$8:$O$291,6,FALSE))</f>
        <v>Revisar grupo</v>
      </c>
      <c r="W226" s="24" t="str">
        <f>IF(VLOOKUP($A226,'Master vs SAP'!$A$8:$O$291,15,FALSE)="Homologado",VLOOKUP($A226,'Master vs SAP'!$A$8:$O$291,10,FALSE),"")</f>
        <v/>
      </c>
    </row>
    <row r="227" spans="1:23" ht="61.95" customHeight="1">
      <c r="A227" s="9" t="s">
        <v>548</v>
      </c>
      <c r="B227" s="9" t="s">
        <v>537</v>
      </c>
      <c r="C227" s="9" t="s">
        <v>509</v>
      </c>
      <c r="D227" s="24" t="str">
        <f>IF(VLOOKUP($A227,Neuquén!$A$8:$O$291,4,FALSE)="","",VLOOKUP($A227,Neuquén!$A$8:$O$291,4,FALSE))</f>
        <v>417</v>
      </c>
      <c r="E227" s="9" t="str">
        <f>IF(VLOOKUP($A227,Neuquén!$A$8:$O$291,5,FALSE)="","",VLOOKUP($A227,Neuquén!$A$8:$O$291,5,FALSE))</f>
        <v>LARINGOSCOPIO</v>
      </c>
      <c r="F227" s="9" t="str">
        <f>IF(VLOOKUP($A227,Neuquén!$A$8:$O$291,7,FALSE)="","",VLOOKUP($A227,Neuquén!$A$8:$O$291,7,FALSE))</f>
        <v>Media</v>
      </c>
      <c r="G227" s="9" t="str">
        <f>IF(VLOOKUP($A227,Neuquén!$A$8:$O$291,6,FALSE)="","",VLOOKUP($A227,Neuquén!$A$8:$O$291,6,FALSE))</f>
        <v>Código compartido: revisar</v>
      </c>
      <c r="H227" s="24" t="str">
        <f>IF(VLOOKUP($A227,'San Juan'!$A$8:$O$291,4,FALSE)="","",VLOOKUP($A227,'San Juan'!$A$8:$O$291,4,FALSE))</f>
        <v/>
      </c>
      <c r="I227" s="9" t="str">
        <f>IF(VLOOKUP($A227,'San Juan'!$A$8:$O$291,5,FALSE)="","",VLOOKUP($A227,'San Juan'!$A$8:$O$291,5,FALSE))</f>
        <v/>
      </c>
      <c r="J227" s="9" t="str">
        <f>IF(VLOOKUP($A227,'San Juan'!$A$8:$O$291,7,FALSE)="","",VLOOKUP($A227,'San Juan'!$A$8:$O$291,7,FALSE))</f>
        <v>Sin coincidencia</v>
      </c>
      <c r="K227" s="9" t="str">
        <f>IF(VLOOKUP($A227,'San Juan'!$A$8:$O$291,6,FALSE)="","",VLOOKUP($A227,'San Juan'!$A$8:$O$291,6,FALSE))</f>
        <v>Sin código encontrado</v>
      </c>
      <c r="L227" s="24" t="str">
        <f>IF(VLOOKUP($A227,Salta!$A$8:$O$291,4,FALSE)="","",VLOOKUP($A227,Salta!$A$8:$O$291,4,FALSE))</f>
        <v>165</v>
      </c>
      <c r="M227" s="9" t="str">
        <f>IF(VLOOKUP($A227,Salta!$A$8:$O$291,5,FALSE)="","",VLOOKUP($A227,Salta!$A$8:$O$291,5,FALSE))</f>
        <v>Laringoscopio adulto de tres ramas</v>
      </c>
      <c r="N227" s="9" t="str">
        <f>IF(VLOOKUP($A227,Salta!$A$8:$O$291,7,FALSE)="","",VLOOKUP($A227,Salta!$A$8:$O$291,7,FALSE))</f>
        <v>Alta</v>
      </c>
      <c r="O227" s="9" t="str">
        <f>IF(VLOOKUP($A227,Salta!$A$8:$O$291,6,FALSE)="","",VLOOKUP($A227,Salta!$A$8:$O$291,6,FALSE))</f>
        <v>Coincidencia</v>
      </c>
      <c r="P227" s="24" t="str">
        <f>IF(VLOOKUP($A227,Neuquén!$A$8:$O$291,15,FALSE)="Homologado",VLOOKUP($A227,Neuquén!$A$8:$O$291,10,FALSE),"")</f>
        <v/>
      </c>
      <c r="Q227" s="24" t="str">
        <f>IF(VLOOKUP($A227,'San Juan'!$A$8:$O$291,15,FALSE)="Homologado",VLOOKUP($A227,'San Juan'!$A$8:$O$291,10,FALSE),"")</f>
        <v/>
      </c>
      <c r="R227" s="24" t="str">
        <f>IF(VLOOKUP($A227,Salta!$A$8:$O$291,15,FALSE)="Homologado",VLOOKUP($A227,Salta!$A$8:$O$291,10,FALSE),"")</f>
        <v/>
      </c>
      <c r="S227" s="24" t="str">
        <f>IF(VLOOKUP($A227,'Master vs SAP'!$A$8:$O$291,4,FALSE)="","",VLOOKUP($A227,'Master vs SAP'!$A$8:$O$291,4,FALSE))</f>
        <v>1000027</v>
      </c>
      <c r="T227" s="9" t="str">
        <f>IF(VLOOKUP($A227,'Master vs SAP'!$A$8:$O$291,5,FALSE)="","",VLOOKUP($A227,'Master vs SAP'!$A$8:$O$291,5,FALSE))</f>
        <v>LARINGOSCOPIO ADULTO DE TRES RAMAS</v>
      </c>
      <c r="U227" s="9" t="str">
        <f>IF(VLOOKUP($A227,'Master vs SAP'!$A$8:$O$291,7,FALSE)="","",VLOOKUP($A227,'Master vs SAP'!$A$8:$O$291,7,FALSE))</f>
        <v>Alta</v>
      </c>
      <c r="V227" s="9" t="str">
        <f>IF(VLOOKUP($A227,'Master vs SAP'!$A$8:$O$291,6,FALSE)="","",VLOOKUP($A227,'Master vs SAP'!$A$8:$O$291,6,FALSE))</f>
        <v>Coincidencia</v>
      </c>
      <c r="W227" s="24" t="str">
        <f>IF(VLOOKUP($A227,'Master vs SAP'!$A$8:$O$291,15,FALSE)="Homologado",VLOOKUP($A227,'Master vs SAP'!$A$8:$O$291,10,FALSE),"")</f>
        <v/>
      </c>
    </row>
    <row r="228" spans="1:23" ht="78" customHeight="1">
      <c r="A228" s="9" t="s">
        <v>549</v>
      </c>
      <c r="B228" s="9" t="s">
        <v>537</v>
      </c>
      <c r="C228" s="9" t="s">
        <v>550</v>
      </c>
      <c r="D228" s="24" t="str">
        <f>IF(VLOOKUP($A228,Neuquén!$A$8:$O$291,4,FALSE)="","",VLOOKUP($A228,Neuquén!$A$8:$O$291,4,FALSE))</f>
        <v>557</v>
      </c>
      <c r="E228" s="9" t="str">
        <f>IF(VLOOKUP($A228,Neuquén!$A$8:$O$291,5,FALSE)="","",VLOOKUP($A228,Neuquén!$A$8:$O$291,5,FALSE))</f>
        <v>Mandriles estériles</v>
      </c>
      <c r="F228" s="9" t="str">
        <f>IF(VLOOKUP($A228,Neuquén!$A$8:$O$291,7,FALSE)="","",VLOOKUP($A228,Neuquén!$A$8:$O$291,7,FALSE))</f>
        <v>Sin coincidencia</v>
      </c>
      <c r="G228" s="9" t="str">
        <f>IF(VLOOKUP($A228,Neuquén!$A$8:$O$291,6,FALSE)="","",VLOOKUP($A228,Neuquén!$A$8:$O$291,6,FALSE))</f>
        <v>Código sin equivalencia validada</v>
      </c>
      <c r="H228" s="24" t="str">
        <f>IF(VLOOKUP($A228,'San Juan'!$A$8:$O$291,4,FALSE)="","",VLOOKUP($A228,'San Juan'!$A$8:$O$291,4,FALSE))</f>
        <v/>
      </c>
      <c r="I228" s="9" t="str">
        <f>IF(VLOOKUP($A228,'San Juan'!$A$8:$O$291,5,FALSE)="","",VLOOKUP($A228,'San Juan'!$A$8:$O$291,5,FALSE))</f>
        <v/>
      </c>
      <c r="J228" s="9" t="str">
        <f>IF(VLOOKUP($A228,'San Juan'!$A$8:$O$291,7,FALSE)="","",VLOOKUP($A228,'San Juan'!$A$8:$O$291,7,FALSE))</f>
        <v>Sin coincidencia</v>
      </c>
      <c r="K228" s="9" t="str">
        <f>IF(VLOOKUP($A228,'San Juan'!$A$8:$O$291,6,FALSE)="","",VLOOKUP($A228,'San Juan'!$A$8:$O$291,6,FALSE))</f>
        <v>Sin código encontrado</v>
      </c>
      <c r="L228" s="24" t="str">
        <f>IF(VLOOKUP($A228,Salta!$A$8:$O$291,4,FALSE)="","",VLOOKUP($A228,Salta!$A$8:$O$291,4,FALSE))</f>
        <v/>
      </c>
      <c r="M228" s="9" t="str">
        <f>IF(VLOOKUP($A228,Salta!$A$8:$O$291,5,FALSE)="","",VLOOKUP($A228,Salta!$A$8:$O$291,5,FALSE))</f>
        <v/>
      </c>
      <c r="N228" s="9" t="str">
        <f>IF(VLOOKUP($A228,Salta!$A$8:$O$291,7,FALSE)="","",VLOOKUP($A228,Salta!$A$8:$O$291,7,FALSE))</f>
        <v>Sin coincidencia</v>
      </c>
      <c r="O228" s="9" t="str">
        <f>IF(VLOOKUP($A228,Salta!$A$8:$O$291,6,FALSE)="","",VLOOKUP($A228,Salta!$A$8:$O$291,6,FALSE))</f>
        <v>Sin coincidencia</v>
      </c>
      <c r="P228" s="24" t="str">
        <f>IF(VLOOKUP($A228,Neuquén!$A$8:$O$291,15,FALSE)="Homologado",VLOOKUP($A228,Neuquén!$A$8:$O$291,10,FALSE),"")</f>
        <v/>
      </c>
      <c r="Q228" s="24" t="str">
        <f>IF(VLOOKUP($A228,'San Juan'!$A$8:$O$291,15,FALSE)="Homologado",VLOOKUP($A228,'San Juan'!$A$8:$O$291,10,FALSE),"")</f>
        <v/>
      </c>
      <c r="R228" s="24" t="str">
        <f>IF(VLOOKUP($A228,Salta!$A$8:$O$291,15,FALSE)="Homologado",VLOOKUP($A228,Salta!$A$8:$O$291,10,FALSE),"")</f>
        <v/>
      </c>
      <c r="S228" s="24" t="str">
        <f>IF(VLOOKUP($A228,'Master vs SAP'!$A$8:$O$291,4,FALSE)="","",VLOOKUP($A228,'Master vs SAP'!$A$8:$O$291,4,FALSE))</f>
        <v>2000015
2000061
2000433
2000434</v>
      </c>
      <c r="T228" s="9" t="str">
        <f>IF(VLOOKUP($A228,'Master vs SAP'!$A$8:$O$291,5,FALSE)="","",VLOOKUP($A228,'Master vs SAP'!$A$8:$O$291,5,FALSE))</f>
        <v>MANDRIL P/LARINGO ADULTO ESTERIL
MANDRIL ESTERIL PEDIATRICO 2MM
MANDRIL ESTERIL DE 4.3MM
MANDRIL ESTERIL DE 3.3MM</v>
      </c>
      <c r="U228" s="9" t="str">
        <f>IF(VLOOKUP($A228,'Master vs SAP'!$A$8:$O$291,7,FALSE)="","",VLOOKUP($A228,'Master vs SAP'!$A$8:$O$291,7,FALSE))</f>
        <v>Media</v>
      </c>
      <c r="V228" s="9" t="str">
        <f>IF(VLOOKUP($A228,'Master vs SAP'!$A$8:$O$291,6,FALSE)="","",VLOOKUP($A228,'Master vs SAP'!$A$8:$O$291,6,FALSE))</f>
        <v>Revisar grupo</v>
      </c>
      <c r="W228" s="24" t="str">
        <f>IF(VLOOKUP($A228,'Master vs SAP'!$A$8:$O$291,15,FALSE)="Homologado",VLOOKUP($A228,'Master vs SAP'!$A$8:$O$291,10,FALSE),"")</f>
        <v/>
      </c>
    </row>
    <row r="229" spans="1:23" ht="61.95" customHeight="1">
      <c r="A229" s="9" t="s">
        <v>551</v>
      </c>
      <c r="B229" s="9" t="s">
        <v>537</v>
      </c>
      <c r="C229" s="9" t="s">
        <v>552</v>
      </c>
      <c r="D229" s="24" t="str">
        <f>IF(VLOOKUP($A229,Neuquén!$A$8:$O$291,4,FALSE)="","",VLOOKUP($A229,Neuquén!$A$8:$O$291,4,FALSE))</f>
        <v>546</v>
      </c>
      <c r="E229" s="9" t="str">
        <f>IF(VLOOKUP($A229,Neuquén!$A$8:$O$291,5,FALSE)="","",VLOOKUP($A229,Neuquén!$A$8:$O$291,5,FALSE))</f>
        <v>GUIA DE ESCHMANN</v>
      </c>
      <c r="F229" s="9" t="str">
        <f>IF(VLOOKUP($A229,Neuquén!$A$8:$O$291,7,FALSE)="","",VLOOKUP($A229,Neuquén!$A$8:$O$291,7,FALSE))</f>
        <v>Sin coincidencia</v>
      </c>
      <c r="G229" s="9" t="str">
        <f>IF(VLOOKUP($A229,Neuquén!$A$8:$O$291,6,FALSE)="","",VLOOKUP($A229,Neuquén!$A$8:$O$291,6,FALSE))</f>
        <v>Código compartido: revisar</v>
      </c>
      <c r="H229" s="24" t="str">
        <f>IF(VLOOKUP($A229,'San Juan'!$A$8:$O$291,4,FALSE)="","",VLOOKUP($A229,'San Juan'!$A$8:$O$291,4,FALSE))</f>
        <v/>
      </c>
      <c r="I229" s="9" t="str">
        <f>IF(VLOOKUP($A229,'San Juan'!$A$8:$O$291,5,FALSE)="","",VLOOKUP($A229,'San Juan'!$A$8:$O$291,5,FALSE))</f>
        <v/>
      </c>
      <c r="J229" s="9" t="str">
        <f>IF(VLOOKUP($A229,'San Juan'!$A$8:$O$291,7,FALSE)="","",VLOOKUP($A229,'San Juan'!$A$8:$O$291,7,FALSE))</f>
        <v>Sin coincidencia</v>
      </c>
      <c r="K229" s="9" t="str">
        <f>IF(VLOOKUP($A229,'San Juan'!$A$8:$O$291,6,FALSE)="","",VLOOKUP($A229,'San Juan'!$A$8:$O$291,6,FALSE))</f>
        <v>Sin código encontrado</v>
      </c>
      <c r="L229" s="24" t="str">
        <f>IF(VLOOKUP($A229,Salta!$A$8:$O$291,4,FALSE)="","",VLOOKUP($A229,Salta!$A$8:$O$291,4,FALSE))</f>
        <v>319</v>
      </c>
      <c r="M229" s="9" t="str">
        <f>IF(VLOOKUP($A229,Salta!$A$8:$O$291,5,FALSE)="","",VLOOKUP($A229,Salta!$A$8:$O$291,5,FALSE))</f>
        <v>Guia de intubacion EICHMAN</v>
      </c>
      <c r="N229" s="9" t="str">
        <f>IF(VLOOKUP($A229,Salta!$A$8:$O$291,7,FALSE)="","",VLOOKUP($A229,Salta!$A$8:$O$291,7,FALSE))</f>
        <v>Media</v>
      </c>
      <c r="O229" s="9" t="str">
        <f>IF(VLOOKUP($A229,Salta!$A$8:$O$291,6,FALSE)="","",VLOOKUP($A229,Salta!$A$8:$O$291,6,FALSE))</f>
        <v>Revisar datos</v>
      </c>
      <c r="P229" s="24" t="str">
        <f>IF(VLOOKUP($A229,Neuquén!$A$8:$O$291,15,FALSE)="Homologado",VLOOKUP($A229,Neuquén!$A$8:$O$291,10,FALSE),"")</f>
        <v/>
      </c>
      <c r="Q229" s="24" t="str">
        <f>IF(VLOOKUP($A229,'San Juan'!$A$8:$O$291,15,FALSE)="Homologado",VLOOKUP($A229,'San Juan'!$A$8:$O$291,10,FALSE),"")</f>
        <v/>
      </c>
      <c r="R229" s="24" t="str">
        <f>IF(VLOOKUP($A229,Salta!$A$8:$O$291,15,FALSE)="Homologado",VLOOKUP($A229,Salta!$A$8:$O$291,10,FALSE),"")</f>
        <v/>
      </c>
      <c r="S229" s="24" t="str">
        <f>IF(VLOOKUP($A229,'Master vs SAP'!$A$8:$O$291,4,FALSE)="","",VLOOKUP($A229,'Master vs SAP'!$A$8:$O$291,4,FALSE))</f>
        <v>2002615</v>
      </c>
      <c r="T229" s="9" t="str">
        <f>IF(VLOOKUP($A229,'Master vs SAP'!$A$8:$O$291,5,FALSE)="","",VLOOKUP($A229,'Master vs SAP'!$A$8:$O$291,5,FALSE))</f>
        <v>VARA/INTROD. ESCHMANN ADULT 70</v>
      </c>
      <c r="U229" s="9" t="str">
        <f>IF(VLOOKUP($A229,'Master vs SAP'!$A$8:$O$291,7,FALSE)="","",VLOOKUP($A229,'Master vs SAP'!$A$8:$O$291,7,FALSE))</f>
        <v>Alta</v>
      </c>
      <c r="V229" s="9" t="str">
        <f>IF(VLOOKUP($A229,'Master vs SAP'!$A$8:$O$291,6,FALSE)="","",VLOOKUP($A229,'Master vs SAP'!$A$8:$O$291,6,FALSE))</f>
        <v>Coincidencia</v>
      </c>
      <c r="W229" s="24" t="str">
        <f>IF(VLOOKUP($A229,'Master vs SAP'!$A$8:$O$291,15,FALSE)="Homologado",VLOOKUP($A229,'Master vs SAP'!$A$8:$O$291,10,FALSE),"")</f>
        <v/>
      </c>
    </row>
    <row r="230" spans="1:23" ht="61.95" customHeight="1">
      <c r="A230" s="9" t="s">
        <v>553</v>
      </c>
      <c r="B230" s="9" t="s">
        <v>537</v>
      </c>
      <c r="C230" s="9" t="s">
        <v>511</v>
      </c>
      <c r="D230" s="24" t="str">
        <f>IF(VLOOKUP($A230,Neuquén!$A$8:$O$291,4,FALSE)="","",VLOOKUP($A230,Neuquén!$A$8:$O$291,4,FALSE))</f>
        <v>419</v>
      </c>
      <c r="E230" s="9" t="str">
        <f>IF(VLOOKUP($A230,Neuquén!$A$8:$O$291,5,FALSE)="","",VLOOKUP($A230,Neuquén!$A$8:$O$291,5,FALSE))</f>
        <v>PINZA DE EXTRACCION CUERPO EXTRAÑO</v>
      </c>
      <c r="F230" s="9" t="str">
        <f>IF(VLOOKUP($A230,Neuquén!$A$8:$O$291,7,FALSE)="","",VLOOKUP($A230,Neuquén!$A$8:$O$291,7,FALSE))</f>
        <v>Sin coincidencia</v>
      </c>
      <c r="G230" s="9" t="str">
        <f>IF(VLOOKUP($A230,Neuquén!$A$8:$O$291,6,FALSE)="","",VLOOKUP($A230,Neuquén!$A$8:$O$291,6,FALSE))</f>
        <v>Código compartido: revisar</v>
      </c>
      <c r="H230" s="24" t="str">
        <f>IF(VLOOKUP($A230,'San Juan'!$A$8:$O$291,4,FALSE)="","",VLOOKUP($A230,'San Juan'!$A$8:$O$291,4,FALSE))</f>
        <v/>
      </c>
      <c r="I230" s="9" t="str">
        <f>IF(VLOOKUP($A230,'San Juan'!$A$8:$O$291,5,FALSE)="","",VLOOKUP($A230,'San Juan'!$A$8:$O$291,5,FALSE))</f>
        <v/>
      </c>
      <c r="J230" s="9" t="str">
        <f>IF(VLOOKUP($A230,'San Juan'!$A$8:$O$291,7,FALSE)="","",VLOOKUP($A230,'San Juan'!$A$8:$O$291,7,FALSE))</f>
        <v>Sin coincidencia</v>
      </c>
      <c r="K230" s="9" t="str">
        <f>IF(VLOOKUP($A230,'San Juan'!$A$8:$O$291,6,FALSE)="","",VLOOKUP($A230,'San Juan'!$A$8:$O$291,6,FALSE))</f>
        <v>Sin código encontrado</v>
      </c>
      <c r="L230" s="24" t="str">
        <f>IF(VLOOKUP($A230,Salta!$A$8:$O$291,4,FALSE)="","",VLOOKUP($A230,Salta!$A$8:$O$291,4,FALSE))</f>
        <v/>
      </c>
      <c r="M230" s="9" t="str">
        <f>IF(VLOOKUP($A230,Salta!$A$8:$O$291,5,FALSE)="","",VLOOKUP($A230,Salta!$A$8:$O$291,5,FALSE))</f>
        <v/>
      </c>
      <c r="N230" s="9" t="str">
        <f>IF(VLOOKUP($A230,Salta!$A$8:$O$291,7,FALSE)="","",VLOOKUP($A230,Salta!$A$8:$O$291,7,FALSE))</f>
        <v>Sin coincidencia</v>
      </c>
      <c r="O230" s="9" t="str">
        <f>IF(VLOOKUP($A230,Salta!$A$8:$O$291,6,FALSE)="","",VLOOKUP($A230,Salta!$A$8:$O$291,6,FALSE))</f>
        <v>Sin coincidencia</v>
      </c>
      <c r="P230" s="24" t="str">
        <f>IF(VLOOKUP($A230,Neuquén!$A$8:$O$291,15,FALSE)="Homologado",VLOOKUP($A230,Neuquén!$A$8:$O$291,10,FALSE),"")</f>
        <v/>
      </c>
      <c r="Q230" s="24" t="str">
        <f>IF(VLOOKUP($A230,'San Juan'!$A$8:$O$291,15,FALSE)="Homologado",VLOOKUP($A230,'San Juan'!$A$8:$O$291,10,FALSE),"")</f>
        <v/>
      </c>
      <c r="R230" s="24" t="str">
        <f>IF(VLOOKUP($A230,Salta!$A$8:$O$291,15,FALSE)="Homologado",VLOOKUP($A230,Salta!$A$8:$O$291,10,FALSE),"")</f>
        <v/>
      </c>
      <c r="S230" s="24" t="str">
        <f>IF(VLOOKUP($A230,'Master vs SAP'!$A$8:$O$291,4,FALSE)="","",VLOOKUP($A230,'Master vs SAP'!$A$8:$O$291,4,FALSE))</f>
        <v>2001340
1000202</v>
      </c>
      <c r="T230" s="9" t="str">
        <f>IF(VLOOKUP($A230,'Master vs SAP'!$A$8:$O$291,5,FALSE)="","",VLOOKUP($A230,'Master vs SAP'!$A$8:$O$291,5,FALSE))</f>
        <v>PINZA MAGILL ADULTO
PINZA DE MAGUIL ADULTO</v>
      </c>
      <c r="U230" s="9" t="str">
        <f>IF(VLOOKUP($A230,'Master vs SAP'!$A$8:$O$291,7,FALSE)="","",VLOOKUP($A230,'Master vs SAP'!$A$8:$O$291,7,FALSE))</f>
        <v>Alta</v>
      </c>
      <c r="V230" s="9" t="str">
        <f>IF(VLOOKUP($A230,'Master vs SAP'!$A$8:$O$291,6,FALSE)="","",VLOOKUP($A230,'Master vs SAP'!$A$8:$O$291,6,FALSE))</f>
        <v>Coincidencia</v>
      </c>
      <c r="W230" s="24" t="str">
        <f>IF(VLOOKUP($A230,'Master vs SAP'!$A$8:$O$291,15,FALSE)="Homologado",VLOOKUP($A230,'Master vs SAP'!$A$8:$O$291,10,FALSE),"")</f>
        <v/>
      </c>
    </row>
    <row r="231" spans="1:23" ht="61.95" customHeight="1">
      <c r="A231" s="9" t="s">
        <v>554</v>
      </c>
      <c r="B231" s="9" t="s">
        <v>537</v>
      </c>
      <c r="C231" s="9" t="s">
        <v>555</v>
      </c>
      <c r="D231" s="24" t="str">
        <f>IF(VLOOKUP($A231,Neuquén!$A$8:$O$291,4,FALSE)="","",VLOOKUP($A231,Neuquén!$A$8:$O$291,4,FALSE))</f>
        <v>405</v>
      </c>
      <c r="E231" s="9" t="str">
        <f>IF(VLOOKUP($A231,Neuquén!$A$8:$O$291,5,FALSE)="","",VLOOKUP($A231,Neuquén!$A$8:$O$291,5,FALSE))</f>
        <v>ASPIRADORMANUAL</v>
      </c>
      <c r="F231" s="9" t="str">
        <f>IF(VLOOKUP($A231,Neuquén!$A$8:$O$291,7,FALSE)="","",VLOOKUP($A231,Neuquén!$A$8:$O$291,7,FALSE))</f>
        <v>Media</v>
      </c>
      <c r="G231" s="9" t="str">
        <f>IF(VLOOKUP($A231,Neuquén!$A$8:$O$291,6,FALSE)="","",VLOOKUP($A231,Neuquén!$A$8:$O$291,6,FALSE))</f>
        <v>Código compartido: revisar</v>
      </c>
      <c r="H231" s="24" t="str">
        <f>IF(VLOOKUP($A231,'San Juan'!$A$8:$O$291,4,FALSE)="","",VLOOKUP($A231,'San Juan'!$A$8:$O$291,4,FALSE))</f>
        <v/>
      </c>
      <c r="I231" s="9" t="str">
        <f>IF(VLOOKUP($A231,'San Juan'!$A$8:$O$291,5,FALSE)="","",VLOOKUP($A231,'San Juan'!$A$8:$O$291,5,FALSE))</f>
        <v/>
      </c>
      <c r="J231" s="9" t="str">
        <f>IF(VLOOKUP($A231,'San Juan'!$A$8:$O$291,7,FALSE)="","",VLOOKUP($A231,'San Juan'!$A$8:$O$291,7,FALSE))</f>
        <v>Sin coincidencia</v>
      </c>
      <c r="K231" s="9" t="str">
        <f>IF(VLOOKUP($A231,'San Juan'!$A$8:$O$291,6,FALSE)="","",VLOOKUP($A231,'San Juan'!$A$8:$O$291,6,FALSE))</f>
        <v>Sin código encontrado</v>
      </c>
      <c r="L231" s="24" t="str">
        <f>IF(VLOOKUP($A231,Salta!$A$8:$O$291,4,FALSE)="","",VLOOKUP($A231,Salta!$A$8:$O$291,4,FALSE))</f>
        <v/>
      </c>
      <c r="M231" s="9" t="str">
        <f>IF(VLOOKUP($A231,Salta!$A$8:$O$291,5,FALSE)="","",VLOOKUP($A231,Salta!$A$8:$O$291,5,FALSE))</f>
        <v/>
      </c>
      <c r="N231" s="9" t="str">
        <f>IF(VLOOKUP($A231,Salta!$A$8:$O$291,7,FALSE)="","",VLOOKUP($A231,Salta!$A$8:$O$291,7,FALSE))</f>
        <v>Sin coincidencia</v>
      </c>
      <c r="O231" s="9" t="str">
        <f>IF(VLOOKUP($A231,Salta!$A$8:$O$291,6,FALSE)="","",VLOOKUP($A231,Salta!$A$8:$O$291,6,FALSE))</f>
        <v>Sin coincidencia</v>
      </c>
      <c r="P231" s="24" t="str">
        <f>IF(VLOOKUP($A231,Neuquén!$A$8:$O$291,15,FALSE)="Homologado",VLOOKUP($A231,Neuquén!$A$8:$O$291,10,FALSE),"")</f>
        <v/>
      </c>
      <c r="Q231" s="24" t="str">
        <f>IF(VLOOKUP($A231,'San Juan'!$A$8:$O$291,15,FALSE)="Homologado",VLOOKUP($A231,'San Juan'!$A$8:$O$291,10,FALSE),"")</f>
        <v/>
      </c>
      <c r="R231" s="24" t="str">
        <f>IF(VLOOKUP($A231,Salta!$A$8:$O$291,15,FALSE)="Homologado",VLOOKUP($A231,Salta!$A$8:$O$291,10,FALSE),"")</f>
        <v/>
      </c>
      <c r="S231" s="24" t="str">
        <f>IF(VLOOKUP($A231,'Master vs SAP'!$A$8:$O$291,4,FALSE)="","",VLOOKUP($A231,'Master vs SAP'!$A$8:$O$291,4,FALSE))</f>
        <v>2000350
2001814</v>
      </c>
      <c r="T231" s="9" t="str">
        <f>IF(VLOOKUP($A231,'Master vs SAP'!$A$8:$O$291,5,FALSE)="","",VLOOKUP($A231,'Master vs SAP'!$A$8:$O$291,5,FALSE))</f>
        <v>ASPIRADOR MANUAL RES Q VAC
ASPIRADOR MANUAL</v>
      </c>
      <c r="U231" s="9" t="str">
        <f>IF(VLOOKUP($A231,'Master vs SAP'!$A$8:$O$291,7,FALSE)="","",VLOOKUP($A231,'Master vs SAP'!$A$8:$O$291,7,FALSE))</f>
        <v>Media</v>
      </c>
      <c r="V231" s="9" t="str">
        <f>IF(VLOOKUP($A231,'Master vs SAP'!$A$8:$O$291,6,FALSE)="","",VLOOKUP($A231,'Master vs SAP'!$A$8:$O$291,6,FALSE))</f>
        <v>Revisar datos</v>
      </c>
      <c r="W231" s="24" t="str">
        <f>IF(VLOOKUP($A231,'Master vs SAP'!$A$8:$O$291,15,FALSE)="Homologado",VLOOKUP($A231,'Master vs SAP'!$A$8:$O$291,10,FALSE),"")</f>
        <v/>
      </c>
    </row>
    <row r="232" spans="1:23" ht="61.95" customHeight="1">
      <c r="A232" s="9" t="s">
        <v>556</v>
      </c>
      <c r="B232" s="9" t="s">
        <v>537</v>
      </c>
      <c r="C232" s="9" t="s">
        <v>557</v>
      </c>
      <c r="D232" s="24" t="str">
        <f>IF(VLOOKUP($A232,Neuquén!$A$8:$O$291,4,FALSE)="","",VLOOKUP($A232,Neuquén!$A$8:$O$291,4,FALSE))</f>
        <v>371</v>
      </c>
      <c r="E232" s="9" t="str">
        <f>IF(VLOOKUP($A232,Neuquén!$A$8:$O$291,5,FALSE)="","",VLOOKUP($A232,Neuquén!$A$8:$O$291,5,FALSE))</f>
        <v>SONDACONREGULADOR32P</v>
      </c>
      <c r="F232" s="9" t="str">
        <f>IF(VLOOKUP($A232,Neuquén!$A$8:$O$291,7,FALSE)="","",VLOOKUP($A232,Neuquén!$A$8:$O$291,7,FALSE))</f>
        <v>Media</v>
      </c>
      <c r="G232" s="9" t="str">
        <f>IF(VLOOKUP($A232,Neuquén!$A$8:$O$291,6,FALSE)="","",VLOOKUP($A232,Neuquén!$A$8:$O$291,6,FALSE))</f>
        <v>Equivalencia a revisar</v>
      </c>
      <c r="H232" s="24" t="str">
        <f>IF(VLOOKUP($A232,'San Juan'!$A$8:$O$291,4,FALSE)="","",VLOOKUP($A232,'San Juan'!$A$8:$O$291,4,FALSE))</f>
        <v>DESC119</v>
      </c>
      <c r="I232" s="9" t="str">
        <f>IF(VLOOKUP($A232,'San Juan'!$A$8:$O$291,5,FALSE)="","",VLOOKUP($A232,'San Juan'!$A$8:$O$291,5,FALSE))</f>
        <v>Sonda para aspiración K 29</v>
      </c>
      <c r="J232" s="9" t="str">
        <f>IF(VLOOKUP($A232,'San Juan'!$A$8:$O$291,7,FALSE)="","",VLOOKUP($A232,'San Juan'!$A$8:$O$291,7,FALSE))</f>
        <v>Media</v>
      </c>
      <c r="K232" s="9" t="str">
        <f>IF(VLOOKUP($A232,'San Juan'!$A$8:$O$291,6,FALSE)="","",VLOOKUP($A232,'San Juan'!$A$8:$O$291,6,FALSE))</f>
        <v>Código compartido: revisar</v>
      </c>
      <c r="L232" s="24" t="str">
        <f>IF(VLOOKUP($A232,Salta!$A$8:$O$291,4,FALSE)="","",VLOOKUP($A232,Salta!$A$8:$O$291,4,FALSE))</f>
        <v>430</v>
      </c>
      <c r="M232" s="9" t="str">
        <f>IF(VLOOKUP($A232,Salta!$A$8:$O$291,5,FALSE)="","",VLOOKUP($A232,Salta!$A$8:$O$291,5,FALSE))</f>
        <v>Sonda de Aspiracion K30</v>
      </c>
      <c r="N232" s="9" t="str">
        <f>IF(VLOOKUP($A232,Salta!$A$8:$O$291,7,FALSE)="","",VLOOKUP($A232,Salta!$A$8:$O$291,7,FALSE))</f>
        <v>Media</v>
      </c>
      <c r="O232" s="9" t="str">
        <f>IF(VLOOKUP($A232,Salta!$A$8:$O$291,6,FALSE)="","",VLOOKUP($A232,Salta!$A$8:$O$291,6,FALSE))</f>
        <v>Revisar datos</v>
      </c>
      <c r="P232" s="24" t="str">
        <f>IF(VLOOKUP($A232,Neuquén!$A$8:$O$291,15,FALSE)="Homologado",VLOOKUP($A232,Neuquén!$A$8:$O$291,10,FALSE),"")</f>
        <v/>
      </c>
      <c r="Q232" s="24" t="str">
        <f>IF(VLOOKUP($A232,'San Juan'!$A$8:$O$291,15,FALSE)="Homologado",VLOOKUP($A232,'San Juan'!$A$8:$O$291,10,FALSE),"")</f>
        <v/>
      </c>
      <c r="R232" s="24" t="str">
        <f>IF(VLOOKUP($A232,Salta!$A$8:$O$291,15,FALSE)="Homologado",VLOOKUP($A232,Salta!$A$8:$O$291,10,FALSE),"")</f>
        <v/>
      </c>
      <c r="S232" s="24" t="str">
        <f>IF(VLOOKUP($A232,'Master vs SAP'!$A$8:$O$291,4,FALSE)="","",VLOOKUP($A232,'Master vs SAP'!$A$8:$O$291,4,FALSE))</f>
        <v>2000811</v>
      </c>
      <c r="T232" s="9" t="str">
        <f>IF(VLOOKUP($A232,'Master vs SAP'!$A$8:$O$291,5,FALSE)="","",VLOOKUP($A232,'Master vs SAP'!$A$8:$O$291,5,FALSE))</f>
        <v>SONDA C/REGULADOR PARA ASPIRACION N°K30</v>
      </c>
      <c r="U232" s="9" t="str">
        <f>IF(VLOOKUP($A232,'Master vs SAP'!$A$8:$O$291,7,FALSE)="","",VLOOKUP($A232,'Master vs SAP'!$A$8:$O$291,7,FALSE))</f>
        <v>Alta</v>
      </c>
      <c r="V232" s="9" t="str">
        <f>IF(VLOOKUP($A232,'Master vs SAP'!$A$8:$O$291,6,FALSE)="","",VLOOKUP($A232,'Master vs SAP'!$A$8:$O$291,6,FALSE))</f>
        <v>Coincidencia</v>
      </c>
      <c r="W232" s="24" t="str">
        <f>IF(VLOOKUP($A232,'Master vs SAP'!$A$8:$O$291,15,FALSE)="Homologado",VLOOKUP($A232,'Master vs SAP'!$A$8:$O$291,10,FALSE),"")</f>
        <v/>
      </c>
    </row>
    <row r="233" spans="1:23" ht="61.95" customHeight="1">
      <c r="A233" s="9" t="s">
        <v>558</v>
      </c>
      <c r="B233" s="9" t="s">
        <v>537</v>
      </c>
      <c r="C233" s="9" t="s">
        <v>559</v>
      </c>
      <c r="D233" s="24" t="str">
        <f>IF(VLOOKUP($A233,Neuquén!$A$8:$O$291,4,FALSE)="","",VLOOKUP($A233,Neuquén!$A$8:$O$291,4,FALSE))</f>
        <v>543</v>
      </c>
      <c r="E233" s="9" t="str">
        <f>IF(VLOOKUP($A233,Neuquén!$A$8:$O$291,5,FALSE)="","",VLOOKUP($A233,Neuquén!$A$8:$O$291,5,FALSE))</f>
        <v>Lubricante hidrosoluble</v>
      </c>
      <c r="F233" s="9" t="str">
        <f>IF(VLOOKUP($A233,Neuquén!$A$8:$O$291,7,FALSE)="","",VLOOKUP($A233,Neuquén!$A$8:$O$291,7,FALSE))</f>
        <v>Sin coincidencia</v>
      </c>
      <c r="G233" s="9" t="str">
        <f>IF(VLOOKUP($A233,Neuquén!$A$8:$O$291,6,FALSE)="","",VLOOKUP($A233,Neuquén!$A$8:$O$291,6,FALSE))</f>
        <v>Código sin equivalencia validada</v>
      </c>
      <c r="H233" s="24" t="str">
        <f>IF(VLOOKUP($A233,'San Juan'!$A$8:$O$291,4,FALSE)="","",VLOOKUP($A233,'San Juan'!$A$8:$O$291,4,FALSE))</f>
        <v/>
      </c>
      <c r="I233" s="9" t="str">
        <f>IF(VLOOKUP($A233,'San Juan'!$A$8:$O$291,5,FALSE)="","",VLOOKUP($A233,'San Juan'!$A$8:$O$291,5,FALSE))</f>
        <v/>
      </c>
      <c r="J233" s="9" t="str">
        <f>IF(VLOOKUP($A233,'San Juan'!$A$8:$O$291,7,FALSE)="","",VLOOKUP($A233,'San Juan'!$A$8:$O$291,7,FALSE))</f>
        <v>Sin coincidencia</v>
      </c>
      <c r="K233" s="9" t="str">
        <f>IF(VLOOKUP($A233,'San Juan'!$A$8:$O$291,6,FALSE)="","",VLOOKUP($A233,'San Juan'!$A$8:$O$291,6,FALSE))</f>
        <v>Sin código encontrado</v>
      </c>
      <c r="L233" s="24" t="str">
        <f>IF(VLOOKUP($A233,Salta!$A$8:$O$291,4,FALSE)="","",VLOOKUP($A233,Salta!$A$8:$O$291,4,FALSE))</f>
        <v/>
      </c>
      <c r="M233" s="9" t="str">
        <f>IF(VLOOKUP($A233,Salta!$A$8:$O$291,5,FALSE)="","",VLOOKUP($A233,Salta!$A$8:$O$291,5,FALSE))</f>
        <v/>
      </c>
      <c r="N233" s="9" t="str">
        <f>IF(VLOOKUP($A233,Salta!$A$8:$O$291,7,FALSE)="","",VLOOKUP($A233,Salta!$A$8:$O$291,7,FALSE))</f>
        <v>Sin coincidencia</v>
      </c>
      <c r="O233" s="9" t="str">
        <f>IF(VLOOKUP($A233,Salta!$A$8:$O$291,6,FALSE)="","",VLOOKUP($A233,Salta!$A$8:$O$291,6,FALSE))</f>
        <v>Sin coincidencia</v>
      </c>
      <c r="P233" s="24" t="str">
        <f>IF(VLOOKUP($A233,Neuquén!$A$8:$O$291,15,FALSE)="Homologado",VLOOKUP($A233,Neuquén!$A$8:$O$291,10,FALSE),"")</f>
        <v/>
      </c>
      <c r="Q233" s="24" t="str">
        <f>IF(VLOOKUP($A233,'San Juan'!$A$8:$O$291,15,FALSE)="Homologado",VLOOKUP($A233,'San Juan'!$A$8:$O$291,10,FALSE),"")</f>
        <v/>
      </c>
      <c r="R233" s="24" t="str">
        <f>IF(VLOOKUP($A233,Salta!$A$8:$O$291,15,FALSE)="Homologado",VLOOKUP($A233,Salta!$A$8:$O$291,10,FALSE),"")</f>
        <v/>
      </c>
      <c r="S233" s="24" t="str">
        <f>IF(VLOOKUP($A233,'Master vs SAP'!$A$8:$O$291,4,FALSE)="","",VLOOKUP($A233,'Master vs SAP'!$A$8:$O$291,4,FALSE))</f>
        <v/>
      </c>
      <c r="T233" s="9" t="str">
        <f>IF(VLOOKUP($A233,'Master vs SAP'!$A$8:$O$291,5,FALSE)="","",VLOOKUP($A233,'Master vs SAP'!$A$8:$O$291,5,FALSE))</f>
        <v/>
      </c>
      <c r="U233" s="9" t="str">
        <f>IF(VLOOKUP($A233,'Master vs SAP'!$A$8:$O$291,7,FALSE)="","",VLOOKUP($A233,'Master vs SAP'!$A$8:$O$291,7,FALSE))</f>
        <v>Sin coincidencia</v>
      </c>
      <c r="V233" s="9" t="str">
        <f>IF(VLOOKUP($A233,'Master vs SAP'!$A$8:$O$291,6,FALSE)="","",VLOOKUP($A233,'Master vs SAP'!$A$8:$O$291,6,FALSE))</f>
        <v>Sin coincidencia</v>
      </c>
      <c r="W233" s="24" t="str">
        <f>IF(VLOOKUP($A233,'Master vs SAP'!$A$8:$O$291,15,FALSE)="Homologado",VLOOKUP($A233,'Master vs SAP'!$A$8:$O$291,10,FALSE),"")</f>
        <v/>
      </c>
    </row>
    <row r="234" spans="1:23" ht="61.95" customHeight="1">
      <c r="A234" s="9" t="s">
        <v>560</v>
      </c>
      <c r="B234" s="9" t="s">
        <v>537</v>
      </c>
      <c r="C234" s="9" t="s">
        <v>561</v>
      </c>
      <c r="D234" s="24" t="str">
        <f>IF(VLOOKUP($A234,Neuquén!$A$8:$O$291,4,FALSE)="","",VLOOKUP($A234,Neuquén!$A$8:$O$291,4,FALSE))</f>
        <v>353</v>
      </c>
      <c r="E234" s="9" t="str">
        <f>IF(VLOOKUP($A234,Neuquén!$A$8:$O$291,5,FALSE)="","",VLOOKUP($A234,Neuquén!$A$8:$O$291,5,FALSE))</f>
        <v>CANULASDEMAYON°2</v>
      </c>
      <c r="F234" s="9" t="str">
        <f>IF(VLOOKUP($A234,Neuquén!$A$8:$O$291,7,FALSE)="","",VLOOKUP($A234,Neuquén!$A$8:$O$291,7,FALSE))</f>
        <v>Media</v>
      </c>
      <c r="G234" s="9" t="str">
        <f>IF(VLOOKUP($A234,Neuquén!$A$8:$O$291,6,FALSE)="","",VLOOKUP($A234,Neuquén!$A$8:$O$291,6,FALSE))</f>
        <v>Equivalencia a revisar</v>
      </c>
      <c r="H234" s="24" t="str">
        <f>IF(VLOOKUP($A234,'San Juan'!$A$8:$O$291,4,FALSE)="","",VLOOKUP($A234,'San Juan'!$A$8:$O$291,4,FALSE))</f>
        <v>DESC36</v>
      </c>
      <c r="I234" s="9" t="str">
        <f>IF(VLOOKUP($A234,'San Juan'!$A$8:$O$291,5,FALSE)="","",VLOOKUP($A234,'San Juan'!$A$8:$O$291,5,FALSE))</f>
        <v>Canula nasal</v>
      </c>
      <c r="J234" s="9" t="str">
        <f>IF(VLOOKUP($A234,'San Juan'!$A$8:$O$291,7,FALSE)="","",VLOOKUP($A234,'San Juan'!$A$8:$O$291,7,FALSE))</f>
        <v>Media</v>
      </c>
      <c r="K234" s="9" t="str">
        <f>IF(VLOOKUP($A234,'San Juan'!$A$8:$O$291,6,FALSE)="","",VLOOKUP($A234,'San Juan'!$A$8:$O$291,6,FALSE))</f>
        <v>Código compartido: revisar</v>
      </c>
      <c r="L234" s="24" t="str">
        <f>IF(VLOOKUP($A234,Salta!$A$8:$O$291,4,FALSE)="","",VLOOKUP($A234,Salta!$A$8:$O$291,4,FALSE))</f>
        <v>56</v>
      </c>
      <c r="M234" s="9" t="str">
        <f>IF(VLOOKUP($A234,Salta!$A$8:$O$291,5,FALSE)="","",VLOOKUP($A234,Salta!$A$8:$O$291,5,FALSE))</f>
        <v>Canula nasal para oxigeno</v>
      </c>
      <c r="N234" s="9" t="str">
        <f>IF(VLOOKUP($A234,Salta!$A$8:$O$291,7,FALSE)="","",VLOOKUP($A234,Salta!$A$8:$O$291,7,FALSE))</f>
        <v>Alta</v>
      </c>
      <c r="O234" s="9" t="str">
        <f>IF(VLOOKUP($A234,Salta!$A$8:$O$291,6,FALSE)="","",VLOOKUP($A234,Salta!$A$8:$O$291,6,FALSE))</f>
        <v>Coincidencia</v>
      </c>
      <c r="P234" s="24" t="str">
        <f>IF(VLOOKUP($A234,Neuquén!$A$8:$O$291,15,FALSE)="Homologado",VLOOKUP($A234,Neuquén!$A$8:$O$291,10,FALSE),"")</f>
        <v/>
      </c>
      <c r="Q234" s="24" t="str">
        <f>IF(VLOOKUP($A234,'San Juan'!$A$8:$O$291,15,FALSE)="Homologado",VLOOKUP($A234,'San Juan'!$A$8:$O$291,10,FALSE),"")</f>
        <v/>
      </c>
      <c r="R234" s="24" t="str">
        <f>IF(VLOOKUP($A234,Salta!$A$8:$O$291,15,FALSE)="Homologado",VLOOKUP($A234,Salta!$A$8:$O$291,10,FALSE),"")</f>
        <v/>
      </c>
      <c r="S234" s="24" t="str">
        <f>IF(VLOOKUP($A234,'Master vs SAP'!$A$8:$O$291,4,FALSE)="","",VLOOKUP($A234,'Master vs SAP'!$A$8:$O$291,4,FALSE))</f>
        <v>2000462</v>
      </c>
      <c r="T234" s="9" t="str">
        <f>IF(VLOOKUP($A234,'Master vs SAP'!$A$8:$O$291,5,FALSE)="","",VLOOKUP($A234,'Master vs SAP'!$A$8:$O$291,5,FALSE))</f>
        <v>BIGOTERA DESCARTABLE</v>
      </c>
      <c r="U234" s="9" t="str">
        <f>IF(VLOOKUP($A234,'Master vs SAP'!$A$8:$O$291,7,FALSE)="","",VLOOKUP($A234,'Master vs SAP'!$A$8:$O$291,7,FALSE))</f>
        <v>Alta</v>
      </c>
      <c r="V234" s="9" t="str">
        <f>IF(VLOOKUP($A234,'Master vs SAP'!$A$8:$O$291,6,FALSE)="","",VLOOKUP($A234,'Master vs SAP'!$A$8:$O$291,6,FALSE))</f>
        <v>Coincidencia</v>
      </c>
      <c r="W234" s="24" t="str">
        <f>IF(VLOOKUP($A234,'Master vs SAP'!$A$8:$O$291,15,FALSE)="Homologado",VLOOKUP($A234,'Master vs SAP'!$A$8:$O$291,10,FALSE),"")</f>
        <v/>
      </c>
    </row>
    <row r="235" spans="1:23" ht="61.95" customHeight="1">
      <c r="A235" s="9" t="s">
        <v>562</v>
      </c>
      <c r="B235" s="9" t="s">
        <v>537</v>
      </c>
      <c r="C235" s="9" t="s">
        <v>563</v>
      </c>
      <c r="D235" s="24" t="str">
        <f>IF(VLOOKUP($A235,Neuquén!$A$8:$O$291,4,FALSE)="","",VLOOKUP($A235,Neuquén!$A$8:$O$291,4,FALSE))</f>
        <v>542</v>
      </c>
      <c r="E235" s="9" t="str">
        <f>IF(VLOOKUP($A235,Neuquén!$A$8:$O$291,5,FALSE)="","",VLOOKUP($A235,Neuquén!$A$8:$O$291,5,FALSE))</f>
        <v>Filtro MHEF</v>
      </c>
      <c r="F235" s="9" t="str">
        <f>IF(VLOOKUP($A235,Neuquén!$A$8:$O$291,7,FALSE)="","",VLOOKUP($A235,Neuquén!$A$8:$O$291,7,FALSE))</f>
        <v>Sin coincidencia</v>
      </c>
      <c r="G235" s="9" t="str">
        <f>IF(VLOOKUP($A235,Neuquén!$A$8:$O$291,6,FALSE)="","",VLOOKUP($A235,Neuquén!$A$8:$O$291,6,FALSE))</f>
        <v>Código sin equivalencia validada</v>
      </c>
      <c r="H235" s="24" t="str">
        <f>IF(VLOOKUP($A235,'San Juan'!$A$8:$O$291,4,FALSE)="","",VLOOKUP($A235,'San Juan'!$A$8:$O$291,4,FALSE))</f>
        <v>DESC61</v>
      </c>
      <c r="I235" s="9" t="str">
        <f>IF(VLOOKUP($A235,'San Juan'!$A$8:$O$291,5,FALSE)="","",VLOOKUP($A235,'San Juan'!$A$8:$O$291,5,FALSE))</f>
        <v>Filtro para ventilación artificial</v>
      </c>
      <c r="J235" s="9" t="str">
        <f>IF(VLOOKUP($A235,'San Juan'!$A$8:$O$291,7,FALSE)="","",VLOOKUP($A235,'San Juan'!$A$8:$O$291,7,FALSE))</f>
        <v>Media</v>
      </c>
      <c r="K235" s="9" t="str">
        <f>IF(VLOOKUP($A235,'San Juan'!$A$8:$O$291,6,FALSE)="","",VLOOKUP($A235,'San Juan'!$A$8:$O$291,6,FALSE))</f>
        <v>Equivalencia a revisar</v>
      </c>
      <c r="L235" s="24" t="str">
        <f>IF(VLOOKUP($A235,Salta!$A$8:$O$291,4,FALSE)="","",VLOOKUP($A235,Salta!$A$8:$O$291,4,FALSE))</f>
        <v/>
      </c>
      <c r="M235" s="9" t="str">
        <f>IF(VLOOKUP($A235,Salta!$A$8:$O$291,5,FALSE)="","",VLOOKUP($A235,Salta!$A$8:$O$291,5,FALSE))</f>
        <v/>
      </c>
      <c r="N235" s="9" t="str">
        <f>IF(VLOOKUP($A235,Salta!$A$8:$O$291,7,FALSE)="","",VLOOKUP($A235,Salta!$A$8:$O$291,7,FALSE))</f>
        <v>Sin coincidencia</v>
      </c>
      <c r="O235" s="9" t="str">
        <f>IF(VLOOKUP($A235,Salta!$A$8:$O$291,6,FALSE)="","",VLOOKUP($A235,Salta!$A$8:$O$291,6,FALSE))</f>
        <v>Sin coincidencia</v>
      </c>
      <c r="P235" s="24" t="str">
        <f>IF(VLOOKUP($A235,Neuquén!$A$8:$O$291,15,FALSE)="Homologado",VLOOKUP($A235,Neuquén!$A$8:$O$291,10,FALSE),"")</f>
        <v/>
      </c>
      <c r="Q235" s="24" t="str">
        <f>IF(VLOOKUP($A235,'San Juan'!$A$8:$O$291,15,FALSE)="Homologado",VLOOKUP($A235,'San Juan'!$A$8:$O$291,10,FALSE),"")</f>
        <v/>
      </c>
      <c r="R235" s="24" t="str">
        <f>IF(VLOOKUP($A235,Salta!$A$8:$O$291,15,FALSE)="Homologado",VLOOKUP($A235,Salta!$A$8:$O$291,10,FALSE),"")</f>
        <v/>
      </c>
      <c r="S235" s="24" t="str">
        <f>IF(VLOOKUP($A235,'Master vs SAP'!$A$8:$O$291,4,FALSE)="","",VLOOKUP($A235,'Master vs SAP'!$A$8:$O$291,4,FALSE))</f>
        <v>2000256
2001253</v>
      </c>
      <c r="T235" s="9" t="str">
        <f>IF(VLOOKUP($A235,'Master vs SAP'!$A$8:$O$291,5,FALSE)="","",VLOOKUP($A235,'Master vs SAP'!$A$8:$O$291,5,FALSE))</f>
        <v>FILTRO HMEF C/PTO LUER LOCK REF-70313
FILTRO RESP TQT HMEF ADULTO</v>
      </c>
      <c r="U235" s="9" t="str">
        <f>IF(VLOOKUP($A235,'Master vs SAP'!$A$8:$O$291,7,FALSE)="","",VLOOKUP($A235,'Master vs SAP'!$A$8:$O$291,7,FALSE))</f>
        <v>Media</v>
      </c>
      <c r="V235" s="9" t="str">
        <f>IF(VLOOKUP($A235,'Master vs SAP'!$A$8:$O$291,6,FALSE)="","",VLOOKUP($A235,'Master vs SAP'!$A$8:$O$291,6,FALSE))</f>
        <v>Revisar datos</v>
      </c>
      <c r="W235" s="24" t="str">
        <f>IF(VLOOKUP($A235,'Master vs SAP'!$A$8:$O$291,15,FALSE)="Homologado",VLOOKUP($A235,'Master vs SAP'!$A$8:$O$291,10,FALSE),"")</f>
        <v/>
      </c>
    </row>
    <row r="236" spans="1:23" ht="78" customHeight="1">
      <c r="A236" s="9" t="s">
        <v>564</v>
      </c>
      <c r="B236" s="9" t="s">
        <v>537</v>
      </c>
      <c r="C236" s="9" t="s">
        <v>565</v>
      </c>
      <c r="D236" s="24" t="str">
        <f>IF(VLOOKUP($A236,Neuquén!$A$8:$O$291,4,FALSE)="","",VLOOKUP($A236,Neuquén!$A$8:$O$291,4,FALSE))</f>
        <v>393</v>
      </c>
      <c r="E236" s="9" t="str">
        <f>IF(VLOOKUP($A236,Neuquén!$A$8:$O$291,5,FALSE)="","",VLOOKUP($A236,Neuquén!$A$8:$O$291,5,FALSE))</f>
        <v>OXIMETRODEPULSO</v>
      </c>
      <c r="F236" s="9" t="str">
        <f>IF(VLOOKUP($A236,Neuquén!$A$8:$O$291,7,FALSE)="","",VLOOKUP($A236,Neuquén!$A$8:$O$291,7,FALSE))</f>
        <v>Media</v>
      </c>
      <c r="G236" s="9" t="str">
        <f>IF(VLOOKUP($A236,Neuquén!$A$8:$O$291,6,FALSE)="","",VLOOKUP($A236,Neuquén!$A$8:$O$291,6,FALSE))</f>
        <v>Código compartido: revisar</v>
      </c>
      <c r="H236" s="24" t="str">
        <f>IF(VLOOKUP($A236,'San Juan'!$A$8:$O$291,4,FALSE)="","",VLOOKUP($A236,'San Juan'!$A$8:$O$291,4,FALSE))</f>
        <v>DESC113</v>
      </c>
      <c r="I236" s="9" t="str">
        <f>IF(VLOOKUP($A236,'San Juan'!$A$8:$O$291,5,FALSE)="","",VLOOKUP($A236,'San Juan'!$A$8:$O$291,5,FALSE))</f>
        <v>Saturómetro</v>
      </c>
      <c r="J236" s="9" t="str">
        <f>IF(VLOOKUP($A236,'San Juan'!$A$8:$O$291,7,FALSE)="","",VLOOKUP($A236,'San Juan'!$A$8:$O$291,7,FALSE))</f>
        <v>Media</v>
      </c>
      <c r="K236" s="9" t="str">
        <f>IF(VLOOKUP($A236,'San Juan'!$A$8:$O$291,6,FALSE)="","",VLOOKUP($A236,'San Juan'!$A$8:$O$291,6,FALSE))</f>
        <v>Código compartido: revisar</v>
      </c>
      <c r="L236" s="24" t="str">
        <f>IF(VLOOKUP($A236,Salta!$A$8:$O$291,4,FALSE)="","",VLOOKUP($A236,Salta!$A$8:$O$291,4,FALSE))</f>
        <v>195</v>
      </c>
      <c r="M236" s="9" t="str">
        <f>IF(VLOOKUP($A236,Salta!$A$8:$O$291,5,FALSE)="","",VLOOKUP($A236,Salta!$A$8:$O$291,5,FALSE))</f>
        <v>Oximetro de pulso digital</v>
      </c>
      <c r="N236" s="9" t="str">
        <f>IF(VLOOKUP($A236,Salta!$A$8:$O$291,7,FALSE)="","",VLOOKUP($A236,Salta!$A$8:$O$291,7,FALSE))</f>
        <v>Alta</v>
      </c>
      <c r="O236" s="9" t="str">
        <f>IF(VLOOKUP($A236,Salta!$A$8:$O$291,6,FALSE)="","",VLOOKUP($A236,Salta!$A$8:$O$291,6,FALSE))</f>
        <v>Coincidencia</v>
      </c>
      <c r="P236" s="24" t="str">
        <f>IF(VLOOKUP($A236,Neuquén!$A$8:$O$291,15,FALSE)="Homologado",VLOOKUP($A236,Neuquén!$A$8:$O$291,10,FALSE),"")</f>
        <v/>
      </c>
      <c r="Q236" s="24" t="str">
        <f>IF(VLOOKUP($A236,'San Juan'!$A$8:$O$291,15,FALSE)="Homologado",VLOOKUP($A236,'San Juan'!$A$8:$O$291,10,FALSE),"")</f>
        <v/>
      </c>
      <c r="R236" s="24" t="str">
        <f>IF(VLOOKUP($A236,Salta!$A$8:$O$291,15,FALSE)="Homologado",VLOOKUP($A236,Salta!$A$8:$O$291,10,FALSE),"")</f>
        <v/>
      </c>
      <c r="S236" s="24" t="str">
        <f>IF(VLOOKUP($A236,'Master vs SAP'!$A$8:$O$291,4,FALSE)="","",VLOOKUP($A236,'Master vs SAP'!$A$8:$O$291,4,FALSE))</f>
        <v>2001219
5000971
5004072
2001510</v>
      </c>
      <c r="T236" s="9" t="str">
        <f>IF(VLOOKUP($A236,'Master vs SAP'!$A$8:$O$291,5,FALSE)="","",VLOOKUP($A236,'Master vs SAP'!$A$8:$O$291,5,FALSE))</f>
        <v>OXIMETRO DE PULSO
OXIMETRO DE PULSO
OXIMETRO/SATUROMETRO DE PULSO SILFAB
SATUROMETRO PORTATIL PILAS SAN-UP A310</v>
      </c>
      <c r="U236" s="9" t="str">
        <f>IF(VLOOKUP($A236,'Master vs SAP'!$A$8:$O$291,7,FALSE)="","",VLOOKUP($A236,'Master vs SAP'!$A$8:$O$291,7,FALSE))</f>
        <v>Alta</v>
      </c>
      <c r="V236" s="9" t="str">
        <f>IF(VLOOKUP($A236,'Master vs SAP'!$A$8:$O$291,6,FALSE)="","",VLOOKUP($A236,'Master vs SAP'!$A$8:$O$291,6,FALSE))</f>
        <v>Coincidencia</v>
      </c>
      <c r="W236" s="24" t="str">
        <f>IF(VLOOKUP($A236,'Master vs SAP'!$A$8:$O$291,15,FALSE)="Homologado",VLOOKUP($A236,'Master vs SAP'!$A$8:$O$291,10,FALSE),"")</f>
        <v/>
      </c>
    </row>
    <row r="237" spans="1:23" ht="61.95" customHeight="1">
      <c r="A237" s="9" t="s">
        <v>566</v>
      </c>
      <c r="B237" s="9" t="s">
        <v>537</v>
      </c>
      <c r="C237" s="9" t="s">
        <v>567</v>
      </c>
      <c r="D237" s="24" t="str">
        <f>IF(VLOOKUP($A237,Neuquén!$A$8:$O$291,4,FALSE)="","",VLOOKUP($A237,Neuquén!$A$8:$O$291,4,FALSE))</f>
        <v>411</v>
      </c>
      <c r="E237" s="9" t="str">
        <f>IF(VLOOKUP($A237,Neuquén!$A$8:$O$291,5,FALSE)="","",VLOOKUP($A237,Neuquén!$A$8:$O$291,5,FALSE))</f>
        <v>COLLAR FILADELFIA (distintas med.)</v>
      </c>
      <c r="F237" s="9" t="str">
        <f>IF(VLOOKUP($A237,Neuquén!$A$8:$O$291,7,FALSE)="","",VLOOKUP($A237,Neuquén!$A$8:$O$291,7,FALSE))</f>
        <v>Sin coincidencia</v>
      </c>
      <c r="G237" s="9" t="str">
        <f>IF(VLOOKUP($A237,Neuquén!$A$8:$O$291,6,FALSE)="","",VLOOKUP($A237,Neuquén!$A$8:$O$291,6,FALSE))</f>
        <v>Código compartido: revisar</v>
      </c>
      <c r="H237" s="24" t="str">
        <f>IF(VLOOKUP($A237,'San Juan'!$A$8:$O$291,4,FALSE)="","",VLOOKUP($A237,'San Juan'!$A$8:$O$291,4,FALSE))</f>
        <v/>
      </c>
      <c r="I237" s="9" t="str">
        <f>IF(VLOOKUP($A237,'San Juan'!$A$8:$O$291,5,FALSE)="","",VLOOKUP($A237,'San Juan'!$A$8:$O$291,5,FALSE))</f>
        <v/>
      </c>
      <c r="J237" s="9" t="str">
        <f>IF(VLOOKUP($A237,'San Juan'!$A$8:$O$291,7,FALSE)="","",VLOOKUP($A237,'San Juan'!$A$8:$O$291,7,FALSE))</f>
        <v>Sin coincidencia</v>
      </c>
      <c r="K237" s="9" t="str">
        <f>IF(VLOOKUP($A237,'San Juan'!$A$8:$O$291,6,FALSE)="","",VLOOKUP($A237,'San Juan'!$A$8:$O$291,6,FALSE))</f>
        <v>Sin código encontrado</v>
      </c>
      <c r="L237" s="24" t="str">
        <f>IF(VLOOKUP($A237,Salta!$A$8:$O$291,4,FALSE)="","",VLOOKUP($A237,Salta!$A$8:$O$291,4,FALSE))</f>
        <v>329</v>
      </c>
      <c r="M237" s="9" t="str">
        <f>IF(VLOOKUP($A237,Salta!$A$8:$O$291,5,FALSE)="","",VLOOKUP($A237,Salta!$A$8:$O$291,5,FALSE))</f>
        <v>Collar Cervical TU regulable</v>
      </c>
      <c r="N237" s="9" t="str">
        <f>IF(VLOOKUP($A237,Salta!$A$8:$O$291,7,FALSE)="","",VLOOKUP($A237,Salta!$A$8:$O$291,7,FALSE))</f>
        <v>Media</v>
      </c>
      <c r="O237" s="9" t="str">
        <f>IF(VLOOKUP($A237,Salta!$A$8:$O$291,6,FALSE)="","",VLOOKUP($A237,Salta!$A$8:$O$291,6,FALSE))</f>
        <v>Revisar datos</v>
      </c>
      <c r="P237" s="24" t="str">
        <f>IF(VLOOKUP($A237,Neuquén!$A$8:$O$291,15,FALSE)="Homologado",VLOOKUP($A237,Neuquén!$A$8:$O$291,10,FALSE),"")</f>
        <v/>
      </c>
      <c r="Q237" s="24" t="str">
        <f>IF(VLOOKUP($A237,'San Juan'!$A$8:$O$291,15,FALSE)="Homologado",VLOOKUP($A237,'San Juan'!$A$8:$O$291,10,FALSE),"")</f>
        <v/>
      </c>
      <c r="R237" s="24" t="str">
        <f>IF(VLOOKUP($A237,Salta!$A$8:$O$291,15,FALSE)="Homologado",VLOOKUP($A237,Salta!$A$8:$O$291,10,FALSE),"")</f>
        <v/>
      </c>
      <c r="S237" s="24" t="str">
        <f>IF(VLOOKUP($A237,'Master vs SAP'!$A$8:$O$291,4,FALSE)="","",VLOOKUP($A237,'Master vs SAP'!$A$8:$O$291,4,FALSE))</f>
        <v>2001447</v>
      </c>
      <c r="T237" s="9" t="str">
        <f>IF(VLOOKUP($A237,'Master vs SAP'!$A$8:$O$291,5,FALSE)="","",VLOOKUP($A237,'Master vs SAP'!$A$8:$O$291,5,FALSE))</f>
        <v>COLLAR CERVICAL AJUSTABLE ADULTO</v>
      </c>
      <c r="U237" s="9" t="str">
        <f>IF(VLOOKUP($A237,'Master vs SAP'!$A$8:$O$291,7,FALSE)="","",VLOOKUP($A237,'Master vs SAP'!$A$8:$O$291,7,FALSE))</f>
        <v>Alta</v>
      </c>
      <c r="V237" s="9" t="str">
        <f>IF(VLOOKUP($A237,'Master vs SAP'!$A$8:$O$291,6,FALSE)="","",VLOOKUP($A237,'Master vs SAP'!$A$8:$O$291,6,FALSE))</f>
        <v>Coincidencia</v>
      </c>
      <c r="W237" s="24" t="str">
        <f>IF(VLOOKUP($A237,'Master vs SAP'!$A$8:$O$291,15,FALSE)="Homologado",VLOOKUP($A237,'Master vs SAP'!$A$8:$O$291,10,FALSE),"")</f>
        <v/>
      </c>
    </row>
    <row r="238" spans="1:23" ht="61.95" customHeight="1">
      <c r="A238" s="9" t="s">
        <v>568</v>
      </c>
      <c r="B238" s="9" t="s">
        <v>537</v>
      </c>
      <c r="C238" s="9" t="s">
        <v>569</v>
      </c>
      <c r="D238" s="24" t="str">
        <f>IF(VLOOKUP($A238,Neuquén!$A$8:$O$291,4,FALSE)="","",VLOOKUP($A238,Neuquén!$A$8:$O$291,4,FALSE))</f>
        <v>404</v>
      </c>
      <c r="E238" s="9" t="str">
        <f>IF(VLOOKUP($A238,Neuquén!$A$8:$O$291,5,FALSE)="","",VLOOKUP($A238,Neuquén!$A$8:$O$291,5,FALSE))</f>
        <v>GUANTESESTERILES</v>
      </c>
      <c r="F238" s="9" t="str">
        <f>IF(VLOOKUP($A238,Neuquén!$A$8:$O$291,7,FALSE)="","",VLOOKUP($A238,Neuquén!$A$8:$O$291,7,FALSE))</f>
        <v>Media</v>
      </c>
      <c r="G238" s="9" t="str">
        <f>IF(VLOOKUP($A238,Neuquén!$A$8:$O$291,6,FALSE)="","",VLOOKUP($A238,Neuquén!$A$8:$O$291,6,FALSE))</f>
        <v>Código compartido: revisar</v>
      </c>
      <c r="H238" s="24" t="str">
        <f>IF(VLOOKUP($A238,'San Juan'!$A$8:$O$291,4,FALSE)="","",VLOOKUP($A238,'San Juan'!$A$8:$O$291,4,FALSE))</f>
        <v/>
      </c>
      <c r="I238" s="9" t="str">
        <f>IF(VLOOKUP($A238,'San Juan'!$A$8:$O$291,5,FALSE)="","",VLOOKUP($A238,'San Juan'!$A$8:$O$291,5,FALSE))</f>
        <v/>
      </c>
      <c r="J238" s="9" t="str">
        <f>IF(VLOOKUP($A238,'San Juan'!$A$8:$O$291,7,FALSE)="","",VLOOKUP($A238,'San Juan'!$A$8:$O$291,7,FALSE))</f>
        <v>Sin coincidencia</v>
      </c>
      <c r="K238" s="9" t="str">
        <f>IF(VLOOKUP($A238,'San Juan'!$A$8:$O$291,6,FALSE)="","",VLOOKUP($A238,'San Juan'!$A$8:$O$291,6,FALSE))</f>
        <v>Sin código encontrado</v>
      </c>
      <c r="L238" s="24" t="str">
        <f>IF(VLOOKUP($A238,Salta!$A$8:$O$291,4,FALSE)="","",VLOOKUP($A238,Salta!$A$8:$O$291,4,FALSE))</f>
        <v>137
138</v>
      </c>
      <c r="M238" s="9" t="str">
        <f>IF(VLOOKUP($A238,Salta!$A$8:$O$291,5,FALSE)="","",VLOOKUP($A238,Salta!$A$8:$O$291,5,FALSE))</f>
        <v>Guantes esteriles 7.5
Guantes Estériles 8.0</v>
      </c>
      <c r="N238" s="9" t="str">
        <f>IF(VLOOKUP($A238,Salta!$A$8:$O$291,7,FALSE)="","",VLOOKUP($A238,Salta!$A$8:$O$291,7,FALSE))</f>
        <v>Media</v>
      </c>
      <c r="O238" s="9" t="str">
        <f>IF(VLOOKUP($A238,Salta!$A$8:$O$291,6,FALSE)="","",VLOOKUP($A238,Salta!$A$8:$O$291,6,FALSE))</f>
        <v>Revisar grupo</v>
      </c>
      <c r="P238" s="24" t="str">
        <f>IF(VLOOKUP($A238,Neuquén!$A$8:$O$291,15,FALSE)="Homologado",VLOOKUP($A238,Neuquén!$A$8:$O$291,10,FALSE),"")</f>
        <v/>
      </c>
      <c r="Q238" s="24" t="str">
        <f>IF(VLOOKUP($A238,'San Juan'!$A$8:$O$291,15,FALSE)="Homologado",VLOOKUP($A238,'San Juan'!$A$8:$O$291,10,FALSE),"")</f>
        <v/>
      </c>
      <c r="R238" s="24" t="str">
        <f>IF(VLOOKUP($A238,Salta!$A$8:$O$291,15,FALSE)="Homologado",VLOOKUP($A238,Salta!$A$8:$O$291,10,FALSE),"")</f>
        <v/>
      </c>
      <c r="S238" s="24" t="str">
        <f>IF(VLOOKUP($A238,'Master vs SAP'!$A$8:$O$291,4,FALSE)="","",VLOOKUP($A238,'Master vs SAP'!$A$8:$O$291,4,FALSE))</f>
        <v>2000021
2000022</v>
      </c>
      <c r="T238" s="9" t="str">
        <f>IF(VLOOKUP($A238,'Master vs SAP'!$A$8:$O$291,5,FALSE)="","",VLOOKUP($A238,'Master vs SAP'!$A$8:$O$291,5,FALSE))</f>
        <v>GUANTES ESTERILES Nº 7.5 POR PAR
GUANTES ESTERILES Nº 8 POR PAR</v>
      </c>
      <c r="U238" s="9" t="str">
        <f>IF(VLOOKUP($A238,'Master vs SAP'!$A$8:$O$291,7,FALSE)="","",VLOOKUP($A238,'Master vs SAP'!$A$8:$O$291,7,FALSE))</f>
        <v>Media</v>
      </c>
      <c r="V238" s="9" t="str">
        <f>IF(VLOOKUP($A238,'Master vs SAP'!$A$8:$O$291,6,FALSE)="","",VLOOKUP($A238,'Master vs SAP'!$A$8:$O$291,6,FALSE))</f>
        <v>Revisar grupo</v>
      </c>
      <c r="W238" s="24" t="str">
        <f>IF(VLOOKUP($A238,'Master vs SAP'!$A$8:$O$291,15,FALSE)="Homologado",VLOOKUP($A238,'Master vs SAP'!$A$8:$O$291,10,FALSE),"")</f>
        <v/>
      </c>
    </row>
    <row r="239" spans="1:23" ht="61.95" customHeight="1">
      <c r="A239" s="9" t="s">
        <v>570</v>
      </c>
      <c r="B239" s="9" t="s">
        <v>537</v>
      </c>
      <c r="C239" s="9" t="s">
        <v>571</v>
      </c>
      <c r="D239" s="24" t="str">
        <f>IF(VLOOKUP($A239,Neuquén!$A$8:$O$291,4,FALSE)="","",VLOOKUP($A239,Neuquén!$A$8:$O$291,4,FALSE))</f>
        <v>274</v>
      </c>
      <c r="E239" s="9" t="str">
        <f>IF(VLOOKUP($A239,Neuquén!$A$8:$O$291,5,FALSE)="","",VLOOKUP($A239,Neuquén!$A$8:$O$291,5,FALSE))</f>
        <v>Guantesn°7</v>
      </c>
      <c r="F239" s="9" t="str">
        <f>IF(VLOOKUP($A239,Neuquén!$A$8:$O$291,7,FALSE)="","",VLOOKUP($A239,Neuquén!$A$8:$O$291,7,FALSE))</f>
        <v>Media</v>
      </c>
      <c r="G239" s="9" t="str">
        <f>IF(VLOOKUP($A239,Neuquén!$A$8:$O$291,6,FALSE)="","",VLOOKUP($A239,Neuquén!$A$8:$O$291,6,FALSE))</f>
        <v>Código compartido: revisar</v>
      </c>
      <c r="H239" s="24" t="str">
        <f>IF(VLOOKUP($A239,'San Juan'!$A$8:$O$291,4,FALSE)="","",VLOOKUP($A239,'San Juan'!$A$8:$O$291,4,FALSE))</f>
        <v>DESC67</v>
      </c>
      <c r="I239" s="9" t="str">
        <f>IF(VLOOKUP($A239,'San Juan'!$A$8:$O$291,5,FALSE)="","",VLOOKUP($A239,'San Juan'!$A$8:$O$291,5,FALSE))</f>
        <v>Guantes de examinacion G c/u</v>
      </c>
      <c r="J239" s="9" t="str">
        <f>IF(VLOOKUP($A239,'San Juan'!$A$8:$O$291,7,FALSE)="","",VLOOKUP($A239,'San Juan'!$A$8:$O$291,7,FALSE))</f>
        <v>Media</v>
      </c>
      <c r="K239" s="9" t="str">
        <f>IF(VLOOKUP($A239,'San Juan'!$A$8:$O$291,6,FALSE)="","",VLOOKUP($A239,'San Juan'!$A$8:$O$291,6,FALSE))</f>
        <v>Código compartido: revisar</v>
      </c>
      <c r="L239" s="24" t="str">
        <f>IF(VLOOKUP($A239,Salta!$A$8:$O$291,4,FALSE)="","",VLOOKUP($A239,Salta!$A$8:$O$291,4,FALSE))</f>
        <v>133
135
134</v>
      </c>
      <c r="M239" s="9" t="str">
        <f>IF(VLOOKUP($A239,Salta!$A$8:$O$291,5,FALSE)="","",VLOOKUP($A239,Salta!$A$8:$O$291,5,FALSE))</f>
        <v>Guantes de latex chico no esteriles
Guantes de latex mediano no esteril
Guantes de latex grande no esteril</v>
      </c>
      <c r="N239" s="9" t="str">
        <f>IF(VLOOKUP($A239,Salta!$A$8:$O$291,7,FALSE)="","",VLOOKUP($A239,Salta!$A$8:$O$291,7,FALSE))</f>
        <v>Media</v>
      </c>
      <c r="O239" s="9" t="str">
        <f>IF(VLOOKUP($A239,Salta!$A$8:$O$291,6,FALSE)="","",VLOOKUP($A239,Salta!$A$8:$O$291,6,FALSE))</f>
        <v>Revisar grupo</v>
      </c>
      <c r="P239" s="24" t="str">
        <f>IF(VLOOKUP($A239,Neuquén!$A$8:$O$291,15,FALSE)="Homologado",VLOOKUP($A239,Neuquén!$A$8:$O$291,10,FALSE),"")</f>
        <v/>
      </c>
      <c r="Q239" s="24" t="str">
        <f>IF(VLOOKUP($A239,'San Juan'!$A$8:$O$291,15,FALSE)="Homologado",VLOOKUP($A239,'San Juan'!$A$8:$O$291,10,FALSE),"")</f>
        <v/>
      </c>
      <c r="R239" s="24" t="str">
        <f>IF(VLOOKUP($A239,Salta!$A$8:$O$291,15,FALSE)="Homologado",VLOOKUP($A239,Salta!$A$8:$O$291,10,FALSE),"")</f>
        <v/>
      </c>
      <c r="S239" s="24" t="str">
        <f>IF(VLOOKUP($A239,'Master vs SAP'!$A$8:$O$291,4,FALSE)="","",VLOOKUP($A239,'Master vs SAP'!$A$8:$O$291,4,FALSE))</f>
        <v>2000270
2000158
2000157</v>
      </c>
      <c r="T239" s="9" t="str">
        <f>IF(VLOOKUP($A239,'Master vs SAP'!$A$8:$O$291,5,FALSE)="","",VLOOKUP($A239,'Master vs SAP'!$A$8:$O$291,5,FALSE))</f>
        <v>GUANTES DE EXAMINACION TALLE S
GUANTES DE EXAMINACIÓN TALLE M
GUANTES DE EXAMINACIÓN TALLE L</v>
      </c>
      <c r="U239" s="9" t="str">
        <f>IF(VLOOKUP($A239,'Master vs SAP'!$A$8:$O$291,7,FALSE)="","",VLOOKUP($A239,'Master vs SAP'!$A$8:$O$291,7,FALSE))</f>
        <v>Media</v>
      </c>
      <c r="V239" s="9" t="str">
        <f>IF(VLOOKUP($A239,'Master vs SAP'!$A$8:$O$291,6,FALSE)="","",VLOOKUP($A239,'Master vs SAP'!$A$8:$O$291,6,FALSE))</f>
        <v>Revisar grupo</v>
      </c>
      <c r="W239" s="24" t="str">
        <f>IF(VLOOKUP($A239,'Master vs SAP'!$A$8:$O$291,15,FALSE)="Homologado",VLOOKUP($A239,'Master vs SAP'!$A$8:$O$291,10,FALSE),"")</f>
        <v/>
      </c>
    </row>
    <row r="240" spans="1:23" ht="61.95" customHeight="1">
      <c r="A240" s="9" t="s">
        <v>572</v>
      </c>
      <c r="B240" s="9" t="s">
        <v>537</v>
      </c>
      <c r="C240" s="9" t="s">
        <v>573</v>
      </c>
      <c r="D240" s="24" t="str">
        <f>IF(VLOOKUP($A240,Neuquén!$A$8:$O$291,4,FALSE)="","",VLOOKUP($A240,Neuquén!$A$8:$O$291,4,FALSE))</f>
        <v>1002</v>
      </c>
      <c r="E240" s="9" t="str">
        <f>IF(VLOOKUP($A240,Neuquén!$A$8:$O$291,5,FALSE)="","",VLOOKUP($A240,Neuquén!$A$8:$O$291,5,FALSE))</f>
        <v>ANTIPARRA</v>
      </c>
      <c r="F240" s="9" t="str">
        <f>IF(VLOOKUP($A240,Neuquén!$A$8:$O$291,7,FALSE)="","",VLOOKUP($A240,Neuquén!$A$8:$O$291,7,FALSE))</f>
        <v>Sin coincidencia</v>
      </c>
      <c r="G240" s="9" t="str">
        <f>IF(VLOOKUP($A240,Neuquén!$A$8:$O$291,6,FALSE)="","",VLOOKUP($A240,Neuquén!$A$8:$O$291,6,FALSE))</f>
        <v>Código compartido: revisar</v>
      </c>
      <c r="H240" s="24" t="str">
        <f>IF(VLOOKUP($A240,'San Juan'!$A$8:$O$291,4,FALSE)="","",VLOOKUP($A240,'San Juan'!$A$8:$O$291,4,FALSE))</f>
        <v/>
      </c>
      <c r="I240" s="9" t="str">
        <f>IF(VLOOKUP($A240,'San Juan'!$A$8:$O$291,5,FALSE)="","",VLOOKUP($A240,'San Juan'!$A$8:$O$291,5,FALSE))</f>
        <v/>
      </c>
      <c r="J240" s="9" t="str">
        <f>IF(VLOOKUP($A240,'San Juan'!$A$8:$O$291,7,FALSE)="","",VLOOKUP($A240,'San Juan'!$A$8:$O$291,7,FALSE))</f>
        <v>Sin coincidencia</v>
      </c>
      <c r="K240" s="9" t="str">
        <f>IF(VLOOKUP($A240,'San Juan'!$A$8:$O$291,6,FALSE)="","",VLOOKUP($A240,'San Juan'!$A$8:$O$291,6,FALSE))</f>
        <v>Sin código encontrado</v>
      </c>
      <c r="L240" s="24" t="str">
        <f>IF(VLOOKUP($A240,Salta!$A$8:$O$291,4,FALSE)="","",VLOOKUP($A240,Salta!$A$8:$O$291,4,FALSE))</f>
        <v>273</v>
      </c>
      <c r="M240" s="9" t="str">
        <f>IF(VLOOKUP($A240,Salta!$A$8:$O$291,5,FALSE)="","",VLOOKUP($A240,Salta!$A$8:$O$291,5,FALSE))</f>
        <v>Antiparras transparentes</v>
      </c>
      <c r="N240" s="9" t="str">
        <f>IF(VLOOKUP($A240,Salta!$A$8:$O$291,7,FALSE)="","",VLOOKUP($A240,Salta!$A$8:$O$291,7,FALSE))</f>
        <v>Alta</v>
      </c>
      <c r="O240" s="9" t="str">
        <f>IF(VLOOKUP($A240,Salta!$A$8:$O$291,6,FALSE)="","",VLOOKUP($A240,Salta!$A$8:$O$291,6,FALSE))</f>
        <v>Coincidencia</v>
      </c>
      <c r="P240" s="24" t="str">
        <f>IF(VLOOKUP($A240,Neuquén!$A$8:$O$291,15,FALSE)="Homologado",VLOOKUP($A240,Neuquén!$A$8:$O$291,10,FALSE),"")</f>
        <v/>
      </c>
      <c r="Q240" s="24" t="str">
        <f>IF(VLOOKUP($A240,'San Juan'!$A$8:$O$291,15,FALSE)="Homologado",VLOOKUP($A240,'San Juan'!$A$8:$O$291,10,FALSE),"")</f>
        <v/>
      </c>
      <c r="R240" s="24" t="str">
        <f>IF(VLOOKUP($A240,Salta!$A$8:$O$291,15,FALSE)="Homologado",VLOOKUP($A240,Salta!$A$8:$O$291,10,FALSE),"")</f>
        <v/>
      </c>
      <c r="S240" s="24" t="str">
        <f>IF(VLOOKUP($A240,'Master vs SAP'!$A$8:$O$291,4,FALSE)="","",VLOOKUP($A240,'Master vs SAP'!$A$8:$O$291,4,FALSE))</f>
        <v>2000010</v>
      </c>
      <c r="T240" s="9" t="str">
        <f>IF(VLOOKUP($A240,'Master vs SAP'!$A$8:$O$291,5,FALSE)="","",VLOOKUP($A240,'Master vs SAP'!$A$8:$O$291,5,FALSE))</f>
        <v>ANTIPARRA DE PLASTICO</v>
      </c>
      <c r="U240" s="9" t="str">
        <f>IF(VLOOKUP($A240,'Master vs SAP'!$A$8:$O$291,7,FALSE)="","",VLOOKUP($A240,'Master vs SAP'!$A$8:$O$291,7,FALSE))</f>
        <v>Alta</v>
      </c>
      <c r="V240" s="9" t="str">
        <f>IF(VLOOKUP($A240,'Master vs SAP'!$A$8:$O$291,6,FALSE)="","",VLOOKUP($A240,'Master vs SAP'!$A$8:$O$291,6,FALSE))</f>
        <v>Coincidencia</v>
      </c>
      <c r="W240" s="24" t="str">
        <f>IF(VLOOKUP($A240,'Master vs SAP'!$A$8:$O$291,15,FALSE)="Homologado",VLOOKUP($A240,'Master vs SAP'!$A$8:$O$291,10,FALSE),"")</f>
        <v/>
      </c>
    </row>
    <row r="241" spans="1:23" ht="78" customHeight="1">
      <c r="A241" s="9" t="s">
        <v>574</v>
      </c>
      <c r="B241" s="9" t="s">
        <v>537</v>
      </c>
      <c r="C241" s="9" t="s">
        <v>575</v>
      </c>
      <c r="D241" s="24" t="str">
        <f>IF(VLOOKUP($A241,Neuquén!$A$8:$O$291,4,FALSE)="","",VLOOKUP($A241,Neuquén!$A$8:$O$291,4,FALSE))</f>
        <v>256</v>
      </c>
      <c r="E241" s="9" t="str">
        <f>IF(VLOOKUP($A241,Neuquén!$A$8:$O$291,5,FALSE)="","",VLOOKUP($A241,Neuquén!$A$8:$O$291,5,FALSE))</f>
        <v>Apositosesteril</v>
      </c>
      <c r="F241" s="9" t="str">
        <f>IF(VLOOKUP($A241,Neuquén!$A$8:$O$291,7,FALSE)="","",VLOOKUP($A241,Neuquén!$A$8:$O$291,7,FALSE))</f>
        <v>Media</v>
      </c>
      <c r="G241" s="9" t="str">
        <f>IF(VLOOKUP($A241,Neuquén!$A$8:$O$291,6,FALSE)="","",VLOOKUP($A241,Neuquén!$A$8:$O$291,6,FALSE))</f>
        <v>Código compartido: revisar</v>
      </c>
      <c r="H241" s="24" t="str">
        <f>IF(VLOOKUP($A241,'San Juan'!$A$8:$O$291,4,FALSE)="","",VLOOKUP($A241,'San Juan'!$A$8:$O$291,4,FALSE))</f>
        <v>DESC21</v>
      </c>
      <c r="I241" s="9" t="str">
        <f>IF(VLOOKUP($A241,'San Juan'!$A$8:$O$291,5,FALSE)="","",VLOOKUP($A241,'San Juan'!$A$8:$O$291,5,FALSE))</f>
        <v>Apositos estériles</v>
      </c>
      <c r="J241" s="9" t="str">
        <f>IF(VLOOKUP($A241,'San Juan'!$A$8:$O$291,7,FALSE)="","",VLOOKUP($A241,'San Juan'!$A$8:$O$291,7,FALSE))</f>
        <v>Media</v>
      </c>
      <c r="K241" s="9" t="str">
        <f>IF(VLOOKUP($A241,'San Juan'!$A$8:$O$291,6,FALSE)="","",VLOOKUP($A241,'San Juan'!$A$8:$O$291,6,FALSE))</f>
        <v>Código compartido: revisar</v>
      </c>
      <c r="L241" s="24" t="str">
        <f>IF(VLOOKUP($A241,Salta!$A$8:$O$291,4,FALSE)="","",VLOOKUP($A241,Salta!$A$8:$O$291,4,FALSE))</f>
        <v>37</v>
      </c>
      <c r="M241" s="9" t="str">
        <f>IF(VLOOKUP($A241,Salta!$A$8:$O$291,5,FALSE)="","",VLOOKUP($A241,Salta!$A$8:$O$291,5,FALSE))</f>
        <v>Apósitos estériles</v>
      </c>
      <c r="N241" s="9" t="str">
        <f>IF(VLOOKUP($A241,Salta!$A$8:$O$291,7,FALSE)="","",VLOOKUP($A241,Salta!$A$8:$O$291,7,FALSE))</f>
        <v>Alta</v>
      </c>
      <c r="O241" s="9" t="str">
        <f>IF(VLOOKUP($A241,Salta!$A$8:$O$291,6,FALSE)="","",VLOOKUP($A241,Salta!$A$8:$O$291,6,FALSE))</f>
        <v>Coincidencia</v>
      </c>
      <c r="P241" s="24" t="str">
        <f>IF(VLOOKUP($A241,Neuquén!$A$8:$O$291,15,FALSE)="Homologado",VLOOKUP($A241,Neuquén!$A$8:$O$291,10,FALSE),"")</f>
        <v/>
      </c>
      <c r="Q241" s="24" t="str">
        <f>IF(VLOOKUP($A241,'San Juan'!$A$8:$O$291,15,FALSE)="Homologado",VLOOKUP($A241,'San Juan'!$A$8:$O$291,10,FALSE),"")</f>
        <v/>
      </c>
      <c r="R241" s="24" t="str">
        <f>IF(VLOOKUP($A241,Salta!$A$8:$O$291,15,FALSE)="Homologado",VLOOKUP($A241,Salta!$A$8:$O$291,10,FALSE),"")</f>
        <v/>
      </c>
      <c r="S241" s="24" t="str">
        <f>IF(VLOOKUP($A241,'Master vs SAP'!$A$8:$O$291,4,FALSE)="","",VLOOKUP($A241,'Master vs SAP'!$A$8:$O$291,4,FALSE))</f>
        <v>2000354
2000355
2000098</v>
      </c>
      <c r="T241" s="9" t="str">
        <f>IF(VLOOKUP($A241,'Master vs SAP'!$A$8:$O$291,5,FALSE)="","",VLOOKUP($A241,'Master vs SAP'!$A$8:$O$291,5,FALSE))</f>
        <v>APOSITO ESTERIL (G+A) 10X20CM
APOSITO ESTERIL (G+A) 15X20CM
APOSITO QUIRURGICO ESTERIL 10X20CM-SYRA</v>
      </c>
      <c r="U241" s="9" t="str">
        <f>IF(VLOOKUP($A241,'Master vs SAP'!$A$8:$O$291,7,FALSE)="","",VLOOKUP($A241,'Master vs SAP'!$A$8:$O$291,7,FALSE))</f>
        <v>Media</v>
      </c>
      <c r="V241" s="9" t="str">
        <f>IF(VLOOKUP($A241,'Master vs SAP'!$A$8:$O$291,6,FALSE)="","",VLOOKUP($A241,'Master vs SAP'!$A$8:$O$291,6,FALSE))</f>
        <v>Revisar grupo</v>
      </c>
      <c r="W241" s="24" t="str">
        <f>IF(VLOOKUP($A241,'Master vs SAP'!$A$8:$O$291,15,FALSE)="Homologado",VLOOKUP($A241,'Master vs SAP'!$A$8:$O$291,10,FALSE),"")</f>
        <v/>
      </c>
    </row>
    <row r="242" spans="1:23" ht="126" customHeight="1">
      <c r="A242" s="9" t="s">
        <v>576</v>
      </c>
      <c r="B242" s="9" t="s">
        <v>537</v>
      </c>
      <c r="C242" s="9" t="s">
        <v>577</v>
      </c>
      <c r="D242" s="24" t="str">
        <f>IF(VLOOKUP($A242,Neuquén!$A$8:$O$291,4,FALSE)="","",VLOOKUP($A242,Neuquén!$A$8:$O$291,4,FALSE))</f>
        <v>354</v>
      </c>
      <c r="E242" s="9" t="str">
        <f>IF(VLOOKUP($A242,Neuquén!$A$8:$O$291,5,FALSE)="","",VLOOKUP($A242,Neuquén!$A$8:$O$291,5,FALSE))</f>
        <v>CANULASDEMAYON°3</v>
      </c>
      <c r="F242" s="9" t="str">
        <f>IF(VLOOKUP($A242,Neuquén!$A$8:$O$291,7,FALSE)="","",VLOOKUP($A242,Neuquén!$A$8:$O$291,7,FALSE))</f>
        <v>Media</v>
      </c>
      <c r="G242" s="9" t="str">
        <f>IF(VLOOKUP($A242,Neuquén!$A$8:$O$291,6,FALSE)="","",VLOOKUP($A242,Neuquén!$A$8:$O$291,6,FALSE))</f>
        <v>Código compartido: revisar</v>
      </c>
      <c r="H242" s="24" t="str">
        <f>IF(VLOOKUP($A242,'San Juan'!$A$8:$O$291,4,FALSE)="","",VLOOKUP($A242,'San Juan'!$A$8:$O$291,4,FALSE))</f>
        <v/>
      </c>
      <c r="I242" s="9" t="str">
        <f>IF(VLOOKUP($A242,'San Juan'!$A$8:$O$291,5,FALSE)="","",VLOOKUP($A242,'San Juan'!$A$8:$O$291,5,FALSE))</f>
        <v/>
      </c>
      <c r="J242" s="9" t="str">
        <f>IF(VLOOKUP($A242,'San Juan'!$A$8:$O$291,7,FALSE)="","",VLOOKUP($A242,'San Juan'!$A$8:$O$291,7,FALSE))</f>
        <v>Sin coincidencia</v>
      </c>
      <c r="K242" s="9" t="str">
        <f>IF(VLOOKUP($A242,'San Juan'!$A$8:$O$291,6,FALSE)="","",VLOOKUP($A242,'San Juan'!$A$8:$O$291,6,FALSE))</f>
        <v>Sin código encontrado</v>
      </c>
      <c r="L242" s="24" t="str">
        <f>IF(VLOOKUP($A242,Salta!$A$8:$O$291,4,FALSE)="","",VLOOKUP($A242,Salta!$A$8:$O$291,4,FALSE))</f>
        <v>312
304
258
412</v>
      </c>
      <c r="M242" s="9" t="str">
        <f>IF(VLOOKUP($A242,Salta!$A$8:$O$291,5,FALSE)="","",VLOOKUP($A242,Salta!$A$8:$O$291,5,FALSE))</f>
        <v>Canula de Guedel 80mm
Canula de guedel 90mm
Canula de Guedel 100mm
Canula de Guedel 120mm</v>
      </c>
      <c r="N242" s="9" t="str">
        <f>IF(VLOOKUP($A242,Salta!$A$8:$O$291,7,FALSE)="","",VLOOKUP($A242,Salta!$A$8:$O$291,7,FALSE))</f>
        <v>Media</v>
      </c>
      <c r="O242" s="9" t="str">
        <f>IF(VLOOKUP($A242,Salta!$A$8:$O$291,6,FALSE)="","",VLOOKUP($A242,Salta!$A$8:$O$291,6,FALSE))</f>
        <v>Revisar grupo</v>
      </c>
      <c r="P242" s="24" t="str">
        <f>IF(VLOOKUP($A242,Neuquén!$A$8:$O$291,15,FALSE)="Homologado",VLOOKUP($A242,Neuquén!$A$8:$O$291,10,FALSE),"")</f>
        <v/>
      </c>
      <c r="Q242" s="24" t="str">
        <f>IF(VLOOKUP($A242,'San Juan'!$A$8:$O$291,15,FALSE)="Homologado",VLOOKUP($A242,'San Juan'!$A$8:$O$291,10,FALSE),"")</f>
        <v/>
      </c>
      <c r="R242" s="24" t="str">
        <f>IF(VLOOKUP($A242,Salta!$A$8:$O$291,15,FALSE)="Homologado",VLOOKUP($A242,Salta!$A$8:$O$291,10,FALSE),"")</f>
        <v/>
      </c>
      <c r="S242" s="24" t="str">
        <f>IF(VLOOKUP($A242,'Master vs SAP'!$A$8:$O$291,4,FALSE)="","",VLOOKUP($A242,'Master vs SAP'!$A$8:$O$291,4,FALSE))</f>
        <v>2000386
2000387
2002477
2000388
2000404
2000414
2001254</v>
      </c>
      <c r="T242" s="9" t="str">
        <f>IF(VLOOKUP($A242,'Master vs SAP'!$A$8:$O$291,5,FALSE)="","",VLOOKUP($A242,'Master vs SAP'!$A$8:$O$291,5,FALSE))</f>
        <v>CANULA DE GUEDEL 40MM N000 ROSA
CANULA DE GUEDEL 50 MM N00 AZUL
CANULA DE GUEDEL 60MM NEGRO
CANULA DE GUEDEL 70 MM N1 BLANCO
CANULA DE GUEDEL 10CM N4 ROJO
CANULA DE GUEDEL 11CM N3 CELESTE
CANULA DE GUEDEL 12CM N5 NARANJA</v>
      </c>
      <c r="U242" s="9" t="str">
        <f>IF(VLOOKUP($A242,'Master vs SAP'!$A$8:$O$291,7,FALSE)="","",VLOOKUP($A242,'Master vs SAP'!$A$8:$O$291,7,FALSE))</f>
        <v>Media</v>
      </c>
      <c r="V242" s="9" t="str">
        <f>IF(VLOOKUP($A242,'Master vs SAP'!$A$8:$O$291,6,FALSE)="","",VLOOKUP($A242,'Master vs SAP'!$A$8:$O$291,6,FALSE))</f>
        <v>Revisar grupo</v>
      </c>
      <c r="W242" s="24" t="str">
        <f>IF(VLOOKUP($A242,'Master vs SAP'!$A$8:$O$291,15,FALSE)="Homologado",VLOOKUP($A242,'Master vs SAP'!$A$8:$O$291,10,FALSE),"")</f>
        <v/>
      </c>
    </row>
    <row r="243" spans="1:23" ht="61.95" customHeight="1">
      <c r="A243" s="9" t="s">
        <v>578</v>
      </c>
      <c r="B243" s="9" t="s">
        <v>537</v>
      </c>
      <c r="C243" s="9" t="s">
        <v>501</v>
      </c>
      <c r="D243" s="24" t="str">
        <f>IF(VLOOKUP($A243,Neuquén!$A$8:$O$291,4,FALSE)="","",VLOOKUP($A243,Neuquén!$A$8:$O$291,4,FALSE))</f>
        <v>424</v>
      </c>
      <c r="E243" s="9" t="str">
        <f>IF(VLOOKUP($A243,Neuquén!$A$8:$O$291,5,FALSE)="","",VLOOKUP($A243,Neuquén!$A$8:$O$291,5,FALSE))</f>
        <v>TIJERAMULTIUSO</v>
      </c>
      <c r="F243" s="9" t="str">
        <f>IF(VLOOKUP($A243,Neuquén!$A$8:$O$291,7,FALSE)="","",VLOOKUP($A243,Neuquén!$A$8:$O$291,7,FALSE))</f>
        <v>Media</v>
      </c>
      <c r="G243" s="9" t="str">
        <f>IF(VLOOKUP($A243,Neuquén!$A$8:$O$291,6,FALSE)="","",VLOOKUP($A243,Neuquén!$A$8:$O$291,6,FALSE))</f>
        <v>Código compartido: revisar</v>
      </c>
      <c r="H243" s="24" t="str">
        <f>IF(VLOOKUP($A243,'San Juan'!$A$8:$O$291,4,FALSE)="","",VLOOKUP($A243,'San Juan'!$A$8:$O$291,4,FALSE))</f>
        <v/>
      </c>
      <c r="I243" s="9" t="str">
        <f>IF(VLOOKUP($A243,'San Juan'!$A$8:$O$291,5,FALSE)="","",VLOOKUP($A243,'San Juan'!$A$8:$O$291,5,FALSE))</f>
        <v/>
      </c>
      <c r="J243" s="9" t="str">
        <f>IF(VLOOKUP($A243,'San Juan'!$A$8:$O$291,7,FALSE)="","",VLOOKUP($A243,'San Juan'!$A$8:$O$291,7,FALSE))</f>
        <v>Sin coincidencia</v>
      </c>
      <c r="K243" s="9" t="str">
        <f>IF(VLOOKUP($A243,'San Juan'!$A$8:$O$291,6,FALSE)="","",VLOOKUP($A243,'San Juan'!$A$8:$O$291,6,FALSE))</f>
        <v>Sin código encontrado</v>
      </c>
      <c r="L243" s="24" t="str">
        <f>IF(VLOOKUP($A243,Salta!$A$8:$O$291,4,FALSE)="","",VLOOKUP($A243,Salta!$A$8:$O$291,4,FALSE))</f>
        <v>434</v>
      </c>
      <c r="M243" s="9" t="str">
        <f>IF(VLOOKUP($A243,Salta!$A$8:$O$291,5,FALSE)="","",VLOOKUP($A243,Salta!$A$8:$O$291,5,FALSE))</f>
        <v>Tijera de  trauma 18cm</v>
      </c>
      <c r="N243" s="9" t="str">
        <f>IF(VLOOKUP($A243,Salta!$A$8:$O$291,7,FALSE)="","",VLOOKUP($A243,Salta!$A$8:$O$291,7,FALSE))</f>
        <v>Alta</v>
      </c>
      <c r="O243" s="9" t="str">
        <f>IF(VLOOKUP($A243,Salta!$A$8:$O$291,6,FALSE)="","",VLOOKUP($A243,Salta!$A$8:$O$291,6,FALSE))</f>
        <v>Coincidencia</v>
      </c>
      <c r="P243" s="24" t="str">
        <f>IF(VLOOKUP($A243,Neuquén!$A$8:$O$291,15,FALSE)="Homologado",VLOOKUP($A243,Neuquén!$A$8:$O$291,10,FALSE),"")</f>
        <v/>
      </c>
      <c r="Q243" s="24" t="str">
        <f>IF(VLOOKUP($A243,'San Juan'!$A$8:$O$291,15,FALSE)="Homologado",VLOOKUP($A243,'San Juan'!$A$8:$O$291,10,FALSE),"")</f>
        <v/>
      </c>
      <c r="R243" s="24" t="str">
        <f>IF(VLOOKUP($A243,Salta!$A$8:$O$291,15,FALSE)="Homologado",VLOOKUP($A243,Salta!$A$8:$O$291,10,FALSE),"")</f>
        <v/>
      </c>
      <c r="S243" s="24" t="str">
        <f>IF(VLOOKUP($A243,'Master vs SAP'!$A$8:$O$291,4,FALSE)="","",VLOOKUP($A243,'Master vs SAP'!$A$8:$O$291,4,FALSE))</f>
        <v>2000209</v>
      </c>
      <c r="T243" s="9" t="str">
        <f>IF(VLOOKUP($A243,'Master vs SAP'!$A$8:$O$291,5,FALSE)="","",VLOOKUP($A243,'Master vs SAP'!$A$8:$O$291,5,FALSE))</f>
        <v>TIJERA  PARA VENDAJES  (TRAUMA)</v>
      </c>
      <c r="U243" s="9" t="str">
        <f>IF(VLOOKUP($A243,'Master vs SAP'!$A$8:$O$291,7,FALSE)="","",VLOOKUP($A243,'Master vs SAP'!$A$8:$O$291,7,FALSE))</f>
        <v>Alta</v>
      </c>
      <c r="V243" s="9" t="str">
        <f>IF(VLOOKUP($A243,'Master vs SAP'!$A$8:$O$291,6,FALSE)="","",VLOOKUP($A243,'Master vs SAP'!$A$8:$O$291,6,FALSE))</f>
        <v>Coincidencia</v>
      </c>
      <c r="W243" s="24" t="str">
        <f>IF(VLOOKUP($A243,'Master vs SAP'!$A$8:$O$291,15,FALSE)="Homologado",VLOOKUP($A243,'Master vs SAP'!$A$8:$O$291,10,FALSE),"")</f>
        <v/>
      </c>
    </row>
    <row r="244" spans="1:23" ht="94.05" customHeight="1">
      <c r="A244" s="9" t="s">
        <v>579</v>
      </c>
      <c r="B244" s="9" t="s">
        <v>537</v>
      </c>
      <c r="C244" s="9" t="s">
        <v>580</v>
      </c>
      <c r="D244" s="24" t="str">
        <f>IF(VLOOKUP($A244,Neuquén!$A$8:$O$291,4,FALSE)="","",VLOOKUP($A244,Neuquén!$A$8:$O$291,4,FALSE))</f>
        <v>132</v>
      </c>
      <c r="E244" s="9" t="str">
        <f>IF(VLOOKUP($A244,Neuquén!$A$8:$O$291,5,FALSE)="","",VLOOKUP($A244,Neuquén!$A$8:$O$291,5,FALSE))</f>
        <v>HOJABISTURI</v>
      </c>
      <c r="F244" s="9" t="str">
        <f>IF(VLOOKUP($A244,Neuquén!$A$8:$O$291,7,FALSE)="","",VLOOKUP($A244,Neuquén!$A$8:$O$291,7,FALSE))</f>
        <v>Media</v>
      </c>
      <c r="G244" s="9" t="str">
        <f>IF(VLOOKUP($A244,Neuquén!$A$8:$O$291,6,FALSE)="","",VLOOKUP($A244,Neuquén!$A$8:$O$291,6,FALSE))</f>
        <v>Código compartido: revisar</v>
      </c>
      <c r="H244" s="24" t="str">
        <f>IF(VLOOKUP($A244,'San Juan'!$A$8:$O$291,4,FALSE)="","",VLOOKUP($A244,'San Juan'!$A$8:$O$291,4,FALSE))</f>
        <v/>
      </c>
      <c r="I244" s="9" t="str">
        <f>IF(VLOOKUP($A244,'San Juan'!$A$8:$O$291,5,FALSE)="","",VLOOKUP($A244,'San Juan'!$A$8:$O$291,5,FALSE))</f>
        <v/>
      </c>
      <c r="J244" s="9" t="str">
        <f>IF(VLOOKUP($A244,'San Juan'!$A$8:$O$291,7,FALSE)="","",VLOOKUP($A244,'San Juan'!$A$8:$O$291,7,FALSE))</f>
        <v>Sin coincidencia</v>
      </c>
      <c r="K244" s="9" t="str">
        <f>IF(VLOOKUP($A244,'San Juan'!$A$8:$O$291,6,FALSE)="","",VLOOKUP($A244,'San Juan'!$A$8:$O$291,6,FALSE))</f>
        <v>Sin código encontrado</v>
      </c>
      <c r="L244" s="24" t="str">
        <f>IF(VLOOKUP($A244,Salta!$A$8:$O$291,4,FALSE)="","",VLOOKUP($A244,Salta!$A$8:$O$291,4,FALSE))</f>
        <v>47</v>
      </c>
      <c r="M244" s="9" t="str">
        <f>IF(VLOOKUP($A244,Salta!$A$8:$O$291,5,FALSE)="","",VLOOKUP($A244,Salta!$A$8:$O$291,5,FALSE))</f>
        <v>Bisturi</v>
      </c>
      <c r="N244" s="9" t="str">
        <f>IF(VLOOKUP($A244,Salta!$A$8:$O$291,7,FALSE)="","",VLOOKUP($A244,Salta!$A$8:$O$291,7,FALSE))</f>
        <v>Media</v>
      </c>
      <c r="O244" s="9" t="str">
        <f>IF(VLOOKUP($A244,Salta!$A$8:$O$291,6,FALSE)="","",VLOOKUP($A244,Salta!$A$8:$O$291,6,FALSE))</f>
        <v>Revisar datos</v>
      </c>
      <c r="P244" s="24" t="str">
        <f>IF(VLOOKUP($A244,Neuquén!$A$8:$O$291,15,FALSE)="Homologado",VLOOKUP($A244,Neuquén!$A$8:$O$291,10,FALSE),"")</f>
        <v/>
      </c>
      <c r="Q244" s="24" t="str">
        <f>IF(VLOOKUP($A244,'San Juan'!$A$8:$O$291,15,FALSE)="Homologado",VLOOKUP($A244,'San Juan'!$A$8:$O$291,10,FALSE),"")</f>
        <v/>
      </c>
      <c r="R244" s="24" t="str">
        <f>IF(VLOOKUP($A244,Salta!$A$8:$O$291,15,FALSE)="Homologado",VLOOKUP($A244,Salta!$A$8:$O$291,10,FALSE),"")</f>
        <v/>
      </c>
      <c r="S244" s="24" t="str">
        <f>IF(VLOOKUP($A244,'Master vs SAP'!$A$8:$O$291,4,FALSE)="","",VLOOKUP($A244,'Master vs SAP'!$A$8:$O$291,4,FALSE))</f>
        <v>2000025
2000453
2000454
2000455
2000456</v>
      </c>
      <c r="T244" s="9" t="str">
        <f>IF(VLOOKUP($A244,'Master vs SAP'!$A$8:$O$291,5,FALSE)="","",VLOOKUP($A244,'Master vs SAP'!$A$8:$O$291,5,FALSE))</f>
        <v>HOJA DE BISTURI Nº20
HOJA DE BISTURI Nº 11
HOJA DE BISTURI Nº 23
HOJA DE BISTURI Nº 24
HOJA DE BISTURI Nº 15</v>
      </c>
      <c r="U244" s="9" t="str">
        <f>IF(VLOOKUP($A244,'Master vs SAP'!$A$8:$O$291,7,FALSE)="","",VLOOKUP($A244,'Master vs SAP'!$A$8:$O$291,7,FALSE))</f>
        <v>Media</v>
      </c>
      <c r="V244" s="9" t="str">
        <f>IF(VLOOKUP($A244,'Master vs SAP'!$A$8:$O$291,6,FALSE)="","",VLOOKUP($A244,'Master vs SAP'!$A$8:$O$291,6,FALSE))</f>
        <v>Revisar grupo</v>
      </c>
      <c r="W244" s="24" t="str">
        <f>IF(VLOOKUP($A244,'Master vs SAP'!$A$8:$O$291,15,FALSE)="Homologado",VLOOKUP($A244,'Master vs SAP'!$A$8:$O$291,10,FALSE),"")</f>
        <v/>
      </c>
    </row>
    <row r="245" spans="1:23" ht="61.95" customHeight="1">
      <c r="A245" s="9" t="s">
        <v>581</v>
      </c>
      <c r="B245" s="9" t="s">
        <v>537</v>
      </c>
      <c r="C245" s="9" t="s">
        <v>394</v>
      </c>
      <c r="D245" s="24" t="str">
        <f>IF(VLOOKUP($A245,Neuquén!$A$8:$O$291,4,FALSE)="","",VLOOKUP($A245,Neuquén!$A$8:$O$291,4,FALSE))</f>
        <v>334</v>
      </c>
      <c r="E245" s="9" t="str">
        <f>IF(VLOOKUP($A245,Neuquén!$A$8:$O$291,5,FALSE)="","",VLOOKUP($A245,Neuquén!$A$8:$O$291,5,FALSE))</f>
        <v>VENDACAMBRIC5CM</v>
      </c>
      <c r="F245" s="9" t="str">
        <f>IF(VLOOKUP($A245,Neuquén!$A$8:$O$291,7,FALSE)="","",VLOOKUP($A245,Neuquén!$A$8:$O$291,7,FALSE))</f>
        <v>Media</v>
      </c>
      <c r="G245" s="9" t="str">
        <f>IF(VLOOKUP($A245,Neuquén!$A$8:$O$291,6,FALSE)="","",VLOOKUP($A245,Neuquén!$A$8:$O$291,6,FALSE))</f>
        <v>Código compartido: revisar</v>
      </c>
      <c r="H245" s="24" t="str">
        <f>IF(VLOOKUP($A245,'San Juan'!$A$8:$O$291,4,FALSE)="","",VLOOKUP($A245,'San Juan'!$A$8:$O$291,4,FALSE))</f>
        <v>DESC171</v>
      </c>
      <c r="I245" s="9" t="str">
        <f>IF(VLOOKUP($A245,'San Juan'!$A$8:$O$291,5,FALSE)="","",VLOOKUP($A245,'San Juan'!$A$8:$O$291,5,FALSE))</f>
        <v>Vendas de 7 cm.</v>
      </c>
      <c r="J245" s="9" t="str">
        <f>IF(VLOOKUP($A245,'San Juan'!$A$8:$O$291,7,FALSE)="","",VLOOKUP($A245,'San Juan'!$A$8:$O$291,7,FALSE))</f>
        <v>Baja</v>
      </c>
      <c r="K245" s="9" t="str">
        <f>IF(VLOOKUP($A245,'San Juan'!$A$8:$O$291,6,FALSE)="","",VLOOKUP($A245,'San Juan'!$A$8:$O$291,6,FALSE))</f>
        <v>Código compartido: revisar</v>
      </c>
      <c r="L245" s="24" t="str">
        <f>IF(VLOOKUP($A245,Salta!$A$8:$O$291,4,FALSE)="","",VLOOKUP($A245,Salta!$A$8:$O$291,4,FALSE))</f>
        <v>250</v>
      </c>
      <c r="M245" s="9" t="str">
        <f>IF(VLOOKUP($A245,Salta!$A$8:$O$291,5,FALSE)="","",VLOOKUP($A245,Salta!$A$8:$O$291,5,FALSE))</f>
        <v>Vendas de 5 cm</v>
      </c>
      <c r="N245" s="9" t="str">
        <f>IF(VLOOKUP($A245,Salta!$A$8:$O$291,7,FALSE)="","",VLOOKUP($A245,Salta!$A$8:$O$291,7,FALSE))</f>
        <v>Media</v>
      </c>
      <c r="O245" s="9" t="str">
        <f>IF(VLOOKUP($A245,Salta!$A$8:$O$291,6,FALSE)="","",VLOOKUP($A245,Salta!$A$8:$O$291,6,FALSE))</f>
        <v>Revisar datos</v>
      </c>
      <c r="P245" s="24" t="str">
        <f>IF(VLOOKUP($A245,Neuquén!$A$8:$O$291,15,FALSE)="Homologado",VLOOKUP($A245,Neuquén!$A$8:$O$291,10,FALSE),"")</f>
        <v/>
      </c>
      <c r="Q245" s="24" t="str">
        <f>IF(VLOOKUP($A245,'San Juan'!$A$8:$O$291,15,FALSE)="Homologado",VLOOKUP($A245,'San Juan'!$A$8:$O$291,10,FALSE),"")</f>
        <v/>
      </c>
      <c r="R245" s="24" t="str">
        <f>IF(VLOOKUP($A245,Salta!$A$8:$O$291,15,FALSE)="Homologado",VLOOKUP($A245,Salta!$A$8:$O$291,10,FALSE),"")</f>
        <v/>
      </c>
      <c r="S245" s="24" t="str">
        <f>IF(VLOOKUP($A245,'Master vs SAP'!$A$8:$O$291,4,FALSE)="","",VLOOKUP($A245,'Master vs SAP'!$A$8:$O$291,4,FALSE))</f>
        <v>2000080
2000314</v>
      </c>
      <c r="T245" s="9" t="str">
        <f>IF(VLOOKUP($A245,'Master vs SAP'!$A$8:$O$291,5,FALSE)="","",VLOOKUP($A245,'Master vs SAP'!$A$8:$O$291,5,FALSE))</f>
        <v>VENDA TIPO CAMBRIC X 5 CM
VENDA TIPO CAMBRIC X 5 CM</v>
      </c>
      <c r="U245" s="9" t="str">
        <f>IF(VLOOKUP($A245,'Master vs SAP'!$A$8:$O$291,7,FALSE)="","",VLOOKUP($A245,'Master vs SAP'!$A$8:$O$291,7,FALSE))</f>
        <v>Alta</v>
      </c>
      <c r="V245" s="9" t="str">
        <f>IF(VLOOKUP($A245,'Master vs SAP'!$A$8:$O$291,6,FALSE)="","",VLOOKUP($A245,'Master vs SAP'!$A$8:$O$291,6,FALSE))</f>
        <v>Coincidencia</v>
      </c>
      <c r="W245" s="24" t="str">
        <f>IF(VLOOKUP($A245,'Master vs SAP'!$A$8:$O$291,15,FALSE)="Homologado",VLOOKUP($A245,'Master vs SAP'!$A$8:$O$291,10,FALSE),"")</f>
        <v/>
      </c>
    </row>
    <row r="246" spans="1:23" ht="61.95" customHeight="1">
      <c r="A246" s="9" t="s">
        <v>582</v>
      </c>
      <c r="B246" s="9" t="s">
        <v>537</v>
      </c>
      <c r="C246" s="9" t="s">
        <v>396</v>
      </c>
      <c r="D246" s="24" t="str">
        <f>IF(VLOOKUP($A246,Neuquén!$A$8:$O$291,4,FALSE)="","",VLOOKUP($A246,Neuquén!$A$8:$O$291,4,FALSE))</f>
        <v>335</v>
      </c>
      <c r="E246" s="9" t="str">
        <f>IF(VLOOKUP($A246,Neuquén!$A$8:$O$291,5,FALSE)="","",VLOOKUP($A246,Neuquén!$A$8:$O$291,5,FALSE))</f>
        <v>VENDACAMBRIC10CM</v>
      </c>
      <c r="F246" s="9" t="str">
        <f>IF(VLOOKUP($A246,Neuquén!$A$8:$O$291,7,FALSE)="","",VLOOKUP($A246,Neuquén!$A$8:$O$291,7,FALSE))</f>
        <v>Media</v>
      </c>
      <c r="G246" s="9" t="str">
        <f>IF(VLOOKUP($A246,Neuquén!$A$8:$O$291,6,FALSE)="","",VLOOKUP($A246,Neuquén!$A$8:$O$291,6,FALSE))</f>
        <v>Código compartido: revisar</v>
      </c>
      <c r="H246" s="24" t="str">
        <f>IF(VLOOKUP($A246,'San Juan'!$A$8:$O$291,4,FALSE)="","",VLOOKUP($A246,'San Juan'!$A$8:$O$291,4,FALSE))</f>
        <v>DESC171</v>
      </c>
      <c r="I246" s="9" t="str">
        <f>IF(VLOOKUP($A246,'San Juan'!$A$8:$O$291,5,FALSE)="","",VLOOKUP($A246,'San Juan'!$A$8:$O$291,5,FALSE))</f>
        <v>Vendas de 7 cm.</v>
      </c>
      <c r="J246" s="9" t="str">
        <f>IF(VLOOKUP($A246,'San Juan'!$A$8:$O$291,7,FALSE)="","",VLOOKUP($A246,'San Juan'!$A$8:$O$291,7,FALSE))</f>
        <v>Baja</v>
      </c>
      <c r="K246" s="9" t="str">
        <f>IF(VLOOKUP($A246,'San Juan'!$A$8:$O$291,6,FALSE)="","",VLOOKUP($A246,'San Juan'!$A$8:$O$291,6,FALSE))</f>
        <v>Código compartido: revisar</v>
      </c>
      <c r="L246" s="24" t="str">
        <f>IF(VLOOKUP($A246,Salta!$A$8:$O$291,4,FALSE)="","",VLOOKUP($A246,Salta!$A$8:$O$291,4,FALSE))</f>
        <v>249</v>
      </c>
      <c r="M246" s="9" t="str">
        <f>IF(VLOOKUP($A246,Salta!$A$8:$O$291,5,FALSE)="","",VLOOKUP($A246,Salta!$A$8:$O$291,5,FALSE))</f>
        <v>Vendas de 10 cm</v>
      </c>
      <c r="N246" s="9" t="str">
        <f>IF(VLOOKUP($A246,Salta!$A$8:$O$291,7,FALSE)="","",VLOOKUP($A246,Salta!$A$8:$O$291,7,FALSE))</f>
        <v>Media</v>
      </c>
      <c r="O246" s="9" t="str">
        <f>IF(VLOOKUP($A246,Salta!$A$8:$O$291,6,FALSE)="","",VLOOKUP($A246,Salta!$A$8:$O$291,6,FALSE))</f>
        <v>Revisar datos</v>
      </c>
      <c r="P246" s="24" t="str">
        <f>IF(VLOOKUP($A246,Neuquén!$A$8:$O$291,15,FALSE)="Homologado",VLOOKUP($A246,Neuquén!$A$8:$O$291,10,FALSE),"")</f>
        <v/>
      </c>
      <c r="Q246" s="24" t="str">
        <f>IF(VLOOKUP($A246,'San Juan'!$A$8:$O$291,15,FALSE)="Homologado",VLOOKUP($A246,'San Juan'!$A$8:$O$291,10,FALSE),"")</f>
        <v/>
      </c>
      <c r="R246" s="24" t="str">
        <f>IF(VLOOKUP($A246,Salta!$A$8:$O$291,15,FALSE)="Homologado",VLOOKUP($A246,Salta!$A$8:$O$291,10,FALSE),"")</f>
        <v/>
      </c>
      <c r="S246" s="24" t="str">
        <f>IF(VLOOKUP($A246,'Master vs SAP'!$A$8:$O$291,4,FALSE)="","",VLOOKUP($A246,'Master vs SAP'!$A$8:$O$291,4,FALSE))</f>
        <v>2000079</v>
      </c>
      <c r="T246" s="9" t="str">
        <f>IF(VLOOKUP($A246,'Master vs SAP'!$A$8:$O$291,5,FALSE)="","",VLOOKUP($A246,'Master vs SAP'!$A$8:$O$291,5,FALSE))</f>
        <v>VENDA TIPO CAMBRIC X 10 CM</v>
      </c>
      <c r="U246" s="9" t="str">
        <f>IF(VLOOKUP($A246,'Master vs SAP'!$A$8:$O$291,7,FALSE)="","",VLOOKUP($A246,'Master vs SAP'!$A$8:$O$291,7,FALSE))</f>
        <v>Alta</v>
      </c>
      <c r="V246" s="9" t="str">
        <f>IF(VLOOKUP($A246,'Master vs SAP'!$A$8:$O$291,6,FALSE)="","",VLOOKUP($A246,'Master vs SAP'!$A$8:$O$291,6,FALSE))</f>
        <v>Coincidencia</v>
      </c>
      <c r="W246" s="24" t="str">
        <f>IF(VLOOKUP($A246,'Master vs SAP'!$A$8:$O$291,15,FALSE)="Homologado",VLOOKUP($A246,'Master vs SAP'!$A$8:$O$291,10,FALSE),"")</f>
        <v/>
      </c>
    </row>
    <row r="247" spans="1:23" ht="94.05" customHeight="1">
      <c r="A247" s="9" t="s">
        <v>583</v>
      </c>
      <c r="B247" s="9" t="s">
        <v>537</v>
      </c>
      <c r="C247" s="9" t="s">
        <v>584</v>
      </c>
      <c r="D247" s="24" t="str">
        <f>IF(VLOOKUP($A247,Neuquén!$A$8:$O$291,4,FALSE)="","",VLOOKUP($A247,Neuquén!$A$8:$O$291,4,FALSE))</f>
        <v>415</v>
      </c>
      <c r="E247" s="9" t="str">
        <f>IF(VLOOKUP($A247,Neuquén!$A$8:$O$291,5,FALSE)="","",VLOOKUP($A247,Neuquén!$A$8:$O$291,5,FALSE))</f>
        <v>FERULASCONCIERREABROJO(juegos)</v>
      </c>
      <c r="F247" s="9" t="str">
        <f>IF(VLOOKUP($A247,Neuquén!$A$8:$O$291,7,FALSE)="","",VLOOKUP($A247,Neuquén!$A$8:$O$291,7,FALSE))</f>
        <v>Media</v>
      </c>
      <c r="G247" s="9" t="str">
        <f>IF(VLOOKUP($A247,Neuquén!$A$8:$O$291,6,FALSE)="","",VLOOKUP($A247,Neuquén!$A$8:$O$291,6,FALSE))</f>
        <v>Código compartido: revisar</v>
      </c>
      <c r="H247" s="24" t="str">
        <f>IF(VLOOKUP($A247,'San Juan'!$A$8:$O$291,4,FALSE)="","",VLOOKUP($A247,'San Juan'!$A$8:$O$291,4,FALSE))</f>
        <v/>
      </c>
      <c r="I247" s="9" t="str">
        <f>IF(VLOOKUP($A247,'San Juan'!$A$8:$O$291,5,FALSE)="","",VLOOKUP($A247,'San Juan'!$A$8:$O$291,5,FALSE))</f>
        <v/>
      </c>
      <c r="J247" s="9" t="str">
        <f>IF(VLOOKUP($A247,'San Juan'!$A$8:$O$291,7,FALSE)="","",VLOOKUP($A247,'San Juan'!$A$8:$O$291,7,FALSE))</f>
        <v>Sin coincidencia</v>
      </c>
      <c r="K247" s="9" t="str">
        <f>IF(VLOOKUP($A247,'San Juan'!$A$8:$O$291,6,FALSE)="","",VLOOKUP($A247,'San Juan'!$A$8:$O$291,6,FALSE))</f>
        <v>Sin código encontrado</v>
      </c>
      <c r="L247" s="24" t="str">
        <f>IF(VLOOKUP($A247,Salta!$A$8:$O$291,4,FALSE)="","",VLOOKUP($A247,Salta!$A$8:$O$291,4,FALSE))</f>
        <v/>
      </c>
      <c r="M247" s="9" t="str">
        <f>IF(VLOOKUP($A247,Salta!$A$8:$O$291,5,FALSE)="","",VLOOKUP($A247,Salta!$A$8:$O$291,5,FALSE))</f>
        <v/>
      </c>
      <c r="N247" s="9" t="str">
        <f>IF(VLOOKUP($A247,Salta!$A$8:$O$291,7,FALSE)="","",VLOOKUP($A247,Salta!$A$8:$O$291,7,FALSE))</f>
        <v>Sin coincidencia</v>
      </c>
      <c r="O247" s="9" t="str">
        <f>IF(VLOOKUP($A247,Salta!$A$8:$O$291,6,FALSE)="","",VLOOKUP($A247,Salta!$A$8:$O$291,6,FALSE))</f>
        <v>Sin coincidencia</v>
      </c>
      <c r="P247" s="24" t="str">
        <f>IF(VLOOKUP($A247,Neuquén!$A$8:$O$291,15,FALSE)="Homologado",VLOOKUP($A247,Neuquén!$A$8:$O$291,10,FALSE),"")</f>
        <v/>
      </c>
      <c r="Q247" s="24" t="str">
        <f>IF(VLOOKUP($A247,'San Juan'!$A$8:$O$291,15,FALSE)="Homologado",VLOOKUP($A247,'San Juan'!$A$8:$O$291,10,FALSE),"")</f>
        <v/>
      </c>
      <c r="R247" s="24" t="str">
        <f>IF(VLOOKUP($A247,Salta!$A$8:$O$291,15,FALSE)="Homologado",VLOOKUP($A247,Salta!$A$8:$O$291,10,FALSE),"")</f>
        <v/>
      </c>
      <c r="S247" s="24" t="str">
        <f>IF(VLOOKUP($A247,'Master vs SAP'!$A$8:$O$291,4,FALSE)="","",VLOOKUP($A247,'Master vs SAP'!$A$8:$O$291,4,FALSE))</f>
        <v>2000749
2000087
2001294</v>
      </c>
      <c r="T247" s="9" t="str">
        <f>IF(VLOOKUP($A247,'Master vs SAP'!$A$8:$O$291,5,FALSE)="","",VLOOKUP($A247,'Master vs SAP'!$A$8:$O$291,5,FALSE))</f>
        <v>SET FERULAS RIGIDAS 4 PIEZAS
SET FERULAS INFLABLES PARA MIEMBROS INF.
SET FERULAS INFLABL. MIEMBROS SUPERIORES</v>
      </c>
      <c r="U247" s="9" t="str">
        <f>IF(VLOOKUP($A247,'Master vs SAP'!$A$8:$O$291,7,FALSE)="","",VLOOKUP($A247,'Master vs SAP'!$A$8:$O$291,7,FALSE))</f>
        <v>Media</v>
      </c>
      <c r="V247" s="9" t="str">
        <f>IF(VLOOKUP($A247,'Master vs SAP'!$A$8:$O$291,6,FALSE)="","",VLOOKUP($A247,'Master vs SAP'!$A$8:$O$291,6,FALSE))</f>
        <v>Revisar grupo</v>
      </c>
      <c r="W247" s="24" t="str">
        <f>IF(VLOOKUP($A247,'Master vs SAP'!$A$8:$O$291,15,FALSE)="Homologado",VLOOKUP($A247,'Master vs SAP'!$A$8:$O$291,10,FALSE),"")</f>
        <v/>
      </c>
    </row>
    <row r="248" spans="1:23" ht="78" customHeight="1">
      <c r="A248" s="9" t="s">
        <v>585</v>
      </c>
      <c r="B248" s="9" t="s">
        <v>537</v>
      </c>
      <c r="C248" s="9" t="s">
        <v>586</v>
      </c>
      <c r="D248" s="24" t="str">
        <f>IF(VLOOKUP($A248,Neuquén!$A$8:$O$291,4,FALSE)="","",VLOOKUP($A248,Neuquén!$A$8:$O$291,4,FALSE))</f>
        <v>257</v>
      </c>
      <c r="E248" s="9" t="str">
        <f>IF(VLOOKUP($A248,Neuquén!$A$8:$O$291,5,FALSE)="","",VLOOKUP($A248,Neuquén!$A$8:$O$291,5,FALSE))</f>
        <v>Gasas10x10cm</v>
      </c>
      <c r="F248" s="9" t="str">
        <f>IF(VLOOKUP($A248,Neuquén!$A$8:$O$291,7,FALSE)="","",VLOOKUP($A248,Neuquén!$A$8:$O$291,7,FALSE))</f>
        <v>Media</v>
      </c>
      <c r="G248" s="9" t="str">
        <f>IF(VLOOKUP($A248,Neuquén!$A$8:$O$291,6,FALSE)="","",VLOOKUP($A248,Neuquén!$A$8:$O$291,6,FALSE))</f>
        <v>Código compartido: revisar</v>
      </c>
      <c r="H248" s="24" t="str">
        <f>IF(VLOOKUP($A248,'San Juan'!$A$8:$O$291,4,FALSE)="","",VLOOKUP($A248,'San Juan'!$A$8:$O$291,4,FALSE))</f>
        <v>DESC64</v>
      </c>
      <c r="I248" s="9" t="str">
        <f>IF(VLOOKUP($A248,'San Juan'!$A$8:$O$291,5,FALSE)="","",VLOOKUP($A248,'San Juan'!$A$8:$O$291,5,FALSE))</f>
        <v>Gasas 10 x 10 cm</v>
      </c>
      <c r="J248" s="9" t="str">
        <f>IF(VLOOKUP($A248,'San Juan'!$A$8:$O$291,7,FALSE)="","",VLOOKUP($A248,'San Juan'!$A$8:$O$291,7,FALSE))</f>
        <v>Media</v>
      </c>
      <c r="K248" s="9" t="str">
        <f>IF(VLOOKUP($A248,'San Juan'!$A$8:$O$291,6,FALSE)="","",VLOOKUP($A248,'San Juan'!$A$8:$O$291,6,FALSE))</f>
        <v>Código compartido: revisar</v>
      </c>
      <c r="L248" s="24" t="str">
        <f>IF(VLOOKUP($A248,Salta!$A$8:$O$291,4,FALSE)="","",VLOOKUP($A248,Salta!$A$8:$O$291,4,FALSE))</f>
        <v>129</v>
      </c>
      <c r="M248" s="9" t="str">
        <f>IF(VLOOKUP($A248,Salta!$A$8:$O$291,5,FALSE)="","",VLOOKUP($A248,Salta!$A$8:$O$291,5,FALSE))</f>
        <v>Gasas 10 x 10</v>
      </c>
      <c r="N248" s="9" t="str">
        <f>IF(VLOOKUP($A248,Salta!$A$8:$O$291,7,FALSE)="","",VLOOKUP($A248,Salta!$A$8:$O$291,7,FALSE))</f>
        <v>Alta</v>
      </c>
      <c r="O248" s="9" t="str">
        <f>IF(VLOOKUP($A248,Salta!$A$8:$O$291,6,FALSE)="","",VLOOKUP($A248,Salta!$A$8:$O$291,6,FALSE))</f>
        <v>Coincidencia</v>
      </c>
      <c r="P248" s="24" t="str">
        <f>IF(VLOOKUP($A248,Neuquén!$A$8:$O$291,15,FALSE)="Homologado",VLOOKUP($A248,Neuquén!$A$8:$O$291,10,FALSE),"")</f>
        <v/>
      </c>
      <c r="Q248" s="24" t="str">
        <f>IF(VLOOKUP($A248,'San Juan'!$A$8:$O$291,15,FALSE)="Homologado",VLOOKUP($A248,'San Juan'!$A$8:$O$291,10,FALSE),"")</f>
        <v/>
      </c>
      <c r="R248" s="24" t="str">
        <f>IF(VLOOKUP($A248,Salta!$A$8:$O$291,15,FALSE)="Homologado",VLOOKUP($A248,Salta!$A$8:$O$291,10,FALSE),"")</f>
        <v/>
      </c>
      <c r="S248" s="24" t="str">
        <f>IF(VLOOKUP($A248,'Master vs SAP'!$A$8:$O$291,4,FALSE)="","",VLOOKUP($A248,'Master vs SAP'!$A$8:$O$291,4,FALSE))</f>
        <v>2000900
2000147
2000281
2000299</v>
      </c>
      <c r="T248" s="9" t="str">
        <f>IF(VLOOKUP($A248,'Master vs SAP'!$A$8:$O$291,5,FALSE)="","",VLOOKUP($A248,'Master vs SAP'!$A$8:$O$291,5,FALSE))</f>
        <v>GASA ESTERIL 10X10CM
GASA ESTERIL 10X10 GASANA
GASA ESTERIL 10X10 LA CEADE
GASA ESTERIL 10X10 - SYRA</v>
      </c>
      <c r="U248" s="9" t="str">
        <f>IF(VLOOKUP($A248,'Master vs SAP'!$A$8:$O$291,7,FALSE)="","",VLOOKUP($A248,'Master vs SAP'!$A$8:$O$291,7,FALSE))</f>
        <v>Alta</v>
      </c>
      <c r="V248" s="9" t="str">
        <f>IF(VLOOKUP($A248,'Master vs SAP'!$A$8:$O$291,6,FALSE)="","",VLOOKUP($A248,'Master vs SAP'!$A$8:$O$291,6,FALSE))</f>
        <v>Coincidencia</v>
      </c>
      <c r="W248" s="24" t="str">
        <f>IF(VLOOKUP($A248,'Master vs SAP'!$A$8:$O$291,15,FALSE)="Homologado",VLOOKUP($A248,'Master vs SAP'!$A$8:$O$291,10,FALSE),"")</f>
        <v/>
      </c>
    </row>
    <row r="249" spans="1:23" ht="61.95" customHeight="1">
      <c r="A249" s="9" t="s">
        <v>587</v>
      </c>
      <c r="B249" s="9" t="s">
        <v>537</v>
      </c>
      <c r="C249" s="9" t="s">
        <v>588</v>
      </c>
      <c r="D249" s="24" t="str">
        <f>IF(VLOOKUP($A249,Neuquén!$A$8:$O$291,4,FALSE)="","",VLOOKUP($A249,Neuquén!$A$8:$O$291,4,FALSE))</f>
        <v>359</v>
      </c>
      <c r="E249" s="9" t="str">
        <f>IF(VLOOKUP($A249,Neuquén!$A$8:$O$291,5,FALSE)="","",VLOOKUP($A249,Neuquén!$A$8:$O$291,5,FALSE))</f>
        <v>SABANAPARAQUEMADOESTERIL</v>
      </c>
      <c r="F249" s="9" t="str">
        <f>IF(VLOOKUP($A249,Neuquén!$A$8:$O$291,7,FALSE)="","",VLOOKUP($A249,Neuquén!$A$8:$O$291,7,FALSE))</f>
        <v>Baja</v>
      </c>
      <c r="G249" s="9" t="str">
        <f>IF(VLOOKUP($A249,Neuquén!$A$8:$O$291,6,FALSE)="","",VLOOKUP($A249,Neuquén!$A$8:$O$291,6,FALSE))</f>
        <v>Código compartido: revisar</v>
      </c>
      <c r="H249" s="24" t="str">
        <f>IF(VLOOKUP($A249,'San Juan'!$A$8:$O$291,4,FALSE)="","",VLOOKUP($A249,'San Juan'!$A$8:$O$291,4,FALSE))</f>
        <v>DESC112</v>
      </c>
      <c r="I249" s="9" t="str">
        <f>IF(VLOOKUP($A249,'San Juan'!$A$8:$O$291,5,FALSE)="","",VLOOKUP($A249,'San Juan'!$A$8:$O$291,5,FALSE))</f>
        <v>Sabanas descartables</v>
      </c>
      <c r="J249" s="9" t="str">
        <f>IF(VLOOKUP($A249,'San Juan'!$A$8:$O$291,7,FALSE)="","",VLOOKUP($A249,'San Juan'!$A$8:$O$291,7,FALSE))</f>
        <v>Media</v>
      </c>
      <c r="K249" s="9" t="str">
        <f>IF(VLOOKUP($A249,'San Juan'!$A$8:$O$291,6,FALSE)="","",VLOOKUP($A249,'San Juan'!$A$8:$O$291,6,FALSE))</f>
        <v>Código compartido: revisar</v>
      </c>
      <c r="L249" s="24" t="str">
        <f>IF(VLOOKUP($A249,Salta!$A$8:$O$291,4,FALSE)="","",VLOOKUP($A249,Salta!$A$8:$O$291,4,FALSE))</f>
        <v>212</v>
      </c>
      <c r="M249" s="9" t="str">
        <f>IF(VLOOKUP($A249,Salta!$A$8:$O$291,5,FALSE)="","",VLOOKUP($A249,Salta!$A$8:$O$291,5,FALSE))</f>
        <v>Sabana descartable</v>
      </c>
      <c r="N249" s="9" t="str">
        <f>IF(VLOOKUP($A249,Salta!$A$8:$O$291,7,FALSE)="","",VLOOKUP($A249,Salta!$A$8:$O$291,7,FALSE))</f>
        <v>Media</v>
      </c>
      <c r="O249" s="9" t="str">
        <f>IF(VLOOKUP($A249,Salta!$A$8:$O$291,6,FALSE)="","",VLOOKUP($A249,Salta!$A$8:$O$291,6,FALSE))</f>
        <v>Revisar datos</v>
      </c>
      <c r="P249" s="24" t="str">
        <f>IF(VLOOKUP($A249,Neuquén!$A$8:$O$291,15,FALSE)="Homologado",VLOOKUP($A249,Neuquén!$A$8:$O$291,10,FALSE),"")</f>
        <v/>
      </c>
      <c r="Q249" s="24" t="str">
        <f>IF(VLOOKUP($A249,'San Juan'!$A$8:$O$291,15,FALSE)="Homologado",VLOOKUP($A249,'San Juan'!$A$8:$O$291,10,FALSE),"")</f>
        <v/>
      </c>
      <c r="R249" s="24" t="str">
        <f>IF(VLOOKUP($A249,Salta!$A$8:$O$291,15,FALSE)="Homologado",VLOOKUP($A249,Salta!$A$8:$O$291,10,FALSE),"")</f>
        <v/>
      </c>
      <c r="S249" s="24" t="str">
        <f>IF(VLOOKUP($A249,'Master vs SAP'!$A$8:$O$291,4,FALSE)="","",VLOOKUP($A249,'Master vs SAP'!$A$8:$O$291,4,FALSE))</f>
        <v>2000463</v>
      </c>
      <c r="T249" s="9" t="str">
        <f>IF(VLOOKUP($A249,'Master vs SAP'!$A$8:$O$291,5,FALSE)="","",VLOOKUP($A249,'Master vs SAP'!$A$8:$O$291,5,FALSE))</f>
        <v>SABANAS ESTERILES DESCARTABLES</v>
      </c>
      <c r="U249" s="9" t="str">
        <f>IF(VLOOKUP($A249,'Master vs SAP'!$A$8:$O$291,7,FALSE)="","",VLOOKUP($A249,'Master vs SAP'!$A$8:$O$291,7,FALSE))</f>
        <v>Alta</v>
      </c>
      <c r="V249" s="9" t="str">
        <f>IF(VLOOKUP($A249,'Master vs SAP'!$A$8:$O$291,6,FALSE)="","",VLOOKUP($A249,'Master vs SAP'!$A$8:$O$291,6,FALSE))</f>
        <v>Coincidencia</v>
      </c>
      <c r="W249" s="24" t="str">
        <f>IF(VLOOKUP($A249,'Master vs SAP'!$A$8:$O$291,15,FALSE)="Homologado",VLOOKUP($A249,'Master vs SAP'!$A$8:$O$291,10,FALSE),"")</f>
        <v/>
      </c>
    </row>
    <row r="250" spans="1:23" ht="61.95" customHeight="1">
      <c r="A250" s="9" t="s">
        <v>589</v>
      </c>
      <c r="B250" s="9" t="s">
        <v>537</v>
      </c>
      <c r="C250" s="9" t="s">
        <v>590</v>
      </c>
      <c r="D250" s="24" t="str">
        <f>IF(VLOOKUP($A250,Neuquén!$A$8:$O$291,4,FALSE)="","",VLOOKUP($A250,Neuquén!$A$8:$O$291,4,FALSE))</f>
        <v>382</v>
      </c>
      <c r="E250" s="9" t="str">
        <f>IF(VLOOKUP($A250,Neuquén!$A$8:$O$291,5,FALSE)="","",VLOOKUP($A250,Neuquén!$A$8:$O$291,5,FALSE))</f>
        <v>MANTATERMICADEEMERGENCIA</v>
      </c>
      <c r="F250" s="9" t="str">
        <f>IF(VLOOKUP($A250,Neuquén!$A$8:$O$291,7,FALSE)="","",VLOOKUP($A250,Neuquén!$A$8:$O$291,7,FALSE))</f>
        <v>Media</v>
      </c>
      <c r="G250" s="9" t="str">
        <f>IF(VLOOKUP($A250,Neuquén!$A$8:$O$291,6,FALSE)="","",VLOOKUP($A250,Neuquén!$A$8:$O$291,6,FALSE))</f>
        <v>Código compartido: revisar</v>
      </c>
      <c r="H250" s="24" t="str">
        <f>IF(VLOOKUP($A250,'San Juan'!$A$8:$O$291,4,FALSE)="","",VLOOKUP($A250,'San Juan'!$A$8:$O$291,4,FALSE))</f>
        <v/>
      </c>
      <c r="I250" s="9" t="str">
        <f>IF(VLOOKUP($A250,'San Juan'!$A$8:$O$291,5,FALSE)="","",VLOOKUP($A250,'San Juan'!$A$8:$O$291,5,FALSE))</f>
        <v/>
      </c>
      <c r="J250" s="9" t="str">
        <f>IF(VLOOKUP($A250,'San Juan'!$A$8:$O$291,7,FALSE)="","",VLOOKUP($A250,'San Juan'!$A$8:$O$291,7,FALSE))</f>
        <v>Sin coincidencia</v>
      </c>
      <c r="K250" s="9" t="str">
        <f>IF(VLOOKUP($A250,'San Juan'!$A$8:$O$291,6,FALSE)="","",VLOOKUP($A250,'San Juan'!$A$8:$O$291,6,FALSE))</f>
        <v>Sin código encontrado</v>
      </c>
      <c r="L250" s="24" t="str">
        <f>IF(VLOOKUP($A250,Salta!$A$8:$O$291,4,FALSE)="","",VLOOKUP($A250,Salta!$A$8:$O$291,4,FALSE))</f>
        <v>180</v>
      </c>
      <c r="M250" s="9" t="str">
        <f>IF(VLOOKUP($A250,Salta!$A$8:$O$291,5,FALSE)="","",VLOOKUP($A250,Salta!$A$8:$O$291,5,FALSE))</f>
        <v>Manta Termica</v>
      </c>
      <c r="N250" s="9" t="str">
        <f>IF(VLOOKUP($A250,Salta!$A$8:$O$291,7,FALSE)="","",VLOOKUP($A250,Salta!$A$8:$O$291,7,FALSE))</f>
        <v>Alta</v>
      </c>
      <c r="O250" s="9" t="str">
        <f>IF(VLOOKUP($A250,Salta!$A$8:$O$291,6,FALSE)="","",VLOOKUP($A250,Salta!$A$8:$O$291,6,FALSE))</f>
        <v>Coincidencia</v>
      </c>
      <c r="P250" s="24" t="str">
        <f>IF(VLOOKUP($A250,Neuquén!$A$8:$O$291,15,FALSE)="Homologado",VLOOKUP($A250,Neuquén!$A$8:$O$291,10,FALSE),"")</f>
        <v/>
      </c>
      <c r="Q250" s="24" t="str">
        <f>IF(VLOOKUP($A250,'San Juan'!$A$8:$O$291,15,FALSE)="Homologado",VLOOKUP($A250,'San Juan'!$A$8:$O$291,10,FALSE),"")</f>
        <v/>
      </c>
      <c r="R250" s="24" t="str">
        <f>IF(VLOOKUP($A250,Salta!$A$8:$O$291,15,FALSE)="Homologado",VLOOKUP($A250,Salta!$A$8:$O$291,10,FALSE),"")</f>
        <v/>
      </c>
      <c r="S250" s="24" t="str">
        <f>IF(VLOOKUP($A250,'Master vs SAP'!$A$8:$O$291,4,FALSE)="","",VLOOKUP($A250,'Master vs SAP'!$A$8:$O$291,4,FALSE))</f>
        <v>3000521</v>
      </c>
      <c r="T250" s="9" t="str">
        <f>IF(VLOOKUP($A250,'Master vs SAP'!$A$8:$O$291,5,FALSE)="","",VLOOKUP($A250,'Master vs SAP'!$A$8:$O$291,5,FALSE))</f>
        <v>FRAZADA TERMICA</v>
      </c>
      <c r="U250" s="9" t="str">
        <f>IF(VLOOKUP($A250,'Master vs SAP'!$A$8:$O$291,7,FALSE)="","",VLOOKUP($A250,'Master vs SAP'!$A$8:$O$291,7,FALSE))</f>
        <v>Media</v>
      </c>
      <c r="V250" s="9" t="str">
        <f>IF(VLOOKUP($A250,'Master vs SAP'!$A$8:$O$291,6,FALSE)="","",VLOOKUP($A250,'Master vs SAP'!$A$8:$O$291,6,FALSE))</f>
        <v>Revisar datos</v>
      </c>
      <c r="W250" s="24" t="str">
        <f>IF(VLOOKUP($A250,'Master vs SAP'!$A$8:$O$291,15,FALSE)="Homologado",VLOOKUP($A250,'Master vs SAP'!$A$8:$O$291,10,FALSE),"")</f>
        <v/>
      </c>
    </row>
    <row r="251" spans="1:23" ht="61.95" customHeight="1">
      <c r="A251" s="9" t="s">
        <v>591</v>
      </c>
      <c r="B251" s="9" t="s">
        <v>537</v>
      </c>
      <c r="C251" s="9" t="s">
        <v>592</v>
      </c>
      <c r="D251" s="24" t="str">
        <f>IF(VLOOKUP($A251,Neuquén!$A$8:$O$291,4,FALSE)="","",VLOOKUP($A251,Neuquén!$A$8:$O$291,4,FALSE))</f>
        <v>168</v>
      </c>
      <c r="E251" s="9" t="str">
        <f>IF(VLOOKUP($A251,Neuquén!$A$8:$O$291,5,FALSE)="","",VLOOKUP($A251,Neuquén!$A$8:$O$291,5,FALSE))</f>
        <v>NEXCAREOCULAR</v>
      </c>
      <c r="F251" s="9" t="str">
        <f>IF(VLOOKUP($A251,Neuquén!$A$8:$O$291,7,FALSE)="","",VLOOKUP($A251,Neuquén!$A$8:$O$291,7,FALSE))</f>
        <v>Media</v>
      </c>
      <c r="G251" s="9" t="str">
        <f>IF(VLOOKUP($A251,Neuquén!$A$8:$O$291,6,FALSE)="","",VLOOKUP($A251,Neuquén!$A$8:$O$291,6,FALSE))</f>
        <v>Equivalencia a revisar</v>
      </c>
      <c r="H251" s="24" t="str">
        <f>IF(VLOOKUP($A251,'San Juan'!$A$8:$O$291,4,FALSE)="","",VLOOKUP($A251,'San Juan'!$A$8:$O$291,4,FALSE))</f>
        <v/>
      </c>
      <c r="I251" s="9" t="str">
        <f>IF(VLOOKUP($A251,'San Juan'!$A$8:$O$291,5,FALSE)="","",VLOOKUP($A251,'San Juan'!$A$8:$O$291,5,FALSE))</f>
        <v/>
      </c>
      <c r="J251" s="9" t="str">
        <f>IF(VLOOKUP($A251,'San Juan'!$A$8:$O$291,7,FALSE)="","",VLOOKUP($A251,'San Juan'!$A$8:$O$291,7,FALSE))</f>
        <v>Sin coincidencia</v>
      </c>
      <c r="K251" s="9" t="str">
        <f>IF(VLOOKUP($A251,'San Juan'!$A$8:$O$291,6,FALSE)="","",VLOOKUP($A251,'San Juan'!$A$8:$O$291,6,FALSE))</f>
        <v>Sin código encontrado</v>
      </c>
      <c r="L251" s="24" t="str">
        <f>IF(VLOOKUP($A251,Salta!$A$8:$O$291,4,FALSE)="","",VLOOKUP($A251,Salta!$A$8:$O$291,4,FALSE))</f>
        <v/>
      </c>
      <c r="M251" s="9" t="str">
        <f>IF(VLOOKUP($A251,Salta!$A$8:$O$291,5,FALSE)="","",VLOOKUP($A251,Salta!$A$8:$O$291,5,FALSE))</f>
        <v/>
      </c>
      <c r="N251" s="9" t="str">
        <f>IF(VLOOKUP($A251,Salta!$A$8:$O$291,7,FALSE)="","",VLOOKUP($A251,Salta!$A$8:$O$291,7,FALSE))</f>
        <v>Sin coincidencia</v>
      </c>
      <c r="O251" s="9" t="str">
        <f>IF(VLOOKUP($A251,Salta!$A$8:$O$291,6,FALSE)="","",VLOOKUP($A251,Salta!$A$8:$O$291,6,FALSE))</f>
        <v>Sin coincidencia</v>
      </c>
      <c r="P251" s="24" t="str">
        <f>IF(VLOOKUP($A251,Neuquén!$A$8:$O$291,15,FALSE)="Homologado",VLOOKUP($A251,Neuquén!$A$8:$O$291,10,FALSE),"")</f>
        <v/>
      </c>
      <c r="Q251" s="24" t="str">
        <f>IF(VLOOKUP($A251,'San Juan'!$A$8:$O$291,15,FALSE)="Homologado",VLOOKUP($A251,'San Juan'!$A$8:$O$291,10,FALSE),"")</f>
        <v/>
      </c>
      <c r="R251" s="24" t="str">
        <f>IF(VLOOKUP($A251,Salta!$A$8:$O$291,15,FALSE)="Homologado",VLOOKUP($A251,Salta!$A$8:$O$291,10,FALSE),"")</f>
        <v/>
      </c>
      <c r="S251" s="24" t="str">
        <f>IF(VLOOKUP($A251,'Master vs SAP'!$A$8:$O$291,4,FALSE)="","",VLOOKUP($A251,'Master vs SAP'!$A$8:$O$291,4,FALSE))</f>
        <v>2000464</v>
      </c>
      <c r="T251" s="9" t="str">
        <f>IF(VLOOKUP($A251,'Master vs SAP'!$A$8:$O$291,5,FALSE)="","",VLOOKUP($A251,'Master vs SAP'!$A$8:$O$291,5,FALSE))</f>
        <v>PARCHE OCULAR DESCARTABLE</v>
      </c>
      <c r="U251" s="9" t="str">
        <f>IF(VLOOKUP($A251,'Master vs SAP'!$A$8:$O$291,7,FALSE)="","",VLOOKUP($A251,'Master vs SAP'!$A$8:$O$291,7,FALSE))</f>
        <v>Alta</v>
      </c>
      <c r="V251" s="9" t="str">
        <f>IF(VLOOKUP($A251,'Master vs SAP'!$A$8:$O$291,6,FALSE)="","",VLOOKUP($A251,'Master vs SAP'!$A$8:$O$291,6,FALSE))</f>
        <v>Coincidencia</v>
      </c>
      <c r="W251" s="24" t="str">
        <f>IF(VLOOKUP($A251,'Master vs SAP'!$A$8:$O$291,15,FALSE)="Homologado",VLOOKUP($A251,'Master vs SAP'!$A$8:$O$291,10,FALSE),"")</f>
        <v/>
      </c>
    </row>
    <row r="252" spans="1:23" ht="61.95" customHeight="1">
      <c r="A252" s="9" t="s">
        <v>593</v>
      </c>
      <c r="B252" s="9" t="s">
        <v>537</v>
      </c>
      <c r="C252" s="9" t="s">
        <v>594</v>
      </c>
      <c r="D252" s="24" t="str">
        <f>IF(VLOOKUP($A252,Neuquén!$A$8:$O$291,4,FALSE)="","",VLOOKUP($A252,Neuquén!$A$8:$O$291,4,FALSE))</f>
        <v>303</v>
      </c>
      <c r="E252" s="9" t="str">
        <f>IF(VLOOKUP($A252,Neuquén!$A$8:$O$291,5,FALSE)="","",VLOOKUP($A252,Neuquén!$A$8:$O$291,5,FALSE))</f>
        <v>TORNIQUETE</v>
      </c>
      <c r="F252" s="9" t="str">
        <f>IF(VLOOKUP($A252,Neuquén!$A$8:$O$291,7,FALSE)="","",VLOOKUP($A252,Neuquén!$A$8:$O$291,7,FALSE))</f>
        <v>Media</v>
      </c>
      <c r="G252" s="9" t="str">
        <f>IF(VLOOKUP($A252,Neuquén!$A$8:$O$291,6,FALSE)="","",VLOOKUP($A252,Neuquén!$A$8:$O$291,6,FALSE))</f>
        <v>Código compartido: revisar</v>
      </c>
      <c r="H252" s="24" t="str">
        <f>IF(VLOOKUP($A252,'San Juan'!$A$8:$O$291,4,FALSE)="","",VLOOKUP($A252,'San Juan'!$A$8:$O$291,4,FALSE))</f>
        <v/>
      </c>
      <c r="I252" s="9" t="str">
        <f>IF(VLOOKUP($A252,'San Juan'!$A$8:$O$291,5,FALSE)="","",VLOOKUP($A252,'San Juan'!$A$8:$O$291,5,FALSE))</f>
        <v/>
      </c>
      <c r="J252" s="9" t="str">
        <f>IF(VLOOKUP($A252,'San Juan'!$A$8:$O$291,7,FALSE)="","",VLOOKUP($A252,'San Juan'!$A$8:$O$291,7,FALSE))</f>
        <v>Sin coincidencia</v>
      </c>
      <c r="K252" s="9" t="str">
        <f>IF(VLOOKUP($A252,'San Juan'!$A$8:$O$291,6,FALSE)="","",VLOOKUP($A252,'San Juan'!$A$8:$O$291,6,FALSE))</f>
        <v>Sin código encontrado</v>
      </c>
      <c r="L252" s="24" t="str">
        <f>IF(VLOOKUP($A252,Salta!$A$8:$O$291,4,FALSE)="","",VLOOKUP($A252,Salta!$A$8:$O$291,4,FALSE))</f>
        <v>401</v>
      </c>
      <c r="M252" s="9" t="str">
        <f>IF(VLOOKUP($A252,Salta!$A$8:$O$291,5,FALSE)="","",VLOOKUP($A252,Salta!$A$8:$O$291,5,FALSE))</f>
        <v>Torniquete</v>
      </c>
      <c r="N252" s="9" t="str">
        <f>IF(VLOOKUP($A252,Salta!$A$8:$O$291,7,FALSE)="","",VLOOKUP($A252,Salta!$A$8:$O$291,7,FALSE))</f>
        <v>Media</v>
      </c>
      <c r="O252" s="9" t="str">
        <f>IF(VLOOKUP($A252,Salta!$A$8:$O$291,6,FALSE)="","",VLOOKUP($A252,Salta!$A$8:$O$291,6,FALSE))</f>
        <v>Revisar datos</v>
      </c>
      <c r="P252" s="24" t="str">
        <f>IF(VLOOKUP($A252,Neuquén!$A$8:$O$291,15,FALSE)="Homologado",VLOOKUP($A252,Neuquén!$A$8:$O$291,10,FALSE),"")</f>
        <v/>
      </c>
      <c r="Q252" s="24" t="str">
        <f>IF(VLOOKUP($A252,'San Juan'!$A$8:$O$291,15,FALSE)="Homologado",VLOOKUP($A252,'San Juan'!$A$8:$O$291,10,FALSE),"")</f>
        <v/>
      </c>
      <c r="R252" s="24" t="str">
        <f>IF(VLOOKUP($A252,Salta!$A$8:$O$291,15,FALSE)="Homologado",VLOOKUP($A252,Salta!$A$8:$O$291,10,FALSE),"")</f>
        <v/>
      </c>
      <c r="S252" s="24" t="str">
        <f>IF(VLOOKUP($A252,'Master vs SAP'!$A$8:$O$291,4,FALSE)="","",VLOOKUP($A252,'Master vs SAP'!$A$8:$O$291,4,FALSE))</f>
        <v>2000553</v>
      </c>
      <c r="T252" s="9" t="str">
        <f>IF(VLOOKUP($A252,'Master vs SAP'!$A$8:$O$291,5,FALSE)="","",VLOOKUP($A252,'Master vs SAP'!$A$8:$O$291,5,FALSE))</f>
        <v>TORNIQUETE TACTICO</v>
      </c>
      <c r="U252" s="9" t="str">
        <f>IF(VLOOKUP($A252,'Master vs SAP'!$A$8:$O$291,7,FALSE)="","",VLOOKUP($A252,'Master vs SAP'!$A$8:$O$291,7,FALSE))</f>
        <v>Alta</v>
      </c>
      <c r="V252" s="9" t="str">
        <f>IF(VLOOKUP($A252,'Master vs SAP'!$A$8:$O$291,6,FALSE)="","",VLOOKUP($A252,'Master vs SAP'!$A$8:$O$291,6,FALSE))</f>
        <v>Coincidencia</v>
      </c>
      <c r="W252" s="24" t="str">
        <f>IF(VLOOKUP($A252,'Master vs SAP'!$A$8:$O$291,15,FALSE)="Homologado",VLOOKUP($A252,'Master vs SAP'!$A$8:$O$291,10,FALSE),"")</f>
        <v/>
      </c>
    </row>
    <row r="253" spans="1:23" ht="61.95" customHeight="1">
      <c r="A253" s="9" t="s">
        <v>595</v>
      </c>
      <c r="B253" s="9" t="s">
        <v>537</v>
      </c>
      <c r="C253" s="9" t="s">
        <v>596</v>
      </c>
      <c r="D253" s="24" t="str">
        <f>IF(VLOOKUP($A253,Neuquén!$A$8:$O$291,4,FALSE)="","",VLOOKUP($A253,Neuquén!$A$8:$O$291,4,FALSE))</f>
        <v>1004</v>
      </c>
      <c r="E253" s="9" t="str">
        <f>IF(VLOOKUP($A253,Neuquén!$A$8:$O$291,5,FALSE)="","",VLOOKUP($A253,Neuquén!$A$8:$O$291,5,FALSE))</f>
        <v>LINTERNA</v>
      </c>
      <c r="F253" s="9" t="str">
        <f>IF(VLOOKUP($A253,Neuquén!$A$8:$O$291,7,FALSE)="","",VLOOKUP($A253,Neuquén!$A$8:$O$291,7,FALSE))</f>
        <v>Sin coincidencia</v>
      </c>
      <c r="G253" s="9" t="str">
        <f>IF(VLOOKUP($A253,Neuquén!$A$8:$O$291,6,FALSE)="","",VLOOKUP($A253,Neuquén!$A$8:$O$291,6,FALSE))</f>
        <v>Código compartido: revisar</v>
      </c>
      <c r="H253" s="24" t="str">
        <f>IF(VLOOKUP($A253,'San Juan'!$A$8:$O$291,4,FALSE)="","",VLOOKUP($A253,'San Juan'!$A$8:$O$291,4,FALSE))</f>
        <v/>
      </c>
      <c r="I253" s="9" t="str">
        <f>IF(VLOOKUP($A253,'San Juan'!$A$8:$O$291,5,FALSE)="","",VLOOKUP($A253,'San Juan'!$A$8:$O$291,5,FALSE))</f>
        <v/>
      </c>
      <c r="J253" s="9" t="str">
        <f>IF(VLOOKUP($A253,'San Juan'!$A$8:$O$291,7,FALSE)="","",VLOOKUP($A253,'San Juan'!$A$8:$O$291,7,FALSE))</f>
        <v>Sin coincidencia</v>
      </c>
      <c r="K253" s="9" t="str">
        <f>IF(VLOOKUP($A253,'San Juan'!$A$8:$O$291,6,FALSE)="","",VLOOKUP($A253,'San Juan'!$A$8:$O$291,6,FALSE))</f>
        <v>Sin código encontrado</v>
      </c>
      <c r="L253" s="24" t="str">
        <f>IF(VLOOKUP($A253,Salta!$A$8:$O$291,4,FALSE)="","",VLOOKUP($A253,Salta!$A$8:$O$291,4,FALSE))</f>
        <v>425</v>
      </c>
      <c r="M253" s="9" t="str">
        <f>IF(VLOOKUP($A253,Salta!$A$8:$O$291,5,FALSE)="","",VLOOKUP($A253,Salta!$A$8:$O$291,5,FALSE))</f>
        <v>Linterna de examinacion</v>
      </c>
      <c r="N253" s="9" t="str">
        <f>IF(VLOOKUP($A253,Salta!$A$8:$O$291,7,FALSE)="","",VLOOKUP($A253,Salta!$A$8:$O$291,7,FALSE))</f>
        <v>Alta</v>
      </c>
      <c r="O253" s="9" t="str">
        <f>IF(VLOOKUP($A253,Salta!$A$8:$O$291,6,FALSE)="","",VLOOKUP($A253,Salta!$A$8:$O$291,6,FALSE))</f>
        <v>Coincidencia</v>
      </c>
      <c r="P253" s="24" t="str">
        <f>IF(VLOOKUP($A253,Neuquén!$A$8:$O$291,15,FALSE)="Homologado",VLOOKUP($A253,Neuquén!$A$8:$O$291,10,FALSE),"")</f>
        <v/>
      </c>
      <c r="Q253" s="24" t="str">
        <f>IF(VLOOKUP($A253,'San Juan'!$A$8:$O$291,15,FALSE)="Homologado",VLOOKUP($A253,'San Juan'!$A$8:$O$291,10,FALSE),"")</f>
        <v/>
      </c>
      <c r="R253" s="24" t="str">
        <f>IF(VLOOKUP($A253,Salta!$A$8:$O$291,15,FALSE)="Homologado",VLOOKUP($A253,Salta!$A$8:$O$291,10,FALSE),"")</f>
        <v/>
      </c>
      <c r="S253" s="24" t="str">
        <f>IF(VLOOKUP($A253,'Master vs SAP'!$A$8:$O$291,4,FALSE)="","",VLOOKUP($A253,'Master vs SAP'!$A$8:$O$291,4,FALSE))</f>
        <v>2000483</v>
      </c>
      <c r="T253" s="9" t="str">
        <f>IF(VLOOKUP($A253,'Master vs SAP'!$A$8:$O$291,5,FALSE)="","",VLOOKUP($A253,'Master vs SAP'!$A$8:$O$291,5,FALSE))</f>
        <v>LINTERNA LAPICERA</v>
      </c>
      <c r="U253" s="9" t="str">
        <f>IF(VLOOKUP($A253,'Master vs SAP'!$A$8:$O$291,7,FALSE)="","",VLOOKUP($A253,'Master vs SAP'!$A$8:$O$291,7,FALSE))</f>
        <v>Alta</v>
      </c>
      <c r="V253" s="9" t="str">
        <f>IF(VLOOKUP($A253,'Master vs SAP'!$A$8:$O$291,6,FALSE)="","",VLOOKUP($A253,'Master vs SAP'!$A$8:$O$291,6,FALSE))</f>
        <v>Coincidencia</v>
      </c>
      <c r="W253" s="24" t="str">
        <f>IF(VLOOKUP($A253,'Master vs SAP'!$A$8:$O$291,15,FALSE)="Homologado",VLOOKUP($A253,'Master vs SAP'!$A$8:$O$291,10,FALSE),"")</f>
        <v/>
      </c>
    </row>
    <row r="254" spans="1:23" ht="61.95" customHeight="1">
      <c r="A254" s="9" t="s">
        <v>597</v>
      </c>
      <c r="B254" s="9" t="s">
        <v>537</v>
      </c>
      <c r="C254" s="9" t="s">
        <v>598</v>
      </c>
      <c r="D254" s="24" t="str">
        <f>IF(VLOOKUP($A254,Neuquén!$A$8:$O$291,4,FALSE)="","",VLOOKUP($A254,Neuquén!$A$8:$O$291,4,FALSE))</f>
        <v>415</v>
      </c>
      <c r="E254" s="9" t="str">
        <f>IF(VLOOKUP($A254,Neuquén!$A$8:$O$291,5,FALSE)="","",VLOOKUP($A254,Neuquén!$A$8:$O$291,5,FALSE))</f>
        <v>FERULASCONCIERREABROJO(juegos)</v>
      </c>
      <c r="F254" s="9" t="str">
        <f>IF(VLOOKUP($A254,Neuquén!$A$8:$O$291,7,FALSE)="","",VLOOKUP($A254,Neuquén!$A$8:$O$291,7,FALSE))</f>
        <v>Media</v>
      </c>
      <c r="G254" s="9" t="str">
        <f>IF(VLOOKUP($A254,Neuquén!$A$8:$O$291,6,FALSE)="","",VLOOKUP($A254,Neuquén!$A$8:$O$291,6,FALSE))</f>
        <v>Código compartido: revisar</v>
      </c>
      <c r="H254" s="24" t="str">
        <f>IF(VLOOKUP($A254,'San Juan'!$A$8:$O$291,4,FALSE)="","",VLOOKUP($A254,'San Juan'!$A$8:$O$291,4,FALSE))</f>
        <v/>
      </c>
      <c r="I254" s="9" t="str">
        <f>IF(VLOOKUP($A254,'San Juan'!$A$8:$O$291,5,FALSE)="","",VLOOKUP($A254,'San Juan'!$A$8:$O$291,5,FALSE))</f>
        <v/>
      </c>
      <c r="J254" s="9" t="str">
        <f>IF(VLOOKUP($A254,'San Juan'!$A$8:$O$291,7,FALSE)="","",VLOOKUP($A254,'San Juan'!$A$8:$O$291,7,FALSE))</f>
        <v>Sin coincidencia</v>
      </c>
      <c r="K254" s="9" t="str">
        <f>IF(VLOOKUP($A254,'San Juan'!$A$8:$O$291,6,FALSE)="","",VLOOKUP($A254,'San Juan'!$A$8:$O$291,6,FALSE))</f>
        <v>Sin código encontrado</v>
      </c>
      <c r="L254" s="24" t="str">
        <f>IF(VLOOKUP($A254,Salta!$A$8:$O$291,4,FALSE)="","",VLOOKUP($A254,Salta!$A$8:$O$291,4,FALSE))</f>
        <v/>
      </c>
      <c r="M254" s="9" t="str">
        <f>IF(VLOOKUP($A254,Salta!$A$8:$O$291,5,FALSE)="","",VLOOKUP($A254,Salta!$A$8:$O$291,5,FALSE))</f>
        <v/>
      </c>
      <c r="N254" s="9" t="str">
        <f>IF(VLOOKUP($A254,Salta!$A$8:$O$291,7,FALSE)="","",VLOOKUP($A254,Salta!$A$8:$O$291,7,FALSE))</f>
        <v>Sin coincidencia</v>
      </c>
      <c r="O254" s="9" t="str">
        <f>IF(VLOOKUP($A254,Salta!$A$8:$O$291,6,FALSE)="","",VLOOKUP($A254,Salta!$A$8:$O$291,6,FALSE))</f>
        <v>Sin coincidencia</v>
      </c>
      <c r="P254" s="24" t="str">
        <f>IF(VLOOKUP($A254,Neuquén!$A$8:$O$291,15,FALSE)="Homologado",VLOOKUP($A254,Neuquén!$A$8:$O$291,10,FALSE),"")</f>
        <v/>
      </c>
      <c r="Q254" s="24" t="str">
        <f>IF(VLOOKUP($A254,'San Juan'!$A$8:$O$291,15,FALSE)="Homologado",VLOOKUP($A254,'San Juan'!$A$8:$O$291,10,FALSE),"")</f>
        <v/>
      </c>
      <c r="R254" s="24" t="str">
        <f>IF(VLOOKUP($A254,Salta!$A$8:$O$291,15,FALSE)="Homologado",VLOOKUP($A254,Salta!$A$8:$O$291,10,FALSE),"")</f>
        <v/>
      </c>
      <c r="S254" s="24" t="str">
        <f>IF(VLOOKUP($A254,'Master vs SAP'!$A$8:$O$291,4,FALSE)="","",VLOOKUP($A254,'Master vs SAP'!$A$8:$O$291,4,FALSE))</f>
        <v/>
      </c>
      <c r="T254" s="9" t="str">
        <f>IF(VLOOKUP($A254,'Master vs SAP'!$A$8:$O$291,5,FALSE)="","",VLOOKUP($A254,'Master vs SAP'!$A$8:$O$291,5,FALSE))</f>
        <v/>
      </c>
      <c r="U254" s="9" t="str">
        <f>IF(VLOOKUP($A254,'Master vs SAP'!$A$8:$O$291,7,FALSE)="","",VLOOKUP($A254,'Master vs SAP'!$A$8:$O$291,7,FALSE))</f>
        <v>Sin coincidencia</v>
      </c>
      <c r="V254" s="9" t="str">
        <f>IF(VLOOKUP($A254,'Master vs SAP'!$A$8:$O$291,6,FALSE)="","",VLOOKUP($A254,'Master vs SAP'!$A$8:$O$291,6,FALSE))</f>
        <v>Sin coincidencia</v>
      </c>
      <c r="W254" s="24" t="str">
        <f>IF(VLOOKUP($A254,'Master vs SAP'!$A$8:$O$291,15,FALSE)="Homologado",VLOOKUP($A254,'Master vs SAP'!$A$8:$O$291,10,FALSE),"")</f>
        <v/>
      </c>
    </row>
    <row r="255" spans="1:23" ht="61.95" customHeight="1">
      <c r="A255" s="9" t="s">
        <v>599</v>
      </c>
      <c r="B255" s="9" t="s">
        <v>537</v>
      </c>
      <c r="C255" s="9" t="s">
        <v>600</v>
      </c>
      <c r="D255" s="24" t="str">
        <f>IF(VLOOKUP($A255,Neuquén!$A$8:$O$291,4,FALSE)="","",VLOOKUP($A255,Neuquén!$A$8:$O$291,4,FALSE))</f>
        <v>419</v>
      </c>
      <c r="E255" s="9" t="str">
        <f>IF(VLOOKUP($A255,Neuquén!$A$8:$O$291,5,FALSE)="","",VLOOKUP($A255,Neuquén!$A$8:$O$291,5,FALSE))</f>
        <v>PINZA DE EXTRACCION CUERPO EXTRAÑO</v>
      </c>
      <c r="F255" s="9" t="str">
        <f>IF(VLOOKUP($A255,Neuquén!$A$8:$O$291,7,FALSE)="","",VLOOKUP($A255,Neuquén!$A$8:$O$291,7,FALSE))</f>
        <v>Sin coincidencia</v>
      </c>
      <c r="G255" s="9" t="str">
        <f>IF(VLOOKUP($A255,Neuquén!$A$8:$O$291,6,FALSE)="","",VLOOKUP($A255,Neuquén!$A$8:$O$291,6,FALSE))</f>
        <v>Código compartido: revisar</v>
      </c>
      <c r="H255" s="24" t="str">
        <f>IF(VLOOKUP($A255,'San Juan'!$A$8:$O$291,4,FALSE)="","",VLOOKUP($A255,'San Juan'!$A$8:$O$291,4,FALSE))</f>
        <v/>
      </c>
      <c r="I255" s="9" t="str">
        <f>IF(VLOOKUP($A255,'San Juan'!$A$8:$O$291,5,FALSE)="","",VLOOKUP($A255,'San Juan'!$A$8:$O$291,5,FALSE))</f>
        <v/>
      </c>
      <c r="J255" s="9" t="str">
        <f>IF(VLOOKUP($A255,'San Juan'!$A$8:$O$291,7,FALSE)="","",VLOOKUP($A255,'San Juan'!$A$8:$O$291,7,FALSE))</f>
        <v>Sin coincidencia</v>
      </c>
      <c r="K255" s="9" t="str">
        <f>IF(VLOOKUP($A255,'San Juan'!$A$8:$O$291,6,FALSE)="","",VLOOKUP($A255,'San Juan'!$A$8:$O$291,6,FALSE))</f>
        <v>Sin código encontrado</v>
      </c>
      <c r="L255" s="24" t="str">
        <f>IF(VLOOKUP($A255,Salta!$A$8:$O$291,4,FALSE)="","",VLOOKUP($A255,Salta!$A$8:$O$291,4,FALSE))</f>
        <v/>
      </c>
      <c r="M255" s="9" t="str">
        <f>IF(VLOOKUP($A255,Salta!$A$8:$O$291,5,FALSE)="","",VLOOKUP($A255,Salta!$A$8:$O$291,5,FALSE))</f>
        <v/>
      </c>
      <c r="N255" s="9" t="str">
        <f>IF(VLOOKUP($A255,Salta!$A$8:$O$291,7,FALSE)="","",VLOOKUP($A255,Salta!$A$8:$O$291,7,FALSE))</f>
        <v>Sin coincidencia</v>
      </c>
      <c r="O255" s="9" t="str">
        <f>IF(VLOOKUP($A255,Salta!$A$8:$O$291,6,FALSE)="","",VLOOKUP($A255,Salta!$A$8:$O$291,6,FALSE))</f>
        <v>Sin coincidencia</v>
      </c>
      <c r="P255" s="24" t="str">
        <f>IF(VLOOKUP($A255,Neuquén!$A$8:$O$291,15,FALSE)="Homologado",VLOOKUP($A255,Neuquén!$A$8:$O$291,10,FALSE),"")</f>
        <v/>
      </c>
      <c r="Q255" s="24" t="str">
        <f>IF(VLOOKUP($A255,'San Juan'!$A$8:$O$291,15,FALSE)="Homologado",VLOOKUP($A255,'San Juan'!$A$8:$O$291,10,FALSE),"")</f>
        <v/>
      </c>
      <c r="R255" s="24" t="str">
        <f>IF(VLOOKUP($A255,Salta!$A$8:$O$291,15,FALSE)="Homologado",VLOOKUP($A255,Salta!$A$8:$O$291,10,FALSE),"")</f>
        <v/>
      </c>
      <c r="S255" s="24" t="str">
        <f>IF(VLOOKUP($A255,'Master vs SAP'!$A$8:$O$291,4,FALSE)="","",VLOOKUP($A255,'Master vs SAP'!$A$8:$O$291,4,FALSE))</f>
        <v>2000063</v>
      </c>
      <c r="T255" s="9" t="str">
        <f>IF(VLOOKUP($A255,'Master vs SAP'!$A$8:$O$291,5,FALSE)="","",VLOOKUP($A255,'Master vs SAP'!$A$8:$O$291,5,FALSE))</f>
        <v>PINZA MAGILL PEDIATRICA</v>
      </c>
      <c r="U255" s="9" t="str">
        <f>IF(VLOOKUP($A255,'Master vs SAP'!$A$8:$O$291,7,FALSE)="","",VLOOKUP($A255,'Master vs SAP'!$A$8:$O$291,7,FALSE))</f>
        <v>Alta</v>
      </c>
      <c r="V255" s="9" t="str">
        <f>IF(VLOOKUP($A255,'Master vs SAP'!$A$8:$O$291,6,FALSE)="","",VLOOKUP($A255,'Master vs SAP'!$A$8:$O$291,6,FALSE))</f>
        <v>Coincidencia</v>
      </c>
      <c r="W255" s="24" t="str">
        <f>IF(VLOOKUP($A255,'Master vs SAP'!$A$8:$O$291,15,FALSE)="Homologado",VLOOKUP($A255,'Master vs SAP'!$A$8:$O$291,10,FALSE),"")</f>
        <v/>
      </c>
    </row>
    <row r="256" spans="1:23" ht="61.95" customHeight="1">
      <c r="A256" s="9" t="s">
        <v>601</v>
      </c>
      <c r="B256" s="9" t="s">
        <v>537</v>
      </c>
      <c r="C256" s="9" t="s">
        <v>602</v>
      </c>
      <c r="D256" s="24" t="str">
        <f>IF(VLOOKUP($A256,Neuquén!$A$8:$O$291,4,FALSE)="","",VLOOKUP($A256,Neuquén!$A$8:$O$291,4,FALSE))</f>
        <v>411</v>
      </c>
      <c r="E256" s="9" t="str">
        <f>IF(VLOOKUP($A256,Neuquén!$A$8:$O$291,5,FALSE)="","",VLOOKUP($A256,Neuquén!$A$8:$O$291,5,FALSE))</f>
        <v>COLLAR FILADELFIA (distintas med.)</v>
      </c>
      <c r="F256" s="9" t="str">
        <f>IF(VLOOKUP($A256,Neuquén!$A$8:$O$291,7,FALSE)="","",VLOOKUP($A256,Neuquén!$A$8:$O$291,7,FALSE))</f>
        <v>Sin coincidencia</v>
      </c>
      <c r="G256" s="9" t="str">
        <f>IF(VLOOKUP($A256,Neuquén!$A$8:$O$291,6,FALSE)="","",VLOOKUP($A256,Neuquén!$A$8:$O$291,6,FALSE))</f>
        <v>Código compartido: revisar</v>
      </c>
      <c r="H256" s="24" t="str">
        <f>IF(VLOOKUP($A256,'San Juan'!$A$8:$O$291,4,FALSE)="","",VLOOKUP($A256,'San Juan'!$A$8:$O$291,4,FALSE))</f>
        <v/>
      </c>
      <c r="I256" s="9" t="str">
        <f>IF(VLOOKUP($A256,'San Juan'!$A$8:$O$291,5,FALSE)="","",VLOOKUP($A256,'San Juan'!$A$8:$O$291,5,FALSE))</f>
        <v/>
      </c>
      <c r="J256" s="9" t="str">
        <f>IF(VLOOKUP($A256,'San Juan'!$A$8:$O$291,7,FALSE)="","",VLOOKUP($A256,'San Juan'!$A$8:$O$291,7,FALSE))</f>
        <v>Sin coincidencia</v>
      </c>
      <c r="K256" s="9" t="str">
        <f>IF(VLOOKUP($A256,'San Juan'!$A$8:$O$291,6,FALSE)="","",VLOOKUP($A256,'San Juan'!$A$8:$O$291,6,FALSE))</f>
        <v>Sin código encontrado</v>
      </c>
      <c r="L256" s="24" t="str">
        <f>IF(VLOOKUP($A256,Salta!$A$8:$O$291,4,FALSE)="","",VLOOKUP($A256,Salta!$A$8:$O$291,4,FALSE))</f>
        <v>329</v>
      </c>
      <c r="M256" s="9" t="str">
        <f>IF(VLOOKUP($A256,Salta!$A$8:$O$291,5,FALSE)="","",VLOOKUP($A256,Salta!$A$8:$O$291,5,FALSE))</f>
        <v>Collar Cervical TU regulable</v>
      </c>
      <c r="N256" s="9" t="str">
        <f>IF(VLOOKUP($A256,Salta!$A$8:$O$291,7,FALSE)="","",VLOOKUP($A256,Salta!$A$8:$O$291,7,FALSE))</f>
        <v>Media</v>
      </c>
      <c r="O256" s="9" t="str">
        <f>IF(VLOOKUP($A256,Salta!$A$8:$O$291,6,FALSE)="","",VLOOKUP($A256,Salta!$A$8:$O$291,6,FALSE))</f>
        <v>Revisar datos</v>
      </c>
      <c r="P256" s="24" t="str">
        <f>IF(VLOOKUP($A256,Neuquén!$A$8:$O$291,15,FALSE)="Homologado",VLOOKUP($A256,Neuquén!$A$8:$O$291,10,FALSE),"")</f>
        <v/>
      </c>
      <c r="Q256" s="24" t="str">
        <f>IF(VLOOKUP($A256,'San Juan'!$A$8:$O$291,15,FALSE)="Homologado",VLOOKUP($A256,'San Juan'!$A$8:$O$291,10,FALSE),"")</f>
        <v/>
      </c>
      <c r="R256" s="24" t="str">
        <f>IF(VLOOKUP($A256,Salta!$A$8:$O$291,15,FALSE)="Homologado",VLOOKUP($A256,Salta!$A$8:$O$291,10,FALSE),"")</f>
        <v/>
      </c>
      <c r="S256" s="24" t="str">
        <f>IF(VLOOKUP($A256,'Master vs SAP'!$A$8:$O$291,4,FALSE)="","",VLOOKUP($A256,'Master vs SAP'!$A$8:$O$291,4,FALSE))</f>
        <v>2000049
2000086</v>
      </c>
      <c r="T256" s="9" t="str">
        <f>IF(VLOOKUP($A256,'Master vs SAP'!$A$8:$O$291,5,FALSE)="","",VLOOKUP($A256,'Master vs SAP'!$A$8:$O$291,5,FALSE))</f>
        <v>COLLAR CERVICAL CHICO
COLLAR CERVICAL PEQUEÑO</v>
      </c>
      <c r="U256" s="9" t="str">
        <f>IF(VLOOKUP($A256,'Master vs SAP'!$A$8:$O$291,7,FALSE)="","",VLOOKUP($A256,'Master vs SAP'!$A$8:$O$291,7,FALSE))</f>
        <v>Media</v>
      </c>
      <c r="V256" s="9" t="str">
        <f>IF(VLOOKUP($A256,'Master vs SAP'!$A$8:$O$291,6,FALSE)="","",VLOOKUP($A256,'Master vs SAP'!$A$8:$O$291,6,FALSE))</f>
        <v>Revisar datos</v>
      </c>
      <c r="W256" s="24" t="str">
        <f>IF(VLOOKUP($A256,'Master vs SAP'!$A$8:$O$291,15,FALSE)="Homologado",VLOOKUP($A256,'Master vs SAP'!$A$8:$O$291,10,FALSE),"")</f>
        <v/>
      </c>
    </row>
    <row r="257" spans="1:23" ht="61.95" customHeight="1">
      <c r="A257" s="9" t="s">
        <v>603</v>
      </c>
      <c r="B257" s="9" t="s">
        <v>537</v>
      </c>
      <c r="C257" s="9" t="s">
        <v>604</v>
      </c>
      <c r="D257" s="24" t="str">
        <f>IF(VLOOKUP($A257,Neuquén!$A$8:$O$291,4,FALSE)="","",VLOOKUP($A257,Neuquén!$A$8:$O$291,4,FALSE))</f>
        <v>379</v>
      </c>
      <c r="E257" s="9" t="str">
        <f>IF(VLOOKUP($A257,Neuquén!$A$8:$O$291,5,FALSE)="","",VLOOKUP($A257,Neuquén!$A$8:$O$291,5,FALSE))</f>
        <v>AMBU</v>
      </c>
      <c r="F257" s="9" t="str">
        <f>IF(VLOOKUP($A257,Neuquén!$A$8:$O$291,7,FALSE)="","",VLOOKUP($A257,Neuquén!$A$8:$O$291,7,FALSE))</f>
        <v>Baja</v>
      </c>
      <c r="G257" s="9" t="str">
        <f>IF(VLOOKUP($A257,Neuquén!$A$8:$O$291,6,FALSE)="","",VLOOKUP($A257,Neuquén!$A$8:$O$291,6,FALSE))</f>
        <v>Código compartido: revisar</v>
      </c>
      <c r="H257" s="24" t="str">
        <f>IF(VLOOKUP($A257,'San Juan'!$A$8:$O$291,4,FALSE)="","",VLOOKUP($A257,'San Juan'!$A$8:$O$291,4,FALSE))</f>
        <v/>
      </c>
      <c r="I257" s="9" t="str">
        <f>IF(VLOOKUP($A257,'San Juan'!$A$8:$O$291,5,FALSE)="","",VLOOKUP($A257,'San Juan'!$A$8:$O$291,5,FALSE))</f>
        <v/>
      </c>
      <c r="J257" s="9" t="str">
        <f>IF(VLOOKUP($A257,'San Juan'!$A$8:$O$291,7,FALSE)="","",VLOOKUP($A257,'San Juan'!$A$8:$O$291,7,FALSE))</f>
        <v>Sin coincidencia</v>
      </c>
      <c r="K257" s="9" t="str">
        <f>IF(VLOOKUP($A257,'San Juan'!$A$8:$O$291,6,FALSE)="","",VLOOKUP($A257,'San Juan'!$A$8:$O$291,6,FALSE))</f>
        <v>Sin código encontrado</v>
      </c>
      <c r="L257" s="24" t="str">
        <f>IF(VLOOKUP($A257,Salta!$A$8:$O$291,4,FALSE)="","",VLOOKUP($A257,Salta!$A$8:$O$291,4,FALSE))</f>
        <v>207</v>
      </c>
      <c r="M257" s="9" t="str">
        <f>IF(VLOOKUP($A257,Salta!$A$8:$O$291,5,FALSE)="","",VLOOKUP($A257,Salta!$A$8:$O$291,5,FALSE))</f>
        <v>Resucitador Manual Tipo Ambu</v>
      </c>
      <c r="N257" s="9" t="str">
        <f>IF(VLOOKUP($A257,Salta!$A$8:$O$291,7,FALSE)="","",VLOOKUP($A257,Salta!$A$8:$O$291,7,FALSE))</f>
        <v>Media</v>
      </c>
      <c r="O257" s="9" t="str">
        <f>IF(VLOOKUP($A257,Salta!$A$8:$O$291,6,FALSE)="","",VLOOKUP($A257,Salta!$A$8:$O$291,6,FALSE))</f>
        <v>Revisar datos</v>
      </c>
      <c r="P257" s="24" t="str">
        <f>IF(VLOOKUP($A257,Neuquén!$A$8:$O$291,15,FALSE)="Homologado",VLOOKUP($A257,Neuquén!$A$8:$O$291,10,FALSE),"")</f>
        <v/>
      </c>
      <c r="Q257" s="24" t="str">
        <f>IF(VLOOKUP($A257,'San Juan'!$A$8:$O$291,15,FALSE)="Homologado",VLOOKUP($A257,'San Juan'!$A$8:$O$291,10,FALSE),"")</f>
        <v/>
      </c>
      <c r="R257" s="24" t="str">
        <f>IF(VLOOKUP($A257,Salta!$A$8:$O$291,15,FALSE)="Homologado",VLOOKUP($A257,Salta!$A$8:$O$291,10,FALSE),"")</f>
        <v/>
      </c>
      <c r="S257" s="24" t="str">
        <f>IF(VLOOKUP($A257,'Master vs SAP'!$A$8:$O$291,4,FALSE)="","",VLOOKUP($A257,'Master vs SAP'!$A$8:$O$291,4,FALSE))</f>
        <v>2000492</v>
      </c>
      <c r="T257" s="9" t="str">
        <f>IF(VLOOKUP($A257,'Master vs SAP'!$A$8:$O$291,5,FALSE)="","",VLOOKUP($A257,'Master vs SAP'!$A$8:$O$291,5,FALSE))</f>
        <v>BOLSA RESUCITACION MANUAL(TIPO AMBU)PED</v>
      </c>
      <c r="U257" s="9" t="str">
        <f>IF(VLOOKUP($A257,'Master vs SAP'!$A$8:$O$291,7,FALSE)="","",VLOOKUP($A257,'Master vs SAP'!$A$8:$O$291,7,FALSE))</f>
        <v>Media</v>
      </c>
      <c r="V257" s="9" t="str">
        <f>IF(VLOOKUP($A257,'Master vs SAP'!$A$8:$O$291,6,FALSE)="","",VLOOKUP($A257,'Master vs SAP'!$A$8:$O$291,6,FALSE))</f>
        <v>Revisar datos</v>
      </c>
      <c r="W257" s="24" t="str">
        <f>IF(VLOOKUP($A257,'Master vs SAP'!$A$8:$O$291,15,FALSE)="Homologado",VLOOKUP($A257,'Master vs SAP'!$A$8:$O$291,10,FALSE),"")</f>
        <v/>
      </c>
    </row>
    <row r="258" spans="1:23" ht="61.95" customHeight="1">
      <c r="A258" s="9" t="s">
        <v>605</v>
      </c>
      <c r="B258" s="9" t="s">
        <v>537</v>
      </c>
      <c r="C258" s="9" t="s">
        <v>606</v>
      </c>
      <c r="D258" s="24" t="str">
        <f>IF(VLOOKUP($A258,Neuquén!$A$8:$O$291,4,FALSE)="","",VLOOKUP($A258,Neuquén!$A$8:$O$291,4,FALSE))</f>
        <v>388</v>
      </c>
      <c r="E258" s="9" t="str">
        <f>IF(VLOOKUP($A258,Neuquén!$A$8:$O$291,5,FALSE)="","",VLOOKUP($A258,Neuquén!$A$8:$O$291,5,FALSE))</f>
        <v>SALBUTAMOLCONAEROCAMARA</v>
      </c>
      <c r="F258" s="9" t="str">
        <f>IF(VLOOKUP($A258,Neuquén!$A$8:$O$291,7,FALSE)="","",VLOOKUP($A258,Neuquén!$A$8:$O$291,7,FALSE))</f>
        <v>Media</v>
      </c>
      <c r="G258" s="9" t="str">
        <f>IF(VLOOKUP($A258,Neuquén!$A$8:$O$291,6,FALSE)="","",VLOOKUP($A258,Neuquén!$A$8:$O$291,6,FALSE))</f>
        <v>Equivalencia a revisar</v>
      </c>
      <c r="H258" s="24" t="str">
        <f>IF(VLOOKUP($A258,'San Juan'!$A$8:$O$291,4,FALSE)="","",VLOOKUP($A258,'San Juan'!$A$8:$O$291,4,FALSE))</f>
        <v/>
      </c>
      <c r="I258" s="9" t="str">
        <f>IF(VLOOKUP($A258,'San Juan'!$A$8:$O$291,5,FALSE)="","",VLOOKUP($A258,'San Juan'!$A$8:$O$291,5,FALSE))</f>
        <v/>
      </c>
      <c r="J258" s="9" t="str">
        <f>IF(VLOOKUP($A258,'San Juan'!$A$8:$O$291,7,FALSE)="","",VLOOKUP($A258,'San Juan'!$A$8:$O$291,7,FALSE))</f>
        <v>Sin coincidencia</v>
      </c>
      <c r="K258" s="9" t="str">
        <f>IF(VLOOKUP($A258,'San Juan'!$A$8:$O$291,6,FALSE)="","",VLOOKUP($A258,'San Juan'!$A$8:$O$291,6,FALSE))</f>
        <v>Sin código encontrado</v>
      </c>
      <c r="L258" s="24" t="str">
        <f>IF(VLOOKUP($A258,Salta!$A$8:$O$291,4,FALSE)="","",VLOOKUP($A258,Salta!$A$8:$O$291,4,FALSE))</f>
        <v>322</v>
      </c>
      <c r="M258" s="9" t="str">
        <f>IF(VLOOKUP($A258,Salta!$A$8:$O$291,5,FALSE)="","",VLOOKUP($A258,Salta!$A$8:$O$291,5,FALSE))</f>
        <v>Aerocamara para adulto</v>
      </c>
      <c r="N258" s="9" t="str">
        <f>IF(VLOOKUP($A258,Salta!$A$8:$O$291,7,FALSE)="","",VLOOKUP($A258,Salta!$A$8:$O$291,7,FALSE))</f>
        <v>Alta</v>
      </c>
      <c r="O258" s="9" t="str">
        <f>IF(VLOOKUP($A258,Salta!$A$8:$O$291,6,FALSE)="","",VLOOKUP($A258,Salta!$A$8:$O$291,6,FALSE))</f>
        <v>Coincidencia</v>
      </c>
      <c r="P258" s="24" t="str">
        <f>IF(VLOOKUP($A258,Neuquén!$A$8:$O$291,15,FALSE)="Homologado",VLOOKUP($A258,Neuquén!$A$8:$O$291,10,FALSE),"")</f>
        <v/>
      </c>
      <c r="Q258" s="24" t="str">
        <f>IF(VLOOKUP($A258,'San Juan'!$A$8:$O$291,15,FALSE)="Homologado",VLOOKUP($A258,'San Juan'!$A$8:$O$291,10,FALSE),"")</f>
        <v/>
      </c>
      <c r="R258" s="24" t="str">
        <f>IF(VLOOKUP($A258,Salta!$A$8:$O$291,15,FALSE)="Homologado",VLOOKUP($A258,Salta!$A$8:$O$291,10,FALSE),"")</f>
        <v/>
      </c>
      <c r="S258" s="24" t="str">
        <f>IF(VLOOKUP($A258,'Master vs SAP'!$A$8:$O$291,4,FALSE)="","",VLOOKUP($A258,'Master vs SAP'!$A$8:$O$291,4,FALSE))</f>
        <v>2000298
2000428
2000825</v>
      </c>
      <c r="T258" s="9" t="str">
        <f>IF(VLOOKUP($A258,'Master vs SAP'!$A$8:$O$291,5,FALSE)="","",VLOOKUP($A258,'Master vs SAP'!$A$8:$O$291,5,FALSE))</f>
        <v>AEROCAMARA ADULTO CON MASCARA
AEROCAMARA PEDIATRICO C/MASCARA
AEROCAMARA ESPACIADORA NEO</v>
      </c>
      <c r="U258" s="9" t="str">
        <f>IF(VLOOKUP($A258,'Master vs SAP'!$A$8:$O$291,7,FALSE)="","",VLOOKUP($A258,'Master vs SAP'!$A$8:$O$291,7,FALSE))</f>
        <v>Media</v>
      </c>
      <c r="V258" s="9" t="str">
        <f>IF(VLOOKUP($A258,'Master vs SAP'!$A$8:$O$291,6,FALSE)="","",VLOOKUP($A258,'Master vs SAP'!$A$8:$O$291,6,FALSE))</f>
        <v>Revisar grupo</v>
      </c>
      <c r="W258" s="24" t="str">
        <f>IF(VLOOKUP($A258,'Master vs SAP'!$A$8:$O$291,15,FALSE)="Homologado",VLOOKUP($A258,'Master vs SAP'!$A$8:$O$291,10,FALSE),"")</f>
        <v/>
      </c>
    </row>
    <row r="259" spans="1:23" ht="61.95" customHeight="1">
      <c r="A259" s="9" t="s">
        <v>607</v>
      </c>
      <c r="B259" s="9" t="s">
        <v>537</v>
      </c>
      <c r="C259" s="9" t="s">
        <v>608</v>
      </c>
      <c r="D259" s="24" t="str">
        <f>IF(VLOOKUP($A259,Neuquén!$A$8:$O$291,4,FALSE)="","",VLOOKUP($A259,Neuquén!$A$8:$O$291,4,FALSE))</f>
        <v>318</v>
      </c>
      <c r="E259" s="9" t="str">
        <f>IF(VLOOKUP($A259,Neuquén!$A$8:$O$291,5,FALSE)="","",VLOOKUP($A259,Neuquén!$A$8:$O$291,5,FALSE))</f>
        <v>MASCARAC/RESERVORIOnousar</v>
      </c>
      <c r="F259" s="9" t="str">
        <f>IF(VLOOKUP($A259,Neuquén!$A$8:$O$291,7,FALSE)="","",VLOOKUP($A259,Neuquén!$A$8:$O$291,7,FALSE))</f>
        <v>Media</v>
      </c>
      <c r="G259" s="9" t="str">
        <f>IF(VLOOKUP($A259,Neuquén!$A$8:$O$291,6,FALSE)="","",VLOOKUP($A259,Neuquén!$A$8:$O$291,6,FALSE))</f>
        <v>Código compartido: revisar</v>
      </c>
      <c r="H259" s="24" t="str">
        <f>IF(VLOOKUP($A259,'San Juan'!$A$8:$O$291,4,FALSE)="","",VLOOKUP($A259,'San Juan'!$A$8:$O$291,4,FALSE))</f>
        <v>DESC93</v>
      </c>
      <c r="I259" s="9" t="str">
        <f>IF(VLOOKUP($A259,'San Juan'!$A$8:$O$291,5,FALSE)="","",VLOOKUP($A259,'San Juan'!$A$8:$O$291,5,FALSE))</f>
        <v>Mascaras para oxigeno c/ reservorio</v>
      </c>
      <c r="J259" s="9" t="str">
        <f>IF(VLOOKUP($A259,'San Juan'!$A$8:$O$291,7,FALSE)="","",VLOOKUP($A259,'San Juan'!$A$8:$O$291,7,FALSE))</f>
        <v>Media</v>
      </c>
      <c r="K259" s="9" t="str">
        <f>IF(VLOOKUP($A259,'San Juan'!$A$8:$O$291,6,FALSE)="","",VLOOKUP($A259,'San Juan'!$A$8:$O$291,6,FALSE))</f>
        <v>Código compartido: revisar</v>
      </c>
      <c r="L259" s="24" t="str">
        <f>IF(VLOOKUP($A259,Salta!$A$8:$O$291,4,FALSE)="","",VLOOKUP($A259,Salta!$A$8:$O$291,4,FALSE))</f>
        <v>182</v>
      </c>
      <c r="M259" s="9" t="str">
        <f>IF(VLOOKUP($A259,Salta!$A$8:$O$291,5,FALSE)="","",VLOOKUP($A259,Salta!$A$8:$O$291,5,FALSE))</f>
        <v>Máscaras para oxigeno c/ reservorio</v>
      </c>
      <c r="N259" s="9" t="str">
        <f>IF(VLOOKUP($A259,Salta!$A$8:$O$291,7,FALSE)="","",VLOOKUP($A259,Salta!$A$8:$O$291,7,FALSE))</f>
        <v>Media</v>
      </c>
      <c r="O259" s="9" t="str">
        <f>IF(VLOOKUP($A259,Salta!$A$8:$O$291,6,FALSE)="","",VLOOKUP($A259,Salta!$A$8:$O$291,6,FALSE))</f>
        <v>Revisar datos</v>
      </c>
      <c r="P259" s="24" t="str">
        <f>IF(VLOOKUP($A259,Neuquén!$A$8:$O$291,15,FALSE)="Homologado",VLOOKUP($A259,Neuquén!$A$8:$O$291,10,FALSE),"")</f>
        <v/>
      </c>
      <c r="Q259" s="24" t="str">
        <f>IF(VLOOKUP($A259,'San Juan'!$A$8:$O$291,15,FALSE)="Homologado",VLOOKUP($A259,'San Juan'!$A$8:$O$291,10,FALSE),"")</f>
        <v/>
      </c>
      <c r="R259" s="24" t="str">
        <f>IF(VLOOKUP($A259,Salta!$A$8:$O$291,15,FALSE)="Homologado",VLOOKUP($A259,Salta!$A$8:$O$291,10,FALSE),"")</f>
        <v/>
      </c>
      <c r="S259" s="24" t="str">
        <f>IF(VLOOKUP($A259,'Master vs SAP'!$A$8:$O$291,4,FALSE)="","",VLOOKUP($A259,'Master vs SAP'!$A$8:$O$291,4,FALSE))</f>
        <v>2000364</v>
      </c>
      <c r="T259" s="9" t="str">
        <f>IF(VLOOKUP($A259,'Master vs SAP'!$A$8:$O$291,5,FALSE)="","",VLOOKUP($A259,'Master vs SAP'!$A$8:$O$291,5,FALSE))</f>
        <v>MASCARA PARA O2 PEDIATRICA CON RESERVORI</v>
      </c>
      <c r="U259" s="9" t="str">
        <f>IF(VLOOKUP($A259,'Master vs SAP'!$A$8:$O$291,7,FALSE)="","",VLOOKUP($A259,'Master vs SAP'!$A$8:$O$291,7,FALSE))</f>
        <v>Alta</v>
      </c>
      <c r="V259" s="9" t="str">
        <f>IF(VLOOKUP($A259,'Master vs SAP'!$A$8:$O$291,6,FALSE)="","",VLOOKUP($A259,'Master vs SAP'!$A$8:$O$291,6,FALSE))</f>
        <v>Coincidencia</v>
      </c>
      <c r="W259" s="24" t="str">
        <f>IF(VLOOKUP($A259,'Master vs SAP'!$A$8:$O$291,15,FALSE)="Homologado",VLOOKUP($A259,'Master vs SAP'!$A$8:$O$291,10,FALSE),"")</f>
        <v/>
      </c>
    </row>
    <row r="260" spans="1:23" ht="61.95" customHeight="1">
      <c r="A260" s="9" t="s">
        <v>609</v>
      </c>
      <c r="B260" s="9" t="s">
        <v>537</v>
      </c>
      <c r="C260" s="9" t="s">
        <v>610</v>
      </c>
      <c r="D260" s="24" t="str">
        <f>IF(VLOOKUP($A260,Neuquén!$A$8:$O$291,4,FALSE)="","",VLOOKUP($A260,Neuquén!$A$8:$O$291,4,FALSE))</f>
        <v>345</v>
      </c>
      <c r="E260" s="9" t="str">
        <f>IF(VLOOKUP($A260,Neuquén!$A$8:$O$291,5,FALSE)="","",VLOOKUP($A260,Neuquén!$A$8:$O$291,5,FALSE))</f>
        <v>mascaranebulizar</v>
      </c>
      <c r="F260" s="9" t="str">
        <f>IF(VLOOKUP($A260,Neuquén!$A$8:$O$291,7,FALSE)="","",VLOOKUP($A260,Neuquén!$A$8:$O$291,7,FALSE))</f>
        <v>Media</v>
      </c>
      <c r="G260" s="9" t="str">
        <f>IF(VLOOKUP($A260,Neuquén!$A$8:$O$291,6,FALSE)="","",VLOOKUP($A260,Neuquén!$A$8:$O$291,6,FALSE))</f>
        <v>Código compartido: revisar</v>
      </c>
      <c r="H260" s="24" t="str">
        <f>IF(VLOOKUP($A260,'San Juan'!$A$8:$O$291,4,FALSE)="","",VLOOKUP($A260,'San Juan'!$A$8:$O$291,4,FALSE))</f>
        <v>DESC92</v>
      </c>
      <c r="I260" s="9" t="str">
        <f>IF(VLOOKUP($A260,'San Juan'!$A$8:$O$291,5,FALSE)="","",VLOOKUP($A260,'San Juan'!$A$8:$O$291,5,FALSE))</f>
        <v>Mascaras para nebulizar</v>
      </c>
      <c r="J260" s="9" t="str">
        <f>IF(VLOOKUP($A260,'San Juan'!$A$8:$O$291,7,FALSE)="","",VLOOKUP($A260,'San Juan'!$A$8:$O$291,7,FALSE))</f>
        <v>Media</v>
      </c>
      <c r="K260" s="9" t="str">
        <f>IF(VLOOKUP($A260,'San Juan'!$A$8:$O$291,6,FALSE)="","",VLOOKUP($A260,'San Juan'!$A$8:$O$291,6,FALSE))</f>
        <v>Código compartido: revisar</v>
      </c>
      <c r="L260" s="24" t="str">
        <f>IF(VLOOKUP($A260,Salta!$A$8:$O$291,4,FALSE)="","",VLOOKUP($A260,Salta!$A$8:$O$291,4,FALSE))</f>
        <v>181</v>
      </c>
      <c r="M260" s="9" t="str">
        <f>IF(VLOOKUP($A260,Salta!$A$8:$O$291,5,FALSE)="","",VLOOKUP($A260,Salta!$A$8:$O$291,5,FALSE))</f>
        <v>Mascara NBZ</v>
      </c>
      <c r="N260" s="9" t="str">
        <f>IF(VLOOKUP($A260,Salta!$A$8:$O$291,7,FALSE)="","",VLOOKUP($A260,Salta!$A$8:$O$291,7,FALSE))</f>
        <v>Media</v>
      </c>
      <c r="O260" s="9" t="str">
        <f>IF(VLOOKUP($A260,Salta!$A$8:$O$291,6,FALSE)="","",VLOOKUP($A260,Salta!$A$8:$O$291,6,FALSE))</f>
        <v>Revisar datos</v>
      </c>
      <c r="P260" s="24" t="str">
        <f>IF(VLOOKUP($A260,Neuquén!$A$8:$O$291,15,FALSE)="Homologado",VLOOKUP($A260,Neuquén!$A$8:$O$291,10,FALSE),"")</f>
        <v/>
      </c>
      <c r="Q260" s="24" t="str">
        <f>IF(VLOOKUP($A260,'San Juan'!$A$8:$O$291,15,FALSE)="Homologado",VLOOKUP($A260,'San Juan'!$A$8:$O$291,10,FALSE),"")</f>
        <v/>
      </c>
      <c r="R260" s="24" t="str">
        <f>IF(VLOOKUP($A260,Salta!$A$8:$O$291,15,FALSE)="Homologado",VLOOKUP($A260,Salta!$A$8:$O$291,10,FALSE),"")</f>
        <v/>
      </c>
      <c r="S260" s="24" t="str">
        <f>IF(VLOOKUP($A260,'Master vs SAP'!$A$8:$O$291,4,FALSE)="","",VLOOKUP($A260,'Master vs SAP'!$A$8:$O$291,4,FALSE))</f>
        <v>2000167</v>
      </c>
      <c r="T260" s="9" t="str">
        <f>IF(VLOOKUP($A260,'Master vs SAP'!$A$8:$O$291,5,FALSE)="","",VLOOKUP($A260,'Master vs SAP'!$A$8:$O$291,5,FALSE))</f>
        <v>MASCARA PARA NEBULIZAR PEDIATRICA</v>
      </c>
      <c r="U260" s="9" t="str">
        <f>IF(VLOOKUP($A260,'Master vs SAP'!$A$8:$O$291,7,FALSE)="","",VLOOKUP($A260,'Master vs SAP'!$A$8:$O$291,7,FALSE))</f>
        <v>Alta</v>
      </c>
      <c r="V260" s="9" t="str">
        <f>IF(VLOOKUP($A260,'Master vs SAP'!$A$8:$O$291,6,FALSE)="","",VLOOKUP($A260,'Master vs SAP'!$A$8:$O$291,6,FALSE))</f>
        <v>Coincidencia</v>
      </c>
      <c r="W260" s="24" t="str">
        <f>IF(VLOOKUP($A260,'Master vs SAP'!$A$8:$O$291,15,FALSE)="Homologado",VLOOKUP($A260,'Master vs SAP'!$A$8:$O$291,10,FALSE),"")</f>
        <v/>
      </c>
    </row>
    <row r="261" spans="1:23" ht="61.95" customHeight="1">
      <c r="A261" s="9" t="s">
        <v>611</v>
      </c>
      <c r="B261" s="9" t="s">
        <v>537</v>
      </c>
      <c r="C261" s="9" t="s">
        <v>612</v>
      </c>
      <c r="D261" s="24" t="str">
        <f>IF(VLOOKUP($A261,Neuquén!$A$8:$O$291,4,FALSE)="","",VLOOKUP($A261,Neuquén!$A$8:$O$291,4,FALSE))</f>
        <v>284</v>
      </c>
      <c r="E261" s="9" t="str">
        <f>IF(VLOOKUP($A261,Neuquén!$A$8:$O$291,5,FALSE)="","",VLOOKUP($A261,Neuquén!$A$8:$O$291,5,FALSE))</f>
        <v>MascaralaringeaN°5</v>
      </c>
      <c r="F261" s="9" t="str">
        <f>IF(VLOOKUP($A261,Neuquén!$A$8:$O$291,7,FALSE)="","",VLOOKUP($A261,Neuquén!$A$8:$O$291,7,FALSE))</f>
        <v>Baja</v>
      </c>
      <c r="G261" s="9" t="str">
        <f>IF(VLOOKUP($A261,Neuquén!$A$8:$O$291,6,FALSE)="","",VLOOKUP($A261,Neuquén!$A$8:$O$291,6,FALSE))</f>
        <v>Código compartido: revisar</v>
      </c>
      <c r="H261" s="24" t="str">
        <f>IF(VLOOKUP($A261,'San Juan'!$A$8:$O$291,4,FALSE)="","",VLOOKUP($A261,'San Juan'!$A$8:$O$291,4,FALSE))</f>
        <v/>
      </c>
      <c r="I261" s="9" t="str">
        <f>IF(VLOOKUP($A261,'San Juan'!$A$8:$O$291,5,FALSE)="","",VLOOKUP($A261,'San Juan'!$A$8:$O$291,5,FALSE))</f>
        <v/>
      </c>
      <c r="J261" s="9" t="str">
        <f>IF(VLOOKUP($A261,'San Juan'!$A$8:$O$291,7,FALSE)="","",VLOOKUP($A261,'San Juan'!$A$8:$O$291,7,FALSE))</f>
        <v>Sin coincidencia</v>
      </c>
      <c r="K261" s="9" t="str">
        <f>IF(VLOOKUP($A261,'San Juan'!$A$8:$O$291,6,FALSE)="","",VLOOKUP($A261,'San Juan'!$A$8:$O$291,6,FALSE))</f>
        <v>Sin código encontrado</v>
      </c>
      <c r="L261" s="24" t="str">
        <f>IF(VLOOKUP($A261,Salta!$A$8:$O$291,4,FALSE)="","",VLOOKUP($A261,Salta!$A$8:$O$291,4,FALSE))</f>
        <v/>
      </c>
      <c r="M261" s="9" t="str">
        <f>IF(VLOOKUP($A261,Salta!$A$8:$O$291,5,FALSE)="","",VLOOKUP($A261,Salta!$A$8:$O$291,5,FALSE))</f>
        <v/>
      </c>
      <c r="N261" s="9" t="str">
        <f>IF(VLOOKUP($A261,Salta!$A$8:$O$291,7,FALSE)="","",VLOOKUP($A261,Salta!$A$8:$O$291,7,FALSE))</f>
        <v>Sin coincidencia</v>
      </c>
      <c r="O261" s="9" t="str">
        <f>IF(VLOOKUP($A261,Salta!$A$8:$O$291,6,FALSE)="","",VLOOKUP($A261,Salta!$A$8:$O$291,6,FALSE))</f>
        <v>Sin coincidencia</v>
      </c>
      <c r="P261" s="24" t="str">
        <f>IF(VLOOKUP($A261,Neuquén!$A$8:$O$291,15,FALSE)="Homologado",VLOOKUP($A261,Neuquén!$A$8:$O$291,10,FALSE),"")</f>
        <v/>
      </c>
      <c r="Q261" s="24" t="str">
        <f>IF(VLOOKUP($A261,'San Juan'!$A$8:$O$291,15,FALSE)="Homologado",VLOOKUP($A261,'San Juan'!$A$8:$O$291,10,FALSE),"")</f>
        <v/>
      </c>
      <c r="R261" s="24" t="str">
        <f>IF(VLOOKUP($A261,Salta!$A$8:$O$291,15,FALSE)="Homologado",VLOOKUP($A261,Salta!$A$8:$O$291,10,FALSE),"")</f>
        <v/>
      </c>
      <c r="S261" s="24" t="str">
        <f>IF(VLOOKUP($A261,'Master vs SAP'!$A$8:$O$291,4,FALSE)="","",VLOOKUP($A261,'Master vs SAP'!$A$8:$O$291,4,FALSE))</f>
        <v>2000394
2000395</v>
      </c>
      <c r="T261" s="9" t="str">
        <f>IF(VLOOKUP($A261,'Master vs SAP'!$A$8:$O$291,5,FALSE)="","",VLOOKUP($A261,'Master vs SAP'!$A$8:$O$291,5,FALSE))</f>
        <v>MASCARA LARINGEA Nº 1
MASCARA LARINGEA Nº 2</v>
      </c>
      <c r="U261" s="9" t="str">
        <f>IF(VLOOKUP($A261,'Master vs SAP'!$A$8:$O$291,7,FALSE)="","",VLOOKUP($A261,'Master vs SAP'!$A$8:$O$291,7,FALSE))</f>
        <v>Media</v>
      </c>
      <c r="V261" s="9" t="str">
        <f>IF(VLOOKUP($A261,'Master vs SAP'!$A$8:$O$291,6,FALSE)="","",VLOOKUP($A261,'Master vs SAP'!$A$8:$O$291,6,FALSE))</f>
        <v>Revisar grupo</v>
      </c>
      <c r="W261" s="24" t="str">
        <f>IF(VLOOKUP($A261,'Master vs SAP'!$A$8:$O$291,15,FALSE)="Homologado",VLOOKUP($A261,'Master vs SAP'!$A$8:$O$291,10,FALSE),"")</f>
        <v/>
      </c>
    </row>
    <row r="262" spans="1:23" ht="109.95" customHeight="1">
      <c r="A262" s="9" t="s">
        <v>613</v>
      </c>
      <c r="B262" s="9" t="s">
        <v>537</v>
      </c>
      <c r="C262" s="9" t="s">
        <v>614</v>
      </c>
      <c r="D262" s="24" t="str">
        <f>IF(VLOOKUP($A262,Neuquén!$A$8:$O$291,4,FALSE)="","",VLOOKUP($A262,Neuquén!$A$8:$O$291,4,FALSE))</f>
        <v>539 
540
541</v>
      </c>
      <c r="E262" s="9" t="str">
        <f>IF(VLOOKUP($A262,Neuquén!$A$8:$O$291,5,FALSE)="","",VLOOKUP($A262,Neuquén!$A$8:$O$291,5,FALSE))</f>
        <v>TUBO ENDOTRAQUEAL 2,5
TUBO ENDOTRAQUEAL 3
TUBO ENDOTRAQUEAL 4</v>
      </c>
      <c r="F262" s="9" t="str">
        <f>IF(VLOOKUP($A262,Neuquén!$A$8:$O$291,7,FALSE)="","",VLOOKUP($A262,Neuquén!$A$8:$O$291,7,FALSE))</f>
        <v>Media</v>
      </c>
      <c r="G262" s="9" t="str">
        <f>IF(VLOOKUP($A262,Neuquén!$A$8:$O$291,6,FALSE)="","",VLOOKUP($A262,Neuquén!$A$8:$O$291,6,FALSE))</f>
        <v>Varios códigos en una celda</v>
      </c>
      <c r="H262" s="24" t="str">
        <f>IF(VLOOKUP($A262,'San Juan'!$A$8:$O$291,4,FALSE)="","",VLOOKUP($A262,'San Juan'!$A$8:$O$291,4,FALSE))</f>
        <v/>
      </c>
      <c r="I262" s="9" t="str">
        <f>IF(VLOOKUP($A262,'San Juan'!$A$8:$O$291,5,FALSE)="","",VLOOKUP($A262,'San Juan'!$A$8:$O$291,5,FALSE))</f>
        <v/>
      </c>
      <c r="J262" s="9" t="str">
        <f>IF(VLOOKUP($A262,'San Juan'!$A$8:$O$291,7,FALSE)="","",VLOOKUP($A262,'San Juan'!$A$8:$O$291,7,FALSE))</f>
        <v>Sin coincidencia</v>
      </c>
      <c r="K262" s="9" t="str">
        <f>IF(VLOOKUP($A262,'San Juan'!$A$8:$O$291,6,FALSE)="","",VLOOKUP($A262,'San Juan'!$A$8:$O$291,6,FALSE))</f>
        <v>Sin código encontrado</v>
      </c>
      <c r="L262" s="24" t="str">
        <f>IF(VLOOKUP($A262,Salta!$A$8:$O$291,4,FALSE)="","",VLOOKUP($A262,Salta!$A$8:$O$291,4,FALSE))</f>
        <v/>
      </c>
      <c r="M262" s="9" t="str">
        <f>IF(VLOOKUP($A262,Salta!$A$8:$O$291,5,FALSE)="","",VLOOKUP($A262,Salta!$A$8:$O$291,5,FALSE))</f>
        <v/>
      </c>
      <c r="N262" s="9" t="str">
        <f>IF(VLOOKUP($A262,Salta!$A$8:$O$291,7,FALSE)="","",VLOOKUP($A262,Salta!$A$8:$O$291,7,FALSE))</f>
        <v>Sin coincidencia</v>
      </c>
      <c r="O262" s="9" t="str">
        <f>IF(VLOOKUP($A262,Salta!$A$8:$O$291,6,FALSE)="","",VLOOKUP($A262,Salta!$A$8:$O$291,6,FALSE))</f>
        <v>Sin coincidencia</v>
      </c>
      <c r="P262" s="24" t="str">
        <f>IF(VLOOKUP($A262,Neuquén!$A$8:$O$291,15,FALSE)="Homologado",VLOOKUP($A262,Neuquén!$A$8:$O$291,10,FALSE),"")</f>
        <v/>
      </c>
      <c r="Q262" s="24" t="str">
        <f>IF(VLOOKUP($A262,'San Juan'!$A$8:$O$291,15,FALSE)="Homologado",VLOOKUP($A262,'San Juan'!$A$8:$O$291,10,FALSE),"")</f>
        <v/>
      </c>
      <c r="R262" s="24" t="str">
        <f>IF(VLOOKUP($A262,Salta!$A$8:$O$291,15,FALSE)="Homologado",VLOOKUP($A262,Salta!$A$8:$O$291,10,FALSE),"")</f>
        <v/>
      </c>
      <c r="S262" s="24" t="str">
        <f>IF(VLOOKUP($A262,'Master vs SAP'!$A$8:$O$291,4,FALSE)="","",VLOOKUP($A262,'Master vs SAP'!$A$8:$O$291,4,FALSE))</f>
        <v>2000068
2000069
2000072
2001095
2000437
2000439</v>
      </c>
      <c r="T262" s="9" t="str">
        <f>IF(VLOOKUP($A262,'Master vs SAP'!$A$8:$O$291,5,FALSE)="","",VLOOKUP($A262,'Master vs SAP'!$A$8:$O$291,5,FALSE))</f>
        <v>TUBO ENDOTRAQ. Nº 2.5 C/BALON
TUBO ENDOTRAQ. Nº 3 C/BALON
TUBO ENDOTRAQ. Nº 4 C/BALON
TUBO ENDOTRAQ. Nº 2.5 S/BALON
TUBO ENDOTRAQ Nº 3 S/BALON
TUBO ENDOTRAQ Nº 4 S/BALON</v>
      </c>
      <c r="U262" s="9" t="str">
        <f>IF(VLOOKUP($A262,'Master vs SAP'!$A$8:$O$291,7,FALSE)="","",VLOOKUP($A262,'Master vs SAP'!$A$8:$O$291,7,FALSE))</f>
        <v>Media</v>
      </c>
      <c r="V262" s="9" t="str">
        <f>IF(VLOOKUP($A262,'Master vs SAP'!$A$8:$O$291,6,FALSE)="","",VLOOKUP($A262,'Master vs SAP'!$A$8:$O$291,6,FALSE))</f>
        <v>Revisar grupo</v>
      </c>
      <c r="W262" s="24" t="str">
        <f>IF(VLOOKUP($A262,'Master vs SAP'!$A$8:$O$291,15,FALSE)="Homologado",VLOOKUP($A262,'Master vs SAP'!$A$8:$O$291,10,FALSE),"")</f>
        <v/>
      </c>
    </row>
    <row r="263" spans="1:23" ht="61.95" customHeight="1">
      <c r="A263" s="9" t="s">
        <v>615</v>
      </c>
      <c r="B263" s="9" t="s">
        <v>537</v>
      </c>
      <c r="C263" s="9" t="s">
        <v>616</v>
      </c>
      <c r="D263" s="24" t="str">
        <f>IF(VLOOKUP($A263,Neuquén!$A$8:$O$291,4,FALSE)="","",VLOOKUP($A263,Neuquén!$A$8:$O$291,4,FALSE))</f>
        <v>417</v>
      </c>
      <c r="E263" s="9" t="str">
        <f>IF(VLOOKUP($A263,Neuquén!$A$8:$O$291,5,FALSE)="","",VLOOKUP($A263,Neuquén!$A$8:$O$291,5,FALSE))</f>
        <v>LARINGOSCOPIO</v>
      </c>
      <c r="F263" s="9" t="str">
        <f>IF(VLOOKUP($A263,Neuquén!$A$8:$O$291,7,FALSE)="","",VLOOKUP($A263,Neuquén!$A$8:$O$291,7,FALSE))</f>
        <v>Media</v>
      </c>
      <c r="G263" s="9" t="str">
        <f>IF(VLOOKUP($A263,Neuquén!$A$8:$O$291,6,FALSE)="","",VLOOKUP($A263,Neuquén!$A$8:$O$291,6,FALSE))</f>
        <v>Código compartido: revisar</v>
      </c>
      <c r="H263" s="24" t="str">
        <f>IF(VLOOKUP($A263,'San Juan'!$A$8:$O$291,4,FALSE)="","",VLOOKUP($A263,'San Juan'!$A$8:$O$291,4,FALSE))</f>
        <v/>
      </c>
      <c r="I263" s="9" t="str">
        <f>IF(VLOOKUP($A263,'San Juan'!$A$8:$O$291,5,FALSE)="","",VLOOKUP($A263,'San Juan'!$A$8:$O$291,5,FALSE))</f>
        <v/>
      </c>
      <c r="J263" s="9" t="str">
        <f>IF(VLOOKUP($A263,'San Juan'!$A$8:$O$291,7,FALSE)="","",VLOOKUP($A263,'San Juan'!$A$8:$O$291,7,FALSE))</f>
        <v>Sin coincidencia</v>
      </c>
      <c r="K263" s="9" t="str">
        <f>IF(VLOOKUP($A263,'San Juan'!$A$8:$O$291,6,FALSE)="","",VLOOKUP($A263,'San Juan'!$A$8:$O$291,6,FALSE))</f>
        <v>Sin código encontrado</v>
      </c>
      <c r="L263" s="24" t="str">
        <f>IF(VLOOKUP($A263,Salta!$A$8:$O$291,4,FALSE)="","",VLOOKUP($A263,Salta!$A$8:$O$291,4,FALSE))</f>
        <v>424</v>
      </c>
      <c r="M263" s="9" t="str">
        <f>IF(VLOOKUP($A263,Salta!$A$8:$O$291,5,FALSE)="","",VLOOKUP($A263,Salta!$A$8:$O$291,5,FALSE))</f>
        <v>Lagingoscopio pediatrico c/ 3 ramas rectas</v>
      </c>
      <c r="N263" s="9" t="str">
        <f>IF(VLOOKUP($A263,Salta!$A$8:$O$291,7,FALSE)="","",VLOOKUP($A263,Salta!$A$8:$O$291,7,FALSE))</f>
        <v>Alta</v>
      </c>
      <c r="O263" s="9" t="str">
        <f>IF(VLOOKUP($A263,Salta!$A$8:$O$291,6,FALSE)="","",VLOOKUP($A263,Salta!$A$8:$O$291,6,FALSE))</f>
        <v>Coincidencia</v>
      </c>
      <c r="P263" s="24" t="str">
        <f>IF(VLOOKUP($A263,Neuquén!$A$8:$O$291,15,FALSE)="Homologado",VLOOKUP($A263,Neuquén!$A$8:$O$291,10,FALSE),"")</f>
        <v/>
      </c>
      <c r="Q263" s="24" t="str">
        <f>IF(VLOOKUP($A263,'San Juan'!$A$8:$O$291,15,FALSE)="Homologado",VLOOKUP($A263,'San Juan'!$A$8:$O$291,10,FALSE),"")</f>
        <v/>
      </c>
      <c r="R263" s="24" t="str">
        <f>IF(VLOOKUP($A263,Salta!$A$8:$O$291,15,FALSE)="Homologado",VLOOKUP($A263,Salta!$A$8:$O$291,10,FALSE),"")</f>
        <v/>
      </c>
      <c r="S263" s="24" t="str">
        <f>IF(VLOOKUP($A263,'Master vs SAP'!$A$8:$O$291,4,FALSE)="","",VLOOKUP($A263,'Master vs SAP'!$A$8:$O$291,4,FALSE))</f>
        <v>1000028</v>
      </c>
      <c r="T263" s="9" t="str">
        <f>IF(VLOOKUP($A263,'Master vs SAP'!$A$8:$O$291,5,FALSE)="","",VLOOKUP($A263,'Master vs SAP'!$A$8:$O$291,5,FALSE))</f>
        <v>LARINGOSCOPIO PEDIATRICO DE TRES RAMAS</v>
      </c>
      <c r="U263" s="9" t="str">
        <f>IF(VLOOKUP($A263,'Master vs SAP'!$A$8:$O$291,7,FALSE)="","",VLOOKUP($A263,'Master vs SAP'!$A$8:$O$291,7,FALSE))</f>
        <v>Alta</v>
      </c>
      <c r="V263" s="9" t="str">
        <f>IF(VLOOKUP($A263,'Master vs SAP'!$A$8:$O$291,6,FALSE)="","",VLOOKUP($A263,'Master vs SAP'!$A$8:$O$291,6,FALSE))</f>
        <v>Coincidencia</v>
      </c>
      <c r="W263" s="24" t="str">
        <f>IF(VLOOKUP($A263,'Master vs SAP'!$A$8:$O$291,15,FALSE)="Homologado",VLOOKUP($A263,'Master vs SAP'!$A$8:$O$291,10,FALSE),"")</f>
        <v/>
      </c>
    </row>
    <row r="264" spans="1:23" ht="61.95" customHeight="1">
      <c r="A264" s="9" t="s">
        <v>617</v>
      </c>
      <c r="B264" s="9" t="s">
        <v>537</v>
      </c>
      <c r="C264" s="9" t="s">
        <v>618</v>
      </c>
      <c r="D264" s="24" t="str">
        <f>IF(VLOOKUP($A264,Neuquén!$A$8:$O$291,4,FALSE)="","",VLOOKUP($A264,Neuquén!$A$8:$O$291,4,FALSE))</f>
        <v>287</v>
      </c>
      <c r="E264" s="9" t="str">
        <f>IF(VLOOKUP($A264,Neuquén!$A$8:$O$291,5,FALSE)="","",VLOOKUP($A264,Neuquén!$A$8:$O$291,5,FALSE))</f>
        <v>SondanasogastricaN°10</v>
      </c>
      <c r="F264" s="9" t="str">
        <f>IF(VLOOKUP($A264,Neuquén!$A$8:$O$291,7,FALSE)="","",VLOOKUP($A264,Neuquén!$A$8:$O$291,7,FALSE))</f>
        <v>Baja</v>
      </c>
      <c r="G264" s="9" t="str">
        <f>IF(VLOOKUP($A264,Neuquén!$A$8:$O$291,6,FALSE)="","",VLOOKUP($A264,Neuquén!$A$8:$O$291,6,FALSE))</f>
        <v>Código compartido: revisar</v>
      </c>
      <c r="H264" s="24" t="str">
        <f>IF(VLOOKUP($A264,'San Juan'!$A$8:$O$291,4,FALSE)="","",VLOOKUP($A264,'San Juan'!$A$8:$O$291,4,FALSE))</f>
        <v>DESC117</v>
      </c>
      <c r="I264" s="9" t="str">
        <f>IF(VLOOKUP($A264,'San Juan'!$A$8:$O$291,5,FALSE)="","",VLOOKUP($A264,'San Juan'!$A$8:$O$291,5,FALSE))</f>
        <v>Sonda nasogástrica K 30</v>
      </c>
      <c r="J264" s="9" t="str">
        <f>IF(VLOOKUP($A264,'San Juan'!$A$8:$O$291,7,FALSE)="","",VLOOKUP($A264,'San Juan'!$A$8:$O$291,7,FALSE))</f>
        <v>Alta</v>
      </c>
      <c r="K264" s="9" t="str">
        <f>IF(VLOOKUP($A264,'San Juan'!$A$8:$O$291,6,FALSE)="","",VLOOKUP($A264,'San Juan'!$A$8:$O$291,6,FALSE))</f>
        <v>Coincidencia por validar</v>
      </c>
      <c r="L264" s="24" t="str">
        <f>IF(VLOOKUP($A264,Salta!$A$8:$O$291,4,FALSE)="","",VLOOKUP($A264,Salta!$A$8:$O$291,4,FALSE))</f>
        <v>225
432</v>
      </c>
      <c r="M264" s="9" t="str">
        <f>IF(VLOOKUP($A264,Salta!$A$8:$O$291,5,FALSE)="","",VLOOKUP($A264,Salta!$A$8:$O$291,5,FALSE))</f>
        <v>Sonda Gastrica Fr 5
Sonda Gastrica Fr 12</v>
      </c>
      <c r="N264" s="9" t="str">
        <f>IF(VLOOKUP($A264,Salta!$A$8:$O$291,7,FALSE)="","",VLOOKUP($A264,Salta!$A$8:$O$291,7,FALSE))</f>
        <v>Media</v>
      </c>
      <c r="O264" s="9" t="str">
        <f>IF(VLOOKUP($A264,Salta!$A$8:$O$291,6,FALSE)="","",VLOOKUP($A264,Salta!$A$8:$O$291,6,FALSE))</f>
        <v>Revisar datos</v>
      </c>
      <c r="P264" s="24" t="str">
        <f>IF(VLOOKUP($A264,Neuquén!$A$8:$O$291,15,FALSE)="Homologado",VLOOKUP($A264,Neuquén!$A$8:$O$291,10,FALSE),"")</f>
        <v/>
      </c>
      <c r="Q264" s="24" t="str">
        <f>IF(VLOOKUP($A264,'San Juan'!$A$8:$O$291,15,FALSE)="Homologado",VLOOKUP($A264,'San Juan'!$A$8:$O$291,10,FALSE),"")</f>
        <v/>
      </c>
      <c r="R264" s="24" t="str">
        <f>IF(VLOOKUP($A264,Salta!$A$8:$O$291,15,FALSE)="Homologado",VLOOKUP($A264,Salta!$A$8:$O$291,10,FALSE),"")</f>
        <v/>
      </c>
      <c r="S264" s="24" t="str">
        <f>IF(VLOOKUP($A264,'Master vs SAP'!$A$8:$O$291,4,FALSE)="","",VLOOKUP($A264,'Master vs SAP'!$A$8:$O$291,4,FALSE))</f>
        <v>2000031
2000416
2000406</v>
      </c>
      <c r="T264" s="9" t="str">
        <f>IF(VLOOKUP($A264,'Master vs SAP'!$A$8:$O$291,5,FALSE)="","",VLOOKUP($A264,'Master vs SAP'!$A$8:$O$291,5,FALSE))</f>
        <v>SONDA NASOGASTRICA K-30 KOLLER
SONDA NASOGASTRICA K-30 TOM FAC
SONDA NASOGASTRICA K-33 KOLLER</v>
      </c>
      <c r="U264" s="9" t="str">
        <f>IF(VLOOKUP($A264,'Master vs SAP'!$A$8:$O$291,7,FALSE)="","",VLOOKUP($A264,'Master vs SAP'!$A$8:$O$291,7,FALSE))</f>
        <v>Media</v>
      </c>
      <c r="V264" s="9" t="str">
        <f>IF(VLOOKUP($A264,'Master vs SAP'!$A$8:$O$291,6,FALSE)="","",VLOOKUP($A264,'Master vs SAP'!$A$8:$O$291,6,FALSE))</f>
        <v>Revisar grupo</v>
      </c>
      <c r="W264" s="24" t="str">
        <f>IF(VLOOKUP($A264,'Master vs SAP'!$A$8:$O$291,15,FALSE)="Homologado",VLOOKUP($A264,'Master vs SAP'!$A$8:$O$291,10,FALSE),"")</f>
        <v/>
      </c>
    </row>
    <row r="265" spans="1:23" ht="61.95" customHeight="1">
      <c r="A265" s="9" t="s">
        <v>619</v>
      </c>
      <c r="B265" s="9" t="s">
        <v>537</v>
      </c>
      <c r="C265" s="9" t="s">
        <v>620</v>
      </c>
      <c r="D265" s="24" t="str">
        <f>IF(VLOOKUP($A265,Neuquén!$A$8:$O$291,4,FALSE)="","",VLOOKUP($A265,Neuquén!$A$8:$O$291,4,FALSE))</f>
        <v>413</v>
      </c>
      <c r="E265" s="9" t="str">
        <f>IF(VLOOKUP($A265,Neuquén!$A$8:$O$291,5,FALSE)="","",VLOOKUP($A265,Neuquén!$A$8:$O$291,5,FALSE))</f>
        <v>ESTETOSCOPIO</v>
      </c>
      <c r="F265" s="9" t="str">
        <f>IF(VLOOKUP($A265,Neuquén!$A$8:$O$291,7,FALSE)="","",VLOOKUP($A265,Neuquén!$A$8:$O$291,7,FALSE))</f>
        <v>Media</v>
      </c>
      <c r="G265" s="9" t="str">
        <f>IF(VLOOKUP($A265,Neuquén!$A$8:$O$291,6,FALSE)="","",VLOOKUP($A265,Neuquén!$A$8:$O$291,6,FALSE))</f>
        <v>Código compartido: revisar</v>
      </c>
      <c r="H265" s="24" t="str">
        <f>IF(VLOOKUP($A265,'San Juan'!$A$8:$O$291,4,FALSE)="","",VLOOKUP($A265,'San Juan'!$A$8:$O$291,4,FALSE))</f>
        <v>DESC175</v>
      </c>
      <c r="I265" s="9" t="str">
        <f>IF(VLOOKUP($A265,'San Juan'!$A$8:$O$291,5,FALSE)="","",VLOOKUP($A265,'San Juan'!$A$8:$O$291,5,FALSE))</f>
        <v>Estetoscopio</v>
      </c>
      <c r="J265" s="9" t="str">
        <f>IF(VLOOKUP($A265,'San Juan'!$A$8:$O$291,7,FALSE)="","",VLOOKUP($A265,'San Juan'!$A$8:$O$291,7,FALSE))</f>
        <v>Media</v>
      </c>
      <c r="K265" s="9" t="str">
        <f>IF(VLOOKUP($A265,'San Juan'!$A$8:$O$291,6,FALSE)="","",VLOOKUP($A265,'San Juan'!$A$8:$O$291,6,FALSE))</f>
        <v>Código compartido: revisar</v>
      </c>
      <c r="L265" s="24" t="str">
        <f>IF(VLOOKUP($A265,Salta!$A$8:$O$291,4,FALSE)="","",VLOOKUP($A265,Salta!$A$8:$O$291,4,FALSE))</f>
        <v/>
      </c>
      <c r="M265" s="9" t="str">
        <f>IF(VLOOKUP($A265,Salta!$A$8:$O$291,5,FALSE)="","",VLOOKUP($A265,Salta!$A$8:$O$291,5,FALSE))</f>
        <v/>
      </c>
      <c r="N265" s="9" t="str">
        <f>IF(VLOOKUP($A265,Salta!$A$8:$O$291,7,FALSE)="","",VLOOKUP($A265,Salta!$A$8:$O$291,7,FALSE))</f>
        <v>Sin coincidencia</v>
      </c>
      <c r="O265" s="9" t="str">
        <f>IF(VLOOKUP($A265,Salta!$A$8:$O$291,6,FALSE)="","",VLOOKUP($A265,Salta!$A$8:$O$291,6,FALSE))</f>
        <v>Sin coincidencia</v>
      </c>
      <c r="P265" s="24" t="str">
        <f>IF(VLOOKUP($A265,Neuquén!$A$8:$O$291,15,FALSE)="Homologado",VLOOKUP($A265,Neuquén!$A$8:$O$291,10,FALSE),"")</f>
        <v/>
      </c>
      <c r="Q265" s="24" t="str">
        <f>IF(VLOOKUP($A265,'San Juan'!$A$8:$O$291,15,FALSE)="Homologado",VLOOKUP($A265,'San Juan'!$A$8:$O$291,10,FALSE),"")</f>
        <v/>
      </c>
      <c r="R265" s="24" t="str">
        <f>IF(VLOOKUP($A265,Salta!$A$8:$O$291,15,FALSE)="Homologado",VLOOKUP($A265,Salta!$A$8:$O$291,10,FALSE),"")</f>
        <v/>
      </c>
      <c r="S265" s="24" t="str">
        <f>IF(VLOOKUP($A265,'Master vs SAP'!$A$8:$O$291,4,FALSE)="","",VLOOKUP($A265,'Master vs SAP'!$A$8:$O$291,4,FALSE))</f>
        <v>2000017</v>
      </c>
      <c r="T265" s="9" t="str">
        <f>IF(VLOOKUP($A265,'Master vs SAP'!$A$8:$O$291,5,FALSE)="","",VLOOKUP($A265,'Master vs SAP'!$A$8:$O$291,5,FALSE))</f>
        <v>ESTETOSCOPIO PEDIATRICO</v>
      </c>
      <c r="U265" s="9" t="str">
        <f>IF(VLOOKUP($A265,'Master vs SAP'!$A$8:$O$291,7,FALSE)="","",VLOOKUP($A265,'Master vs SAP'!$A$8:$O$291,7,FALSE))</f>
        <v>Alta</v>
      </c>
      <c r="V265" s="9" t="str">
        <f>IF(VLOOKUP($A265,'Master vs SAP'!$A$8:$O$291,6,FALSE)="","",VLOOKUP($A265,'Master vs SAP'!$A$8:$O$291,6,FALSE))</f>
        <v>Coincidencia</v>
      </c>
      <c r="W265" s="24" t="str">
        <f>IF(VLOOKUP($A265,'Master vs SAP'!$A$8:$O$291,15,FALSE)="Homologado",VLOOKUP($A265,'Master vs SAP'!$A$8:$O$291,10,FALSE),"")</f>
        <v/>
      </c>
    </row>
    <row r="266" spans="1:23" ht="61.95" customHeight="1">
      <c r="A266" s="9" t="s">
        <v>621</v>
      </c>
      <c r="B266" s="9" t="s">
        <v>537</v>
      </c>
      <c r="C266" s="9" t="s">
        <v>622</v>
      </c>
      <c r="D266" s="24" t="str">
        <f>IF(VLOOKUP($A266,Neuquén!$A$8:$O$291,4,FALSE)="","",VLOOKUP($A266,Neuquén!$A$8:$O$291,4,FALSE))</f>
        <v>258</v>
      </c>
      <c r="E266" s="9" t="str">
        <f>IF(VLOOKUP($A266,Neuquén!$A$8:$O$291,5,FALSE)="","",VLOOKUP($A266,Neuquén!$A$8:$O$291,5,FALSE))</f>
        <v>Tensiometromanual+estetoscopio</v>
      </c>
      <c r="F266" s="9" t="str">
        <f>IF(VLOOKUP($A266,Neuquén!$A$8:$O$291,7,FALSE)="","",VLOOKUP($A266,Neuquén!$A$8:$O$291,7,FALSE))</f>
        <v>Media</v>
      </c>
      <c r="G266" s="9" t="str">
        <f>IF(VLOOKUP($A266,Neuquén!$A$8:$O$291,6,FALSE)="","",VLOOKUP($A266,Neuquén!$A$8:$O$291,6,FALSE))</f>
        <v>Código compartido: revisar</v>
      </c>
      <c r="H266" s="24" t="str">
        <f>IF(VLOOKUP($A266,'San Juan'!$A$8:$O$291,4,FALSE)="","",VLOOKUP($A266,'San Juan'!$A$8:$O$291,4,FALSE))</f>
        <v/>
      </c>
      <c r="I266" s="9" t="str">
        <f>IF(VLOOKUP($A266,'San Juan'!$A$8:$O$291,5,FALSE)="","",VLOOKUP($A266,'San Juan'!$A$8:$O$291,5,FALSE))</f>
        <v/>
      </c>
      <c r="J266" s="9" t="str">
        <f>IF(VLOOKUP($A266,'San Juan'!$A$8:$O$291,7,FALSE)="","",VLOOKUP($A266,'San Juan'!$A$8:$O$291,7,FALSE))</f>
        <v>Sin coincidencia</v>
      </c>
      <c r="K266" s="9" t="str">
        <f>IF(VLOOKUP($A266,'San Juan'!$A$8:$O$291,6,FALSE)="","",VLOOKUP($A266,'San Juan'!$A$8:$O$291,6,FALSE))</f>
        <v>Sin código encontrado</v>
      </c>
      <c r="L266" s="24" t="str">
        <f>IF(VLOOKUP($A266,Salta!$A$8:$O$291,4,FALSE)="","",VLOOKUP($A266,Salta!$A$8:$O$291,4,FALSE))</f>
        <v>233</v>
      </c>
      <c r="M266" s="9" t="str">
        <f>IF(VLOOKUP($A266,Salta!$A$8:$O$291,5,FALSE)="","",VLOOKUP($A266,Salta!$A$8:$O$291,5,FALSE))</f>
        <v>Tensiometro Manual</v>
      </c>
      <c r="N266" s="9" t="str">
        <f>IF(VLOOKUP($A266,Salta!$A$8:$O$291,7,FALSE)="","",VLOOKUP($A266,Salta!$A$8:$O$291,7,FALSE))</f>
        <v>Media</v>
      </c>
      <c r="O266" s="9" t="str">
        <f>IF(VLOOKUP($A266,Salta!$A$8:$O$291,6,FALSE)="","",VLOOKUP($A266,Salta!$A$8:$O$291,6,FALSE))</f>
        <v>Revisar datos</v>
      </c>
      <c r="P266" s="24" t="str">
        <f>IF(VLOOKUP($A266,Neuquén!$A$8:$O$291,15,FALSE)="Homologado",VLOOKUP($A266,Neuquén!$A$8:$O$291,10,FALSE),"")</f>
        <v/>
      </c>
      <c r="Q266" s="24" t="str">
        <f>IF(VLOOKUP($A266,'San Juan'!$A$8:$O$291,15,FALSE)="Homologado",VLOOKUP($A266,'San Juan'!$A$8:$O$291,10,FALSE),"")</f>
        <v/>
      </c>
      <c r="R266" s="24" t="str">
        <f>IF(VLOOKUP($A266,Salta!$A$8:$O$291,15,FALSE)="Homologado",VLOOKUP($A266,Salta!$A$8:$O$291,10,FALSE),"")</f>
        <v/>
      </c>
      <c r="S266" s="24" t="str">
        <f>IF(VLOOKUP($A266,'Master vs SAP'!$A$8:$O$291,4,FALSE)="","",VLOOKUP($A266,'Master vs SAP'!$A$8:$O$291,4,FALSE))</f>
        <v>2000036</v>
      </c>
      <c r="T266" s="9" t="str">
        <f>IF(VLOOKUP($A266,'Master vs SAP'!$A$8:$O$291,5,FALSE)="","",VLOOKUP($A266,'Master vs SAP'!$A$8:$O$291,5,FALSE))</f>
        <v>TENSIOMETRO PEDIATRICO</v>
      </c>
      <c r="U266" s="9" t="str">
        <f>IF(VLOOKUP($A266,'Master vs SAP'!$A$8:$O$291,7,FALSE)="","",VLOOKUP($A266,'Master vs SAP'!$A$8:$O$291,7,FALSE))</f>
        <v>Alta</v>
      </c>
      <c r="V266" s="9" t="str">
        <f>IF(VLOOKUP($A266,'Master vs SAP'!$A$8:$O$291,6,FALSE)="","",VLOOKUP($A266,'Master vs SAP'!$A$8:$O$291,6,FALSE))</f>
        <v>Coincidencia</v>
      </c>
      <c r="W266" s="24" t="str">
        <f>IF(VLOOKUP($A266,'Master vs SAP'!$A$8:$O$291,15,FALSE)="Homologado",VLOOKUP($A266,'Master vs SAP'!$A$8:$O$291,10,FALSE),"")</f>
        <v/>
      </c>
    </row>
    <row r="267" spans="1:23" ht="61.95" customHeight="1">
      <c r="A267" s="9" t="s">
        <v>623</v>
      </c>
      <c r="B267" s="9" t="s">
        <v>537</v>
      </c>
      <c r="C267" s="9" t="s">
        <v>624</v>
      </c>
      <c r="D267" s="24" t="str">
        <f>IF(VLOOKUP($A267,Neuquén!$A$8:$O$291,4,FALSE)="","",VLOOKUP($A267,Neuquén!$A$8:$O$291,4,FALSE))</f>
        <v>267</v>
      </c>
      <c r="E267" s="9" t="str">
        <f>IF(VLOOKUP($A267,Neuquén!$A$8:$O$291,5,FALSE)="","",VLOOKUP($A267,Neuquén!$A$8:$O$291,5,FALSE))</f>
        <v>Abocathn°24</v>
      </c>
      <c r="F267" s="9" t="str">
        <f>IF(VLOOKUP($A267,Neuquén!$A$8:$O$291,7,FALSE)="","",VLOOKUP($A267,Neuquén!$A$8:$O$291,7,FALSE))</f>
        <v>Alta</v>
      </c>
      <c r="G267" s="9" t="str">
        <f>IF(VLOOKUP($A267,Neuquén!$A$8:$O$291,6,FALSE)="","",VLOOKUP($A267,Neuquén!$A$8:$O$291,6,FALSE))</f>
        <v>Coincidencia por validar</v>
      </c>
      <c r="H267" s="24" t="str">
        <f>IF(VLOOKUP($A267,'San Juan'!$A$8:$O$291,4,FALSE)="","",VLOOKUP($A267,'San Juan'!$A$8:$O$291,4,FALSE))</f>
        <v>DESC5</v>
      </c>
      <c r="I267" s="9" t="str">
        <f>IF(VLOOKUP($A267,'San Juan'!$A$8:$O$291,5,FALSE)="","",VLOOKUP($A267,'San Juan'!$A$8:$O$291,5,FALSE))</f>
        <v>Abbocath Nº 22</v>
      </c>
      <c r="J267" s="9" t="str">
        <f>IF(VLOOKUP($A267,'San Juan'!$A$8:$O$291,7,FALSE)="","",VLOOKUP($A267,'San Juan'!$A$8:$O$291,7,FALSE))</f>
        <v>Media</v>
      </c>
      <c r="K267" s="9" t="str">
        <f>IF(VLOOKUP($A267,'San Juan'!$A$8:$O$291,6,FALSE)="","",VLOOKUP($A267,'San Juan'!$A$8:$O$291,6,FALSE))</f>
        <v>Código compartido: revisar</v>
      </c>
      <c r="L267" s="24" t="str">
        <f>IF(VLOOKUP($A267,Salta!$A$8:$O$291,4,FALSE)="","",VLOOKUP($A267,Salta!$A$8:$O$291,4,FALSE))</f>
        <v>5
6</v>
      </c>
      <c r="M267" s="9" t="str">
        <f>IF(VLOOKUP($A267,Salta!$A$8:$O$291,5,FALSE)="","",VLOOKUP($A267,Salta!$A$8:$O$291,5,FALSE))</f>
        <v>Abbocath N° 22
Abbocath N° 24</v>
      </c>
      <c r="N267" s="9" t="str">
        <f>IF(VLOOKUP($A267,Salta!$A$8:$O$291,7,FALSE)="","",VLOOKUP($A267,Salta!$A$8:$O$291,7,FALSE))</f>
        <v>Media</v>
      </c>
      <c r="O267" s="9" t="str">
        <f>IF(VLOOKUP($A267,Salta!$A$8:$O$291,6,FALSE)="","",VLOOKUP($A267,Salta!$A$8:$O$291,6,FALSE))</f>
        <v>Revisar grupo</v>
      </c>
      <c r="P267" s="24" t="str">
        <f>IF(VLOOKUP($A267,Neuquén!$A$8:$O$291,15,FALSE)="Homologado",VLOOKUP($A267,Neuquén!$A$8:$O$291,10,FALSE),"")</f>
        <v/>
      </c>
      <c r="Q267" s="24" t="str">
        <f>IF(VLOOKUP($A267,'San Juan'!$A$8:$O$291,15,FALSE)="Homologado",VLOOKUP($A267,'San Juan'!$A$8:$O$291,10,FALSE),"")</f>
        <v/>
      </c>
      <c r="R267" s="24" t="str">
        <f>IF(VLOOKUP($A267,Salta!$A$8:$O$291,15,FALSE)="Homologado",VLOOKUP($A267,Salta!$A$8:$O$291,10,FALSE),"")</f>
        <v/>
      </c>
      <c r="S267" s="24" t="str">
        <f>IF(VLOOKUP($A267,'Master vs SAP'!$A$8:$O$291,4,FALSE)="","",VLOOKUP($A267,'Master vs SAP'!$A$8:$O$291,4,FALSE))</f>
        <v>2000006
2000641</v>
      </c>
      <c r="T267" s="9" t="str">
        <f>IF(VLOOKUP($A267,'Master vs SAP'!$A$8:$O$291,5,FALSE)="","",VLOOKUP($A267,'Master vs SAP'!$A$8:$O$291,5,FALSE))</f>
        <v>CATETER INTRAVENOSO 22G T/ABBOCATH
CATETER INTRAVENOSO 24G T/ABBOCATH.</v>
      </c>
      <c r="U267" s="9" t="str">
        <f>IF(VLOOKUP($A267,'Master vs SAP'!$A$8:$O$291,7,FALSE)="","",VLOOKUP($A267,'Master vs SAP'!$A$8:$O$291,7,FALSE))</f>
        <v>Media</v>
      </c>
      <c r="V267" s="9" t="str">
        <f>IF(VLOOKUP($A267,'Master vs SAP'!$A$8:$O$291,6,FALSE)="","",VLOOKUP($A267,'Master vs SAP'!$A$8:$O$291,6,FALSE))</f>
        <v>Revisar grupo</v>
      </c>
      <c r="W267" s="24" t="str">
        <f>IF(VLOOKUP($A267,'Master vs SAP'!$A$8:$O$291,15,FALSE)="Homologado",VLOOKUP($A267,'Master vs SAP'!$A$8:$O$291,10,FALSE),"")</f>
        <v/>
      </c>
    </row>
    <row r="268" spans="1:23" ht="61.95" customHeight="1">
      <c r="A268" s="9" t="s">
        <v>625</v>
      </c>
      <c r="B268" s="9" t="s">
        <v>537</v>
      </c>
      <c r="C268" s="9" t="s">
        <v>626</v>
      </c>
      <c r="D268" s="24" t="str">
        <f>IF(VLOOKUP($A268,Neuquén!$A$8:$O$291,4,FALSE)="","",VLOOKUP($A268,Neuquén!$A$8:$O$291,4,FALSE))</f>
        <v>382</v>
      </c>
      <c r="E268" s="9" t="str">
        <f>IF(VLOOKUP($A268,Neuquén!$A$8:$O$291,5,FALSE)="","",VLOOKUP($A268,Neuquén!$A$8:$O$291,5,FALSE))</f>
        <v>MANTATERMICADEEMERGENCIA</v>
      </c>
      <c r="F268" s="9" t="str">
        <f>IF(VLOOKUP($A268,Neuquén!$A$8:$O$291,7,FALSE)="","",VLOOKUP($A268,Neuquén!$A$8:$O$291,7,FALSE))</f>
        <v>Media</v>
      </c>
      <c r="G268" s="9" t="str">
        <f>IF(VLOOKUP($A268,Neuquén!$A$8:$O$291,6,FALSE)="","",VLOOKUP($A268,Neuquén!$A$8:$O$291,6,FALSE))</f>
        <v>Código compartido: revisar</v>
      </c>
      <c r="H268" s="24" t="str">
        <f>IF(VLOOKUP($A268,'San Juan'!$A$8:$O$291,4,FALSE)="","",VLOOKUP($A268,'San Juan'!$A$8:$O$291,4,FALSE))</f>
        <v/>
      </c>
      <c r="I268" s="9" t="str">
        <f>IF(VLOOKUP($A268,'San Juan'!$A$8:$O$291,5,FALSE)="","",VLOOKUP($A268,'San Juan'!$A$8:$O$291,5,FALSE))</f>
        <v/>
      </c>
      <c r="J268" s="9" t="str">
        <f>IF(VLOOKUP($A268,'San Juan'!$A$8:$O$291,7,FALSE)="","",VLOOKUP($A268,'San Juan'!$A$8:$O$291,7,FALSE))</f>
        <v>Sin coincidencia</v>
      </c>
      <c r="K268" s="9" t="str">
        <f>IF(VLOOKUP($A268,'San Juan'!$A$8:$O$291,6,FALSE)="","",VLOOKUP($A268,'San Juan'!$A$8:$O$291,6,FALSE))</f>
        <v>Sin código encontrado</v>
      </c>
      <c r="L268" s="24" t="str">
        <f>IF(VLOOKUP($A268,Salta!$A$8:$O$291,4,FALSE)="","",VLOOKUP($A268,Salta!$A$8:$O$291,4,FALSE))</f>
        <v>180</v>
      </c>
      <c r="M268" s="9" t="str">
        <f>IF(VLOOKUP($A268,Salta!$A$8:$O$291,5,FALSE)="","",VLOOKUP($A268,Salta!$A$8:$O$291,5,FALSE))</f>
        <v>Manta Termica</v>
      </c>
      <c r="N268" s="9" t="str">
        <f>IF(VLOOKUP($A268,Salta!$A$8:$O$291,7,FALSE)="","",VLOOKUP($A268,Salta!$A$8:$O$291,7,FALSE))</f>
        <v>Media</v>
      </c>
      <c r="O268" s="9" t="str">
        <f>IF(VLOOKUP($A268,Salta!$A$8:$O$291,6,FALSE)="","",VLOOKUP($A268,Salta!$A$8:$O$291,6,FALSE))</f>
        <v>Revisar datos</v>
      </c>
      <c r="P268" s="24" t="str">
        <f>IF(VLOOKUP($A268,Neuquén!$A$8:$O$291,15,FALSE)="Homologado",VLOOKUP($A268,Neuquén!$A$8:$O$291,10,FALSE),"")</f>
        <v/>
      </c>
      <c r="Q268" s="24" t="str">
        <f>IF(VLOOKUP($A268,'San Juan'!$A$8:$O$291,15,FALSE)="Homologado",VLOOKUP($A268,'San Juan'!$A$8:$O$291,10,FALSE),"")</f>
        <v/>
      </c>
      <c r="R268" s="24" t="str">
        <f>IF(VLOOKUP($A268,Salta!$A$8:$O$291,15,FALSE)="Homologado",VLOOKUP($A268,Salta!$A$8:$O$291,10,FALSE),"")</f>
        <v/>
      </c>
      <c r="S268" s="24" t="str">
        <f>IF(VLOOKUP($A268,'Master vs SAP'!$A$8:$O$291,4,FALSE)="","",VLOOKUP($A268,'Master vs SAP'!$A$8:$O$291,4,FALSE))</f>
        <v>3000521</v>
      </c>
      <c r="T268" s="9" t="str">
        <f>IF(VLOOKUP($A268,'Master vs SAP'!$A$8:$O$291,5,FALSE)="","",VLOOKUP($A268,'Master vs SAP'!$A$8:$O$291,5,FALSE))</f>
        <v>FRAZADA TERMICA</v>
      </c>
      <c r="U268" s="9" t="str">
        <f>IF(VLOOKUP($A268,'Master vs SAP'!$A$8:$O$291,7,FALSE)="","",VLOOKUP($A268,'Master vs SAP'!$A$8:$O$291,7,FALSE))</f>
        <v>Media</v>
      </c>
      <c r="V268" s="9" t="str">
        <f>IF(VLOOKUP($A268,'Master vs SAP'!$A$8:$O$291,6,FALSE)="","",VLOOKUP($A268,'Master vs SAP'!$A$8:$O$291,6,FALSE))</f>
        <v>Revisar datos</v>
      </c>
      <c r="W268" s="24" t="str">
        <f>IF(VLOOKUP($A268,'Master vs SAP'!$A$8:$O$291,15,FALSE)="Homologado",VLOOKUP($A268,'Master vs SAP'!$A$8:$O$291,10,FALSE),"")</f>
        <v/>
      </c>
    </row>
    <row r="269" spans="1:23" ht="61.95" customHeight="1">
      <c r="A269" s="9" t="s">
        <v>627</v>
      </c>
      <c r="B269" s="9" t="s">
        <v>537</v>
      </c>
      <c r="C269" s="9" t="s">
        <v>628</v>
      </c>
      <c r="D269" s="24" t="str">
        <f>IF(VLOOKUP($A269,Neuquén!$A$8:$O$291,4,FALSE)="","",VLOOKUP($A269,Neuquén!$A$8:$O$291,4,FALSE))</f>
        <v>404</v>
      </c>
      <c r="E269" s="9" t="str">
        <f>IF(VLOOKUP($A269,Neuquén!$A$8:$O$291,5,FALSE)="","",VLOOKUP($A269,Neuquén!$A$8:$O$291,5,FALSE))</f>
        <v>GUANTESESTERILES</v>
      </c>
      <c r="F269" s="9" t="str">
        <f>IF(VLOOKUP($A269,Neuquén!$A$8:$O$291,7,FALSE)="","",VLOOKUP($A269,Neuquén!$A$8:$O$291,7,FALSE))</f>
        <v>Media</v>
      </c>
      <c r="G269" s="9" t="str">
        <f>IF(VLOOKUP($A269,Neuquén!$A$8:$O$291,6,FALSE)="","",VLOOKUP($A269,Neuquén!$A$8:$O$291,6,FALSE))</f>
        <v>Código compartido: revisar</v>
      </c>
      <c r="H269" s="24" t="str">
        <f>IF(VLOOKUP($A269,'San Juan'!$A$8:$O$291,4,FALSE)="","",VLOOKUP($A269,'San Juan'!$A$8:$O$291,4,FALSE))</f>
        <v/>
      </c>
      <c r="I269" s="9" t="str">
        <f>IF(VLOOKUP($A269,'San Juan'!$A$8:$O$291,5,FALSE)="","",VLOOKUP($A269,'San Juan'!$A$8:$O$291,5,FALSE))</f>
        <v/>
      </c>
      <c r="J269" s="9" t="str">
        <f>IF(VLOOKUP($A269,'San Juan'!$A$8:$O$291,7,FALSE)="","",VLOOKUP($A269,'San Juan'!$A$8:$O$291,7,FALSE))</f>
        <v>Sin coincidencia</v>
      </c>
      <c r="K269" s="9" t="str">
        <f>IF(VLOOKUP($A269,'San Juan'!$A$8:$O$291,6,FALSE)="","",VLOOKUP($A269,'San Juan'!$A$8:$O$291,6,FALSE))</f>
        <v>Sin código encontrado</v>
      </c>
      <c r="L269" s="24" t="str">
        <f>IF(VLOOKUP($A269,Salta!$A$8:$O$291,4,FALSE)="","",VLOOKUP($A269,Salta!$A$8:$O$291,4,FALSE))</f>
        <v>138</v>
      </c>
      <c r="M269" s="9" t="str">
        <f>IF(VLOOKUP($A269,Salta!$A$8:$O$291,5,FALSE)="","",VLOOKUP($A269,Salta!$A$8:$O$291,5,FALSE))</f>
        <v>Guantes Estériles 8.0</v>
      </c>
      <c r="N269" s="9" t="str">
        <f>IF(VLOOKUP($A269,Salta!$A$8:$O$291,7,FALSE)="","",VLOOKUP($A269,Salta!$A$8:$O$291,7,FALSE))</f>
        <v>Media</v>
      </c>
      <c r="O269" s="9" t="str">
        <f>IF(VLOOKUP($A269,Salta!$A$8:$O$291,6,FALSE)="","",VLOOKUP($A269,Salta!$A$8:$O$291,6,FALSE))</f>
        <v>Revisar grupo</v>
      </c>
      <c r="P269" s="24" t="str">
        <f>IF(VLOOKUP($A269,Neuquén!$A$8:$O$291,15,FALSE)="Homologado",VLOOKUP($A269,Neuquén!$A$8:$O$291,10,FALSE),"")</f>
        <v/>
      </c>
      <c r="Q269" s="24" t="str">
        <f>IF(VLOOKUP($A269,'San Juan'!$A$8:$O$291,15,FALSE)="Homologado",VLOOKUP($A269,'San Juan'!$A$8:$O$291,10,FALSE),"")</f>
        <v/>
      </c>
      <c r="R269" s="24" t="str">
        <f>IF(VLOOKUP($A269,Salta!$A$8:$O$291,15,FALSE)="Homologado",VLOOKUP($A269,Salta!$A$8:$O$291,10,FALSE),"")</f>
        <v/>
      </c>
      <c r="S269" s="24" t="str">
        <f>IF(VLOOKUP($A269,'Master vs SAP'!$A$8:$O$291,4,FALSE)="","",VLOOKUP($A269,'Master vs SAP'!$A$8:$O$291,4,FALSE))</f>
        <v>2000156
2002459
2000022</v>
      </c>
      <c r="T269" s="9" t="str">
        <f>IF(VLOOKUP($A269,'Master vs SAP'!$A$8:$O$291,5,FALSE)="","",VLOOKUP($A269,'Master vs SAP'!$A$8:$O$291,5,FALSE))</f>
        <v>GUANTES ESTERILES Nº 7 POR PAR
GUANTE ESTERIL Nº 7
GUANTES ESTERILES Nº 8 POR PAR</v>
      </c>
      <c r="U269" s="9" t="str">
        <f>IF(VLOOKUP($A269,'Master vs SAP'!$A$8:$O$291,7,FALSE)="","",VLOOKUP($A269,'Master vs SAP'!$A$8:$O$291,7,FALSE))</f>
        <v>Media</v>
      </c>
      <c r="V269" s="9" t="str">
        <f>IF(VLOOKUP($A269,'Master vs SAP'!$A$8:$O$291,6,FALSE)="","",VLOOKUP($A269,'Master vs SAP'!$A$8:$O$291,6,FALSE))</f>
        <v>Revisar grupo</v>
      </c>
      <c r="W269" s="24" t="str">
        <f>IF(VLOOKUP($A269,'Master vs SAP'!$A$8:$O$291,15,FALSE)="Homologado",VLOOKUP($A269,'Master vs SAP'!$A$8:$O$291,10,FALSE),"")</f>
        <v/>
      </c>
    </row>
    <row r="270" spans="1:23" ht="61.95" customHeight="1">
      <c r="A270" s="9" t="s">
        <v>629</v>
      </c>
      <c r="B270" s="9" t="s">
        <v>537</v>
      </c>
      <c r="C270" s="9" t="s">
        <v>630</v>
      </c>
      <c r="D270" s="24" t="str">
        <f>IF(VLOOKUP($A270,Neuquén!$A$8:$O$291,4,FALSE)="","",VLOOKUP($A270,Neuquén!$A$8:$O$291,4,FALSE))</f>
        <v>322</v>
      </c>
      <c r="E270" s="9" t="str">
        <f>IF(VLOOKUP($A270,Neuquén!$A$8:$O$291,5,FALSE)="","",VLOOKUP($A270,Neuquén!$A$8:$O$291,5,FALSE))</f>
        <v>NITROFURAZONA</v>
      </c>
      <c r="F270" s="9" t="str">
        <f>IF(VLOOKUP($A270,Neuquén!$A$8:$O$291,7,FALSE)="","",VLOOKUP($A270,Neuquén!$A$8:$O$291,7,FALSE))</f>
        <v>Media</v>
      </c>
      <c r="G270" s="9" t="str">
        <f>IF(VLOOKUP($A270,Neuquén!$A$8:$O$291,6,FALSE)="","",VLOOKUP($A270,Neuquén!$A$8:$O$291,6,FALSE))</f>
        <v>Equivalencia a revisar</v>
      </c>
      <c r="H270" s="24" t="str">
        <f>IF(VLOOKUP($A270,'San Juan'!$A$8:$O$291,4,FALSE)="","",VLOOKUP($A270,'San Juan'!$A$8:$O$291,4,FALSE))</f>
        <v/>
      </c>
      <c r="I270" s="9" t="str">
        <f>IF(VLOOKUP($A270,'San Juan'!$A$8:$O$291,5,FALSE)="","",VLOOKUP($A270,'San Juan'!$A$8:$O$291,5,FALSE))</f>
        <v/>
      </c>
      <c r="J270" s="9" t="str">
        <f>IF(VLOOKUP($A270,'San Juan'!$A$8:$O$291,7,FALSE)="","",VLOOKUP($A270,'San Juan'!$A$8:$O$291,7,FALSE))</f>
        <v>Sin coincidencia</v>
      </c>
      <c r="K270" s="9" t="str">
        <f>IF(VLOOKUP($A270,'San Juan'!$A$8:$O$291,6,FALSE)="","",VLOOKUP($A270,'San Juan'!$A$8:$O$291,6,FALSE))</f>
        <v>Sin código encontrado</v>
      </c>
      <c r="L270" s="24" t="str">
        <f>IF(VLOOKUP($A270,Salta!$A$8:$O$291,4,FALSE)="","",VLOOKUP($A270,Salta!$A$8:$O$291,4,FALSE))</f>
        <v>128</v>
      </c>
      <c r="M270" s="9" t="str">
        <f>IF(VLOOKUP($A270,Salta!$A$8:$O$291,5,FALSE)="","",VLOOKUP($A270,Salta!$A$8:$O$291,5,FALSE))</f>
        <v>Gasa Furacinada caja</v>
      </c>
      <c r="N270" s="9" t="str">
        <f>IF(VLOOKUP($A270,Salta!$A$8:$O$291,7,FALSE)="","",VLOOKUP($A270,Salta!$A$8:$O$291,7,FALSE))</f>
        <v>Media</v>
      </c>
      <c r="O270" s="9" t="str">
        <f>IF(VLOOKUP($A270,Salta!$A$8:$O$291,6,FALSE)="","",VLOOKUP($A270,Salta!$A$8:$O$291,6,FALSE))</f>
        <v>Revisar datos</v>
      </c>
      <c r="P270" s="24" t="str">
        <f>IF(VLOOKUP($A270,Neuquén!$A$8:$O$291,15,FALSE)="Homologado",VLOOKUP($A270,Neuquén!$A$8:$O$291,10,FALSE),"")</f>
        <v/>
      </c>
      <c r="Q270" s="24" t="str">
        <f>IF(VLOOKUP($A270,'San Juan'!$A$8:$O$291,15,FALSE)="Homologado",VLOOKUP($A270,'San Juan'!$A$8:$O$291,10,FALSE),"")</f>
        <v/>
      </c>
      <c r="R270" s="24" t="str">
        <f>IF(VLOOKUP($A270,Salta!$A$8:$O$291,15,FALSE)="Homologado",VLOOKUP($A270,Salta!$A$8:$O$291,10,FALSE),"")</f>
        <v/>
      </c>
      <c r="S270" s="24" t="str">
        <f>IF(VLOOKUP($A270,'Master vs SAP'!$A$8:$O$291,4,FALSE)="","",VLOOKUP($A270,'Master vs SAP'!$A$8:$O$291,4,FALSE))</f>
        <v>2001538</v>
      </c>
      <c r="T270" s="9" t="str">
        <f>IF(VLOOKUP($A270,'Master vs SAP'!$A$8:$O$291,5,FALSE)="","",VLOOKUP($A270,'Master vs SAP'!$A$8:$O$291,5,FALSE))</f>
        <v>GASA FURACINADA AL 0,2% x 20U</v>
      </c>
      <c r="U270" s="9" t="str">
        <f>IF(VLOOKUP($A270,'Master vs SAP'!$A$8:$O$291,7,FALSE)="","",VLOOKUP($A270,'Master vs SAP'!$A$8:$O$291,7,FALSE))</f>
        <v>Alta</v>
      </c>
      <c r="V270" s="9" t="str">
        <f>IF(VLOOKUP($A270,'Master vs SAP'!$A$8:$O$291,6,FALSE)="","",VLOOKUP($A270,'Master vs SAP'!$A$8:$O$291,6,FALSE))</f>
        <v>Coincidencia</v>
      </c>
      <c r="W270" s="24" t="str">
        <f>IF(VLOOKUP($A270,'Master vs SAP'!$A$8:$O$291,15,FALSE)="Homologado",VLOOKUP($A270,'Master vs SAP'!$A$8:$O$291,10,FALSE),"")</f>
        <v/>
      </c>
    </row>
    <row r="271" spans="1:23" ht="109.95" customHeight="1">
      <c r="A271" s="9" t="s">
        <v>631</v>
      </c>
      <c r="B271" s="9" t="s">
        <v>537</v>
      </c>
      <c r="C271" s="9" t="s">
        <v>392</v>
      </c>
      <c r="D271" s="24" t="str">
        <f>IF(VLOOKUP($A271,Neuquén!$A$8:$O$291,4,FALSE)="","",VLOOKUP($A271,Neuquén!$A$8:$O$291,4,FALSE))</f>
        <v>256</v>
      </c>
      <c r="E271" s="9" t="str">
        <f>IF(VLOOKUP($A271,Neuquén!$A$8:$O$291,5,FALSE)="","",VLOOKUP($A271,Neuquén!$A$8:$O$291,5,FALSE))</f>
        <v>Apositosesteril</v>
      </c>
      <c r="F271" s="9" t="str">
        <f>IF(VLOOKUP($A271,Neuquén!$A$8:$O$291,7,FALSE)="","",VLOOKUP($A271,Neuquén!$A$8:$O$291,7,FALSE))</f>
        <v>Media</v>
      </c>
      <c r="G271" s="9" t="str">
        <f>IF(VLOOKUP($A271,Neuquén!$A$8:$O$291,6,FALSE)="","",VLOOKUP($A271,Neuquén!$A$8:$O$291,6,FALSE))</f>
        <v>Código compartido: revisar</v>
      </c>
      <c r="H271" s="24" t="str">
        <f>IF(VLOOKUP($A271,'San Juan'!$A$8:$O$291,4,FALSE)="","",VLOOKUP($A271,'San Juan'!$A$8:$O$291,4,FALSE))</f>
        <v>DESC21</v>
      </c>
      <c r="I271" s="9" t="str">
        <f>IF(VLOOKUP($A271,'San Juan'!$A$8:$O$291,5,FALSE)="","",VLOOKUP($A271,'San Juan'!$A$8:$O$291,5,FALSE))</f>
        <v>Apositos estériles</v>
      </c>
      <c r="J271" s="9" t="str">
        <f>IF(VLOOKUP($A271,'San Juan'!$A$8:$O$291,7,FALSE)="","",VLOOKUP($A271,'San Juan'!$A$8:$O$291,7,FALSE))</f>
        <v>Media</v>
      </c>
      <c r="K271" s="9" t="str">
        <f>IF(VLOOKUP($A271,'San Juan'!$A$8:$O$291,6,FALSE)="","",VLOOKUP($A271,'San Juan'!$A$8:$O$291,6,FALSE))</f>
        <v>Código compartido: revisar</v>
      </c>
      <c r="L271" s="24" t="str">
        <f>IF(VLOOKUP($A271,Salta!$A$8:$O$291,4,FALSE)="","",VLOOKUP($A271,Salta!$A$8:$O$291,4,FALSE))</f>
        <v>37</v>
      </c>
      <c r="M271" s="9" t="str">
        <f>IF(VLOOKUP($A271,Salta!$A$8:$O$291,5,FALSE)="","",VLOOKUP($A271,Salta!$A$8:$O$291,5,FALSE))</f>
        <v>Apósitos estériles</v>
      </c>
      <c r="N271" s="9" t="str">
        <f>IF(VLOOKUP($A271,Salta!$A$8:$O$291,7,FALSE)="","",VLOOKUP($A271,Salta!$A$8:$O$291,7,FALSE))</f>
        <v>Media</v>
      </c>
      <c r="O271" s="9" t="str">
        <f>IF(VLOOKUP($A271,Salta!$A$8:$O$291,6,FALSE)="","",VLOOKUP($A271,Salta!$A$8:$O$291,6,FALSE))</f>
        <v>Revisar datos</v>
      </c>
      <c r="P271" s="24" t="str">
        <f>IF(VLOOKUP($A271,Neuquén!$A$8:$O$291,15,FALSE)="Homologado",VLOOKUP($A271,Neuquén!$A$8:$O$291,10,FALSE),"")</f>
        <v/>
      </c>
      <c r="Q271" s="24" t="str">
        <f>IF(VLOOKUP($A271,'San Juan'!$A$8:$O$291,15,FALSE)="Homologado",VLOOKUP($A271,'San Juan'!$A$8:$O$291,10,FALSE),"")</f>
        <v/>
      </c>
      <c r="R271" s="24" t="str">
        <f>IF(VLOOKUP($A271,Salta!$A$8:$O$291,15,FALSE)="Homologado",VLOOKUP($A271,Salta!$A$8:$O$291,10,FALSE),"")</f>
        <v/>
      </c>
      <c r="S271" s="24" t="str">
        <f>IF(VLOOKUP($A271,'Master vs SAP'!$A$8:$O$291,4,FALSE)="","",VLOOKUP($A271,'Master vs SAP'!$A$8:$O$291,4,FALSE))</f>
        <v>2000354
2000098
2000278
2000279</v>
      </c>
      <c r="T271" s="9" t="str">
        <f>IF(VLOOKUP($A271,'Master vs SAP'!$A$8:$O$291,5,FALSE)="","",VLOOKUP($A271,'Master vs SAP'!$A$8:$O$291,5,FALSE))</f>
        <v>APOSITO ESTERIL (G+A) 10X20CM
APOSITO QUIRURGICO ESTERIL 10X20CM-SYRA
APOS ESTERIL (G+A) 10X20 IGALTEX S/POUCH
APOSITO ESTERIL (G+A) 10X20CM - INSXXI</v>
      </c>
      <c r="U271" s="9" t="str">
        <f>IF(VLOOKUP($A271,'Master vs SAP'!$A$8:$O$291,7,FALSE)="","",VLOOKUP($A271,'Master vs SAP'!$A$8:$O$291,7,FALSE))</f>
        <v>Alta</v>
      </c>
      <c r="V271" s="9" t="str">
        <f>IF(VLOOKUP($A271,'Master vs SAP'!$A$8:$O$291,6,FALSE)="","",VLOOKUP($A271,'Master vs SAP'!$A$8:$O$291,6,FALSE))</f>
        <v>Coincidencia</v>
      </c>
      <c r="W271" s="24" t="str">
        <f>IF(VLOOKUP($A271,'Master vs SAP'!$A$8:$O$291,15,FALSE)="Homologado",VLOOKUP($A271,'Master vs SAP'!$A$8:$O$291,10,FALSE),"")</f>
        <v/>
      </c>
    </row>
    <row r="272" spans="1:23" ht="61.95" customHeight="1">
      <c r="A272" s="9" t="s">
        <v>632</v>
      </c>
      <c r="B272" s="9" t="s">
        <v>537</v>
      </c>
      <c r="C272" s="9" t="s">
        <v>343</v>
      </c>
      <c r="D272" s="24" t="str">
        <f>IF(VLOOKUP($A272,Neuquén!$A$8:$O$291,4,FALSE)="","",VLOOKUP($A272,Neuquén!$A$8:$O$291,4,FALSE))</f>
        <v>185</v>
      </c>
      <c r="E272" s="9" t="str">
        <f>IF(VLOOKUP($A272,Neuquén!$A$8:$O$291,5,FALSE)="","",VLOOKUP($A272,Neuquén!$A$8:$O$291,5,FALSE))</f>
        <v>PLATSUL</v>
      </c>
      <c r="F272" s="9" t="str">
        <f>IF(VLOOKUP($A272,Neuquén!$A$8:$O$291,7,FALSE)="","",VLOOKUP($A272,Neuquén!$A$8:$O$291,7,FALSE))</f>
        <v>Sin coincidencia</v>
      </c>
      <c r="G272" s="9" t="str">
        <f>IF(VLOOKUP($A272,Neuquén!$A$8:$O$291,6,FALSE)="","",VLOOKUP($A272,Neuquén!$A$8:$O$291,6,FALSE))</f>
        <v>Código compartido: revisar</v>
      </c>
      <c r="H272" s="24" t="str">
        <f>IF(VLOOKUP($A272,'San Juan'!$A$8:$O$291,4,FALSE)="","",VLOOKUP($A272,'San Juan'!$A$8:$O$291,4,FALSE))</f>
        <v/>
      </c>
      <c r="I272" s="9" t="str">
        <f>IF(VLOOKUP($A272,'San Juan'!$A$8:$O$291,5,FALSE)="","",VLOOKUP($A272,'San Juan'!$A$8:$O$291,5,FALSE))</f>
        <v/>
      </c>
      <c r="J272" s="9" t="str">
        <f>IF(VLOOKUP($A272,'San Juan'!$A$8:$O$291,7,FALSE)="","",VLOOKUP($A272,'San Juan'!$A$8:$O$291,7,FALSE))</f>
        <v>Sin coincidencia</v>
      </c>
      <c r="K272" s="9" t="str">
        <f>IF(VLOOKUP($A272,'San Juan'!$A$8:$O$291,6,FALSE)="","",VLOOKUP($A272,'San Juan'!$A$8:$O$291,6,FALSE))</f>
        <v>Sin código encontrado</v>
      </c>
      <c r="L272" s="24" t="str">
        <f>IF(VLOOKUP($A272,Salta!$A$8:$O$291,4,FALSE)="","",VLOOKUP($A272,Salta!$A$8:$O$291,4,FALSE))</f>
        <v>228
288</v>
      </c>
      <c r="M272" s="9" t="str">
        <f>IF(VLOOKUP($A272,Salta!$A$8:$O$291,5,FALSE)="","",VLOOKUP($A272,Salta!$A$8:$O$291,5,FALSE))</f>
        <v>Sulfadiazina de Plata 400gr
Sulfadiazina de Plata 30mg</v>
      </c>
      <c r="N272" s="9" t="str">
        <f>IF(VLOOKUP($A272,Salta!$A$8:$O$291,7,FALSE)="","",VLOOKUP($A272,Salta!$A$8:$O$291,7,FALSE))</f>
        <v>Media</v>
      </c>
      <c r="O272" s="9" t="str">
        <f>IF(VLOOKUP($A272,Salta!$A$8:$O$291,6,FALSE)="","",VLOOKUP($A272,Salta!$A$8:$O$291,6,FALSE))</f>
        <v>Revisar grupo</v>
      </c>
      <c r="P272" s="24" t="str">
        <f>IF(VLOOKUP($A272,Neuquén!$A$8:$O$291,15,FALSE)="Homologado",VLOOKUP($A272,Neuquén!$A$8:$O$291,10,FALSE),"")</f>
        <v/>
      </c>
      <c r="Q272" s="24" t="str">
        <f>IF(VLOOKUP($A272,'San Juan'!$A$8:$O$291,15,FALSE)="Homologado",VLOOKUP($A272,'San Juan'!$A$8:$O$291,10,FALSE),"")</f>
        <v/>
      </c>
      <c r="R272" s="24" t="str">
        <f>IF(VLOOKUP($A272,Salta!$A$8:$O$291,15,FALSE)="Homologado",VLOOKUP($A272,Salta!$A$8:$O$291,10,FALSE),"")</f>
        <v/>
      </c>
      <c r="S272" s="24" t="str">
        <f>IF(VLOOKUP($A272,'Master vs SAP'!$A$8:$O$291,4,FALSE)="","",VLOOKUP($A272,'Master vs SAP'!$A$8:$O$291,4,FALSE))</f>
        <v>1001271
1000534
1000688</v>
      </c>
      <c r="T272" s="9" t="str">
        <f>IF(VLOOKUP($A272,'Master vs SAP'!$A$8:$O$291,5,FALSE)="","",VLOOKUP($A272,'Master vs SAP'!$A$8:$O$291,5,FALSE))</f>
        <v>SULFADIZINA DE PLATA X 30GRS
SULFADIAZINA DE PLATA CREMA X 400 GR
SULFADIAZINA DE PLATA CREMA X 50 GR</v>
      </c>
      <c r="U272" s="9" t="str">
        <f>IF(VLOOKUP($A272,'Master vs SAP'!$A$8:$O$291,7,FALSE)="","",VLOOKUP($A272,'Master vs SAP'!$A$8:$O$291,7,FALSE))</f>
        <v>Media</v>
      </c>
      <c r="V272" s="9" t="str">
        <f>IF(VLOOKUP($A272,'Master vs SAP'!$A$8:$O$291,6,FALSE)="","",VLOOKUP($A272,'Master vs SAP'!$A$8:$O$291,6,FALSE))</f>
        <v>Revisar grupo</v>
      </c>
      <c r="W272" s="24" t="str">
        <f>IF(VLOOKUP($A272,'Master vs SAP'!$A$8:$O$291,15,FALSE)="Homologado",VLOOKUP($A272,'Master vs SAP'!$A$8:$O$291,10,FALSE),"")</f>
        <v/>
      </c>
    </row>
    <row r="273" spans="1:23" ht="78" customHeight="1">
      <c r="A273" s="9" t="s">
        <v>633</v>
      </c>
      <c r="B273" s="9" t="s">
        <v>537</v>
      </c>
      <c r="C273" s="9" t="s">
        <v>634</v>
      </c>
      <c r="D273" s="24" t="str">
        <f>IF(VLOOKUP($A273,Neuquén!$A$8:$O$291,4,FALSE)="","",VLOOKUP($A273,Neuquén!$A$8:$O$291,4,FALSE))</f>
        <v>335</v>
      </c>
      <c r="E273" s="9" t="str">
        <f>IF(VLOOKUP($A273,Neuquén!$A$8:$O$291,5,FALSE)="","",VLOOKUP($A273,Neuquén!$A$8:$O$291,5,FALSE))</f>
        <v>VENDACAMBRIC10CM</v>
      </c>
      <c r="F273" s="9" t="str">
        <f>IF(VLOOKUP($A273,Neuquén!$A$8:$O$291,7,FALSE)="","",VLOOKUP($A273,Neuquén!$A$8:$O$291,7,FALSE))</f>
        <v>Media</v>
      </c>
      <c r="G273" s="9" t="str">
        <f>IF(VLOOKUP($A273,Neuquén!$A$8:$O$291,6,FALSE)="","",VLOOKUP($A273,Neuquén!$A$8:$O$291,6,FALSE))</f>
        <v>Código compartido: revisar</v>
      </c>
      <c r="H273" s="24" t="str">
        <f>IF(VLOOKUP($A273,'San Juan'!$A$8:$O$291,4,FALSE)="","",VLOOKUP($A273,'San Juan'!$A$8:$O$291,4,FALSE))</f>
        <v>DESC171</v>
      </c>
      <c r="I273" s="9" t="str">
        <f>IF(VLOOKUP($A273,'San Juan'!$A$8:$O$291,5,FALSE)="","",VLOOKUP($A273,'San Juan'!$A$8:$O$291,5,FALSE))</f>
        <v>Vendas de 7 cm.</v>
      </c>
      <c r="J273" s="9" t="str">
        <f>IF(VLOOKUP($A273,'San Juan'!$A$8:$O$291,7,FALSE)="","",VLOOKUP($A273,'San Juan'!$A$8:$O$291,7,FALSE))</f>
        <v>Media</v>
      </c>
      <c r="K273" s="9" t="str">
        <f>IF(VLOOKUP($A273,'San Juan'!$A$8:$O$291,6,FALSE)="","",VLOOKUP($A273,'San Juan'!$A$8:$O$291,6,FALSE))</f>
        <v>Código compartido: revisar</v>
      </c>
      <c r="L273" s="24" t="str">
        <f>IF(VLOOKUP($A273,Salta!$A$8:$O$291,4,FALSE)="","",VLOOKUP($A273,Salta!$A$8:$O$291,4,FALSE))</f>
        <v>250
440
249</v>
      </c>
      <c r="M273" s="9" t="str">
        <f>IF(VLOOKUP($A273,Salta!$A$8:$O$291,5,FALSE)="","",VLOOKUP($A273,Salta!$A$8:$O$291,5,FALSE))</f>
        <v>Vendas de 5 cm
Venda de 7 cm
Vendas de 10 cm</v>
      </c>
      <c r="N273" s="9" t="str">
        <f>IF(VLOOKUP($A273,Salta!$A$8:$O$291,7,FALSE)="","",VLOOKUP($A273,Salta!$A$8:$O$291,7,FALSE))</f>
        <v>Media</v>
      </c>
      <c r="O273" s="9" t="str">
        <f>IF(VLOOKUP($A273,Salta!$A$8:$O$291,6,FALSE)="","",VLOOKUP($A273,Salta!$A$8:$O$291,6,FALSE))</f>
        <v>Revisar grupo</v>
      </c>
      <c r="P273" s="24" t="str">
        <f>IF(VLOOKUP($A273,Neuquén!$A$8:$O$291,15,FALSE)="Homologado",VLOOKUP($A273,Neuquén!$A$8:$O$291,10,FALSE),"")</f>
        <v/>
      </c>
      <c r="Q273" s="24" t="str">
        <f>IF(VLOOKUP($A273,'San Juan'!$A$8:$O$291,15,FALSE)="Homologado",VLOOKUP($A273,'San Juan'!$A$8:$O$291,10,FALSE),"")</f>
        <v/>
      </c>
      <c r="R273" s="24" t="str">
        <f>IF(VLOOKUP($A273,Salta!$A$8:$O$291,15,FALSE)="Homologado",VLOOKUP($A273,Salta!$A$8:$O$291,10,FALSE),"")</f>
        <v/>
      </c>
      <c r="S273" s="24" t="str">
        <f>IF(VLOOKUP($A273,'Master vs SAP'!$A$8:$O$291,4,FALSE)="","",VLOOKUP($A273,'Master vs SAP'!$A$8:$O$291,4,FALSE))</f>
        <v>2000080
2000314
2002475
2000079</v>
      </c>
      <c r="T273" s="9" t="str">
        <f>IF(VLOOKUP($A273,'Master vs SAP'!$A$8:$O$291,5,FALSE)="","",VLOOKUP($A273,'Master vs SAP'!$A$8:$O$291,5,FALSE))</f>
        <v>VENDA TIPO CAMBRIC X 5 CM
VENDA TIPO CAMBRIC X 5 CM
VENDAS TIPO CAMBRIC - 7CM
VENDA TIPO CAMBRIC X 10 CM</v>
      </c>
      <c r="U273" s="9" t="str">
        <f>IF(VLOOKUP($A273,'Master vs SAP'!$A$8:$O$291,7,FALSE)="","",VLOOKUP($A273,'Master vs SAP'!$A$8:$O$291,7,FALSE))</f>
        <v>Media</v>
      </c>
      <c r="V273" s="9" t="str">
        <f>IF(VLOOKUP($A273,'Master vs SAP'!$A$8:$O$291,6,FALSE)="","",VLOOKUP($A273,'Master vs SAP'!$A$8:$O$291,6,FALSE))</f>
        <v>Revisar grupo</v>
      </c>
      <c r="W273" s="24" t="str">
        <f>IF(VLOOKUP($A273,'Master vs SAP'!$A$8:$O$291,15,FALSE)="Homologado",VLOOKUP($A273,'Master vs SAP'!$A$8:$O$291,10,FALSE),"")</f>
        <v/>
      </c>
    </row>
    <row r="274" spans="1:23" ht="61.95" customHeight="1">
      <c r="A274" s="9" t="s">
        <v>635</v>
      </c>
      <c r="B274" s="9" t="s">
        <v>537</v>
      </c>
      <c r="C274" s="9" t="s">
        <v>636</v>
      </c>
      <c r="D274" s="24" t="str">
        <f>IF(VLOOKUP($A274,Neuquén!$A$8:$O$291,4,FALSE)="","",VLOOKUP($A274,Neuquén!$A$8:$O$291,4,FALSE))</f>
        <v>212</v>
      </c>
      <c r="E274" s="9" t="str">
        <f>IF(VLOOKUP($A274,Neuquén!$A$8:$O$291,5,FALSE)="","",VLOOKUP($A274,Neuquén!$A$8:$O$291,5,FALSE))</f>
        <v>SOLUCIÓNFISIOLÓGICA</v>
      </c>
      <c r="F274" s="9" t="str">
        <f>IF(VLOOKUP($A274,Neuquén!$A$8:$O$291,7,FALSE)="","",VLOOKUP($A274,Neuquén!$A$8:$O$291,7,FALSE))</f>
        <v>Media</v>
      </c>
      <c r="G274" s="9" t="str">
        <f>IF(VLOOKUP($A274,Neuquén!$A$8:$O$291,6,FALSE)="","",VLOOKUP($A274,Neuquén!$A$8:$O$291,6,FALSE))</f>
        <v>Código compartido: revisar</v>
      </c>
      <c r="H274" s="24" t="str">
        <f>IF(VLOOKUP($A274,'San Juan'!$A$8:$O$291,4,FALSE)="","",VLOOKUP($A274,'San Juan'!$A$8:$O$291,4,FALSE))</f>
        <v>MED168</v>
      </c>
      <c r="I274" s="9" t="str">
        <f>IF(VLOOKUP($A274,'San Juan'!$A$8:$O$291,5,FALSE)="","",VLOOKUP($A274,'San Juan'!$A$8:$O$291,5,FALSE))</f>
        <v>Solucion fisiológica x 500 ml</v>
      </c>
      <c r="J274" s="9" t="str">
        <f>IF(VLOOKUP($A274,'San Juan'!$A$8:$O$291,7,FALSE)="","",VLOOKUP($A274,'San Juan'!$A$8:$O$291,7,FALSE))</f>
        <v>Media</v>
      </c>
      <c r="K274" s="9" t="str">
        <f>IF(VLOOKUP($A274,'San Juan'!$A$8:$O$291,6,FALSE)="","",VLOOKUP($A274,'San Juan'!$A$8:$O$291,6,FALSE))</f>
        <v>Código compartido: revisar</v>
      </c>
      <c r="L274" s="24" t="str">
        <f>IF(VLOOKUP($A274,Salta!$A$8:$O$291,4,FALSE)="","",VLOOKUP($A274,Salta!$A$8:$O$291,4,FALSE))</f>
        <v>218</v>
      </c>
      <c r="M274" s="9" t="str">
        <f>IF(VLOOKUP($A274,Salta!$A$8:$O$291,5,FALSE)="","",VLOOKUP($A274,Salta!$A$8:$O$291,5,FALSE))</f>
        <v>Solucion fisiológica 500ml Baxter 500ml</v>
      </c>
      <c r="N274" s="9" t="str">
        <f>IF(VLOOKUP($A274,Salta!$A$8:$O$291,7,FALSE)="","",VLOOKUP($A274,Salta!$A$8:$O$291,7,FALSE))</f>
        <v>Media</v>
      </c>
      <c r="O274" s="9" t="str">
        <f>IF(VLOOKUP($A274,Salta!$A$8:$O$291,6,FALSE)="","",VLOOKUP($A274,Salta!$A$8:$O$291,6,FALSE))</f>
        <v>Revisar datos</v>
      </c>
      <c r="P274" s="24" t="str">
        <f>IF(VLOOKUP($A274,Neuquén!$A$8:$O$291,15,FALSE)="Homologado",VLOOKUP($A274,Neuquén!$A$8:$O$291,10,FALSE),"")</f>
        <v/>
      </c>
      <c r="Q274" s="24" t="str">
        <f>IF(VLOOKUP($A274,'San Juan'!$A$8:$O$291,15,FALSE)="Homologado",VLOOKUP($A274,'San Juan'!$A$8:$O$291,10,FALSE),"")</f>
        <v/>
      </c>
      <c r="R274" s="24" t="str">
        <f>IF(VLOOKUP($A274,Salta!$A$8:$O$291,15,FALSE)="Homologado",VLOOKUP($A274,Salta!$A$8:$O$291,10,FALSE),"")</f>
        <v/>
      </c>
      <c r="S274" s="24" t="str">
        <f>IF(VLOOKUP($A274,'Master vs SAP'!$A$8:$O$291,4,FALSE)="","",VLOOKUP($A274,'Master vs SAP'!$A$8:$O$291,4,FALSE))</f>
        <v>1000089
1005145</v>
      </c>
      <c r="T274" s="9" t="str">
        <f>IF(VLOOKUP($A274,'Master vs SAP'!$A$8:$O$291,5,FALSE)="","",VLOOKUP($A274,'Master vs SAP'!$A$8:$O$291,5,FALSE))</f>
        <v>SOLUCION FISIOLOGICA DE 500CC
CLORURO DE SODIO 0,9%/500ML</v>
      </c>
      <c r="U274" s="9" t="str">
        <f>IF(VLOOKUP($A274,'Master vs SAP'!$A$8:$O$291,7,FALSE)="","",VLOOKUP($A274,'Master vs SAP'!$A$8:$O$291,7,FALSE))</f>
        <v>Media</v>
      </c>
      <c r="V274" s="9" t="str">
        <f>IF(VLOOKUP($A274,'Master vs SAP'!$A$8:$O$291,6,FALSE)="","",VLOOKUP($A274,'Master vs SAP'!$A$8:$O$291,6,FALSE))</f>
        <v>Revisar datos</v>
      </c>
      <c r="W274" s="24" t="str">
        <f>IF(VLOOKUP($A274,'Master vs SAP'!$A$8:$O$291,15,FALSE)="Homologado",VLOOKUP($A274,'Master vs SAP'!$A$8:$O$291,10,FALSE),"")</f>
        <v/>
      </c>
    </row>
    <row r="275" spans="1:23" ht="61.95" customHeight="1">
      <c r="A275" s="9" t="s">
        <v>637</v>
      </c>
      <c r="B275" s="9" t="s">
        <v>537</v>
      </c>
      <c r="C275" s="9" t="s">
        <v>588</v>
      </c>
      <c r="D275" s="24" t="str">
        <f>IF(VLOOKUP($A275,Neuquén!$A$8:$O$291,4,FALSE)="","",VLOOKUP($A275,Neuquén!$A$8:$O$291,4,FALSE))</f>
        <v>359</v>
      </c>
      <c r="E275" s="9" t="str">
        <f>IF(VLOOKUP($A275,Neuquén!$A$8:$O$291,5,FALSE)="","",VLOOKUP($A275,Neuquén!$A$8:$O$291,5,FALSE))</f>
        <v>SABANAPARAQUEMADOESTERIL</v>
      </c>
      <c r="F275" s="9" t="str">
        <f>IF(VLOOKUP($A275,Neuquén!$A$8:$O$291,7,FALSE)="","",VLOOKUP($A275,Neuquén!$A$8:$O$291,7,FALSE))</f>
        <v>Baja</v>
      </c>
      <c r="G275" s="9" t="str">
        <f>IF(VLOOKUP($A275,Neuquén!$A$8:$O$291,6,FALSE)="","",VLOOKUP($A275,Neuquén!$A$8:$O$291,6,FALSE))</f>
        <v>Código compartido: revisar</v>
      </c>
      <c r="H275" s="24" t="str">
        <f>IF(VLOOKUP($A275,'San Juan'!$A$8:$O$291,4,FALSE)="","",VLOOKUP($A275,'San Juan'!$A$8:$O$291,4,FALSE))</f>
        <v>DESC112</v>
      </c>
      <c r="I275" s="9" t="str">
        <f>IF(VLOOKUP($A275,'San Juan'!$A$8:$O$291,5,FALSE)="","",VLOOKUP($A275,'San Juan'!$A$8:$O$291,5,FALSE))</f>
        <v>Sabanas descartables</v>
      </c>
      <c r="J275" s="9" t="str">
        <f>IF(VLOOKUP($A275,'San Juan'!$A$8:$O$291,7,FALSE)="","",VLOOKUP($A275,'San Juan'!$A$8:$O$291,7,FALSE))</f>
        <v>Media</v>
      </c>
      <c r="K275" s="9" t="str">
        <f>IF(VLOOKUP($A275,'San Juan'!$A$8:$O$291,6,FALSE)="","",VLOOKUP($A275,'San Juan'!$A$8:$O$291,6,FALSE))</f>
        <v>Código compartido: revisar</v>
      </c>
      <c r="L275" s="24" t="str">
        <f>IF(VLOOKUP($A275,Salta!$A$8:$O$291,4,FALSE)="","",VLOOKUP($A275,Salta!$A$8:$O$291,4,FALSE))</f>
        <v>212</v>
      </c>
      <c r="M275" s="9" t="str">
        <f>IF(VLOOKUP($A275,Salta!$A$8:$O$291,5,FALSE)="","",VLOOKUP($A275,Salta!$A$8:$O$291,5,FALSE))</f>
        <v>Sabana descartable</v>
      </c>
      <c r="N275" s="9" t="str">
        <f>IF(VLOOKUP($A275,Salta!$A$8:$O$291,7,FALSE)="","",VLOOKUP($A275,Salta!$A$8:$O$291,7,FALSE))</f>
        <v>Media</v>
      </c>
      <c r="O275" s="9" t="str">
        <f>IF(VLOOKUP($A275,Salta!$A$8:$O$291,6,FALSE)="","",VLOOKUP($A275,Salta!$A$8:$O$291,6,FALSE))</f>
        <v>Revisar datos</v>
      </c>
      <c r="P275" s="24" t="str">
        <f>IF(VLOOKUP($A275,Neuquén!$A$8:$O$291,15,FALSE)="Homologado",VLOOKUP($A275,Neuquén!$A$8:$O$291,10,FALSE),"")</f>
        <v/>
      </c>
      <c r="Q275" s="24" t="str">
        <f>IF(VLOOKUP($A275,'San Juan'!$A$8:$O$291,15,FALSE)="Homologado",VLOOKUP($A275,'San Juan'!$A$8:$O$291,10,FALSE),"")</f>
        <v/>
      </c>
      <c r="R275" s="24" t="str">
        <f>IF(VLOOKUP($A275,Salta!$A$8:$O$291,15,FALSE)="Homologado",VLOOKUP($A275,Salta!$A$8:$O$291,10,FALSE),"")</f>
        <v/>
      </c>
      <c r="S275" s="24" t="str">
        <f>IF(VLOOKUP($A275,'Master vs SAP'!$A$8:$O$291,4,FALSE)="","",VLOOKUP($A275,'Master vs SAP'!$A$8:$O$291,4,FALSE))</f>
        <v>2000463</v>
      </c>
      <c r="T275" s="9" t="str">
        <f>IF(VLOOKUP($A275,'Master vs SAP'!$A$8:$O$291,5,FALSE)="","",VLOOKUP($A275,'Master vs SAP'!$A$8:$O$291,5,FALSE))</f>
        <v>SABANAS ESTERILES DESCARTABLES</v>
      </c>
      <c r="U275" s="9" t="str">
        <f>IF(VLOOKUP($A275,'Master vs SAP'!$A$8:$O$291,7,FALSE)="","",VLOOKUP($A275,'Master vs SAP'!$A$8:$O$291,7,FALSE))</f>
        <v>Alta</v>
      </c>
      <c r="V275" s="9" t="str">
        <f>IF(VLOOKUP($A275,'Master vs SAP'!$A$8:$O$291,6,FALSE)="","",VLOOKUP($A275,'Master vs SAP'!$A$8:$O$291,6,FALSE))</f>
        <v>Coincidencia</v>
      </c>
      <c r="W275" s="24" t="str">
        <f>IF(VLOOKUP($A275,'Master vs SAP'!$A$8:$O$291,15,FALSE)="Homologado",VLOOKUP($A275,'Master vs SAP'!$A$8:$O$291,10,FALSE),"")</f>
        <v/>
      </c>
    </row>
    <row r="276" spans="1:23" ht="78" customHeight="1">
      <c r="A276" s="9" t="s">
        <v>638</v>
      </c>
      <c r="B276" s="9" t="s">
        <v>537</v>
      </c>
      <c r="C276" s="9" t="s">
        <v>639</v>
      </c>
      <c r="D276" s="24" t="str">
        <f>IF(VLOOKUP($A276,Neuquén!$A$8:$O$291,4,FALSE)="","",VLOOKUP($A276,Neuquén!$A$8:$O$291,4,FALSE))</f>
        <v>413</v>
      </c>
      <c r="E276" s="9" t="str">
        <f>IF(VLOOKUP($A276,Neuquén!$A$8:$O$291,5,FALSE)="","",VLOOKUP($A276,Neuquén!$A$8:$O$291,5,FALSE))</f>
        <v>ESTETOSCOPIO</v>
      </c>
      <c r="F276" s="9" t="str">
        <f>IF(VLOOKUP($A276,Neuquén!$A$8:$O$291,7,FALSE)="","",VLOOKUP($A276,Neuquén!$A$8:$O$291,7,FALSE))</f>
        <v>Media</v>
      </c>
      <c r="G276" s="9" t="str">
        <f>IF(VLOOKUP($A276,Neuquén!$A$8:$O$291,6,FALSE)="","",VLOOKUP($A276,Neuquén!$A$8:$O$291,6,FALSE))</f>
        <v>Código compartido: revisar</v>
      </c>
      <c r="H276" s="24" t="str">
        <f>IF(VLOOKUP($A276,'San Juan'!$A$8:$O$291,4,FALSE)="","",VLOOKUP($A276,'San Juan'!$A$8:$O$291,4,FALSE))</f>
        <v>DESC113</v>
      </c>
      <c r="I276" s="9" t="str">
        <f>IF(VLOOKUP($A276,'San Juan'!$A$8:$O$291,5,FALSE)="","",VLOOKUP($A276,'San Juan'!$A$8:$O$291,5,FALSE))</f>
        <v>Saturómetro</v>
      </c>
      <c r="J276" s="9" t="str">
        <f>IF(VLOOKUP($A276,'San Juan'!$A$8:$O$291,7,FALSE)="","",VLOOKUP($A276,'San Juan'!$A$8:$O$291,7,FALSE))</f>
        <v>Media</v>
      </c>
      <c r="K276" s="9" t="str">
        <f>IF(VLOOKUP($A276,'San Juan'!$A$8:$O$291,6,FALSE)="","",VLOOKUP($A276,'San Juan'!$A$8:$O$291,6,FALSE))</f>
        <v>Código compartido: revisar</v>
      </c>
      <c r="L276" s="24" t="str">
        <f>IF(VLOOKUP($A276,Salta!$A$8:$O$291,4,FALSE)="","",VLOOKUP($A276,Salta!$A$8:$O$291,4,FALSE))</f>
        <v>233
195
234</v>
      </c>
      <c r="M276" s="9" t="str">
        <f>IF(VLOOKUP($A276,Salta!$A$8:$O$291,5,FALSE)="","",VLOOKUP($A276,Salta!$A$8:$O$291,5,FALSE))</f>
        <v>Tensiometro Manual
Oximetro de pulso digital
Termometro axilar</v>
      </c>
      <c r="N276" s="9" t="str">
        <f>IF(VLOOKUP($A276,Salta!$A$8:$O$291,7,FALSE)="","",VLOOKUP($A276,Salta!$A$8:$O$291,7,FALSE))</f>
        <v>Media</v>
      </c>
      <c r="O276" s="9" t="str">
        <f>IF(VLOOKUP($A276,Salta!$A$8:$O$291,6,FALSE)="","",VLOOKUP($A276,Salta!$A$8:$O$291,6,FALSE))</f>
        <v>Revisar grupo</v>
      </c>
      <c r="P276" s="24" t="str">
        <f>IF(VLOOKUP($A276,Neuquén!$A$8:$O$291,15,FALSE)="Homologado",VLOOKUP($A276,Neuquén!$A$8:$O$291,10,FALSE),"")</f>
        <v/>
      </c>
      <c r="Q276" s="24" t="str">
        <f>IF(VLOOKUP($A276,'San Juan'!$A$8:$O$291,15,FALSE)="Homologado",VLOOKUP($A276,'San Juan'!$A$8:$O$291,10,FALSE),"")</f>
        <v/>
      </c>
      <c r="R276" s="24" t="str">
        <f>IF(VLOOKUP($A276,Salta!$A$8:$O$291,15,FALSE)="Homologado",VLOOKUP($A276,Salta!$A$8:$O$291,10,FALSE),"")</f>
        <v/>
      </c>
      <c r="S276" s="24" t="str">
        <f>IF(VLOOKUP($A276,'Master vs SAP'!$A$8:$O$291,4,FALSE)="","",VLOOKUP($A276,'Master vs SAP'!$A$8:$O$291,4,FALSE))</f>
        <v>2000016
2000035
2001219
2000037</v>
      </c>
      <c r="T276" s="9" t="str">
        <f>IF(VLOOKUP($A276,'Master vs SAP'!$A$8:$O$291,5,FALSE)="","",VLOOKUP($A276,'Master vs SAP'!$A$8:$O$291,5,FALSE))</f>
        <v>ESTETOSCOPIO ADULTO
TENSIOMETRO ADULTO
OXIMETRO DE PULSO
TERMOMETRO DIGITAL</v>
      </c>
      <c r="U276" s="9" t="str">
        <f>IF(VLOOKUP($A276,'Master vs SAP'!$A$8:$O$291,7,FALSE)="","",VLOOKUP($A276,'Master vs SAP'!$A$8:$O$291,7,FALSE))</f>
        <v>Media</v>
      </c>
      <c r="V276" s="9" t="str">
        <f>IF(VLOOKUP($A276,'Master vs SAP'!$A$8:$O$291,6,FALSE)="","",VLOOKUP($A276,'Master vs SAP'!$A$8:$O$291,6,FALSE))</f>
        <v>Revisar grupo</v>
      </c>
      <c r="W276" s="24" t="str">
        <f>IF(VLOOKUP($A276,'Master vs SAP'!$A$8:$O$291,15,FALSE)="Homologado",VLOOKUP($A276,'Master vs SAP'!$A$8:$O$291,10,FALSE),"")</f>
        <v/>
      </c>
    </row>
    <row r="277" spans="1:23" ht="61.95" customHeight="1">
      <c r="A277" s="9" t="s">
        <v>640</v>
      </c>
      <c r="B277" s="9" t="s">
        <v>537</v>
      </c>
      <c r="C277" s="9" t="s">
        <v>641</v>
      </c>
      <c r="D277" s="24" t="str">
        <f>IF(VLOOKUP($A277,Neuquén!$A$8:$O$291,4,FALSE)="","",VLOOKUP($A277,Neuquén!$A$8:$O$291,4,FALSE))</f>
        <v>354</v>
      </c>
      <c r="E277" s="9" t="str">
        <f>IF(VLOOKUP($A277,Neuquén!$A$8:$O$291,5,FALSE)="","",VLOOKUP($A277,Neuquén!$A$8:$O$291,5,FALSE))</f>
        <v>CANULASDEMAYON°3</v>
      </c>
      <c r="F277" s="9" t="str">
        <f>IF(VLOOKUP($A277,Neuquén!$A$8:$O$291,7,FALSE)="","",VLOOKUP($A277,Neuquén!$A$8:$O$291,7,FALSE))</f>
        <v>Media</v>
      </c>
      <c r="G277" s="9" t="str">
        <f>IF(VLOOKUP($A277,Neuquén!$A$8:$O$291,6,FALSE)="","",VLOOKUP($A277,Neuquén!$A$8:$O$291,6,FALSE))</f>
        <v>Código compartido: revisar</v>
      </c>
      <c r="H277" s="24" t="str">
        <f>IF(VLOOKUP($A277,'San Juan'!$A$8:$O$291,4,FALSE)="","",VLOOKUP($A277,'San Juan'!$A$8:$O$291,4,FALSE))</f>
        <v/>
      </c>
      <c r="I277" s="9" t="str">
        <f>IF(VLOOKUP($A277,'San Juan'!$A$8:$O$291,5,FALSE)="","",VLOOKUP($A277,'San Juan'!$A$8:$O$291,5,FALSE))</f>
        <v/>
      </c>
      <c r="J277" s="9" t="str">
        <f>IF(VLOOKUP($A277,'San Juan'!$A$8:$O$291,7,FALSE)="","",VLOOKUP($A277,'San Juan'!$A$8:$O$291,7,FALSE))</f>
        <v>Sin coincidencia</v>
      </c>
      <c r="K277" s="9" t="str">
        <f>IF(VLOOKUP($A277,'San Juan'!$A$8:$O$291,6,FALSE)="","",VLOOKUP($A277,'San Juan'!$A$8:$O$291,6,FALSE))</f>
        <v>Sin código encontrado</v>
      </c>
      <c r="L277" s="24" t="str">
        <f>IF(VLOOKUP($A277,Salta!$A$8:$O$291,4,FALSE)="","",VLOOKUP($A277,Salta!$A$8:$O$291,4,FALSE))</f>
        <v>304
258
412</v>
      </c>
      <c r="M277" s="9" t="str">
        <f>IF(VLOOKUP($A277,Salta!$A$8:$O$291,5,FALSE)="","",VLOOKUP($A277,Salta!$A$8:$O$291,5,FALSE))</f>
        <v>Canula de guedel 90mm
Canula de Guedel 100mm
Canula de Guedel 120mm</v>
      </c>
      <c r="N277" s="9" t="str">
        <f>IF(VLOOKUP($A277,Salta!$A$8:$O$291,7,FALSE)="","",VLOOKUP($A277,Salta!$A$8:$O$291,7,FALSE))</f>
        <v>Baja</v>
      </c>
      <c r="O277" s="9" t="str">
        <f>IF(VLOOKUP($A277,Salta!$A$8:$O$291,6,FALSE)="","",VLOOKUP($A277,Salta!$A$8:$O$291,6,FALSE))</f>
        <v>Revisar presentación</v>
      </c>
      <c r="P277" s="24" t="str">
        <f>IF(VLOOKUP($A277,Neuquén!$A$8:$O$291,15,FALSE)="Homologado",VLOOKUP($A277,Neuquén!$A$8:$O$291,10,FALSE),"")</f>
        <v/>
      </c>
      <c r="Q277" s="24" t="str">
        <f>IF(VLOOKUP($A277,'San Juan'!$A$8:$O$291,15,FALSE)="Homologado",VLOOKUP($A277,'San Juan'!$A$8:$O$291,10,FALSE),"")</f>
        <v/>
      </c>
      <c r="R277" s="24" t="str">
        <f>IF(VLOOKUP($A277,Salta!$A$8:$O$291,15,FALSE)="Homologado",VLOOKUP($A277,Salta!$A$8:$O$291,10,FALSE),"")</f>
        <v/>
      </c>
      <c r="S277" s="24" t="str">
        <f>IF(VLOOKUP($A277,'Master vs SAP'!$A$8:$O$291,4,FALSE)="","",VLOOKUP($A277,'Master vs SAP'!$A$8:$O$291,4,FALSE))</f>
        <v>2000403
2000404
2001254</v>
      </c>
      <c r="T277" s="9" t="str">
        <f>IF(VLOOKUP($A277,'Master vs SAP'!$A$8:$O$291,5,FALSE)="","",VLOOKUP($A277,'Master vs SAP'!$A$8:$O$291,5,FALSE))</f>
        <v>CANULA DE GUEDEL 90CM N2 AMARILLO
CANULA DE GUEDEL 10CM N4 ROJO
CANULA DE GUEDEL 12CM N5 NARANJA</v>
      </c>
      <c r="U277" s="9" t="str">
        <f>IF(VLOOKUP($A277,'Master vs SAP'!$A$8:$O$291,7,FALSE)="","",VLOOKUP($A277,'Master vs SAP'!$A$8:$O$291,7,FALSE))</f>
        <v>Baja</v>
      </c>
      <c r="V277" s="9" t="str">
        <f>IF(VLOOKUP($A277,'Master vs SAP'!$A$8:$O$291,6,FALSE)="","",VLOOKUP($A277,'Master vs SAP'!$A$8:$O$291,6,FALSE))</f>
        <v>Revisar presentación</v>
      </c>
      <c r="W277" s="24" t="str">
        <f>IF(VLOOKUP($A277,'Master vs SAP'!$A$8:$O$291,15,FALSE)="Homologado",VLOOKUP($A277,'Master vs SAP'!$A$8:$O$291,10,FALSE),"")</f>
        <v/>
      </c>
    </row>
    <row r="278" spans="1:23" ht="61.95" customHeight="1">
      <c r="A278" s="9" t="s">
        <v>642</v>
      </c>
      <c r="B278" s="9" t="s">
        <v>537</v>
      </c>
      <c r="C278" s="9" t="s">
        <v>643</v>
      </c>
      <c r="D278" s="24" t="str">
        <f>IF(VLOOKUP($A278,Neuquén!$A$8:$O$291,4,FALSE)="","",VLOOKUP($A278,Neuquén!$A$8:$O$291,4,FALSE))</f>
        <v>411</v>
      </c>
      <c r="E278" s="9" t="str">
        <f>IF(VLOOKUP($A278,Neuquén!$A$8:$O$291,5,FALSE)="","",VLOOKUP($A278,Neuquén!$A$8:$O$291,5,FALSE))</f>
        <v>COLLAR FILADELFIA (distintas med.)</v>
      </c>
      <c r="F278" s="9" t="str">
        <f>IF(VLOOKUP($A278,Neuquén!$A$8:$O$291,7,FALSE)="","",VLOOKUP($A278,Neuquén!$A$8:$O$291,7,FALSE))</f>
        <v>Sin coincidencia</v>
      </c>
      <c r="G278" s="9" t="str">
        <f>IF(VLOOKUP($A278,Neuquén!$A$8:$O$291,6,FALSE)="","",VLOOKUP($A278,Neuquén!$A$8:$O$291,6,FALSE))</f>
        <v>Código compartido: revisar</v>
      </c>
      <c r="H278" s="24" t="str">
        <f>IF(VLOOKUP($A278,'San Juan'!$A$8:$O$291,4,FALSE)="","",VLOOKUP($A278,'San Juan'!$A$8:$O$291,4,FALSE))</f>
        <v/>
      </c>
      <c r="I278" s="9" t="str">
        <f>IF(VLOOKUP($A278,'San Juan'!$A$8:$O$291,5,FALSE)="","",VLOOKUP($A278,'San Juan'!$A$8:$O$291,5,FALSE))</f>
        <v/>
      </c>
      <c r="J278" s="9" t="str">
        <f>IF(VLOOKUP($A278,'San Juan'!$A$8:$O$291,7,FALSE)="","",VLOOKUP($A278,'San Juan'!$A$8:$O$291,7,FALSE))</f>
        <v>Sin coincidencia</v>
      </c>
      <c r="K278" s="9" t="str">
        <f>IF(VLOOKUP($A278,'San Juan'!$A$8:$O$291,6,FALSE)="","",VLOOKUP($A278,'San Juan'!$A$8:$O$291,6,FALSE))</f>
        <v>Sin código encontrado</v>
      </c>
      <c r="L278" s="24" t="str">
        <f>IF(VLOOKUP($A278,Salta!$A$8:$O$291,4,FALSE)="","",VLOOKUP($A278,Salta!$A$8:$O$291,4,FALSE))</f>
        <v>329</v>
      </c>
      <c r="M278" s="9" t="str">
        <f>IF(VLOOKUP($A278,Salta!$A$8:$O$291,5,FALSE)="","",VLOOKUP($A278,Salta!$A$8:$O$291,5,FALSE))</f>
        <v>Collar Cervical TU regulable</v>
      </c>
      <c r="N278" s="9" t="str">
        <f>IF(VLOOKUP($A278,Salta!$A$8:$O$291,7,FALSE)="","",VLOOKUP($A278,Salta!$A$8:$O$291,7,FALSE))</f>
        <v>Alta</v>
      </c>
      <c r="O278" s="9" t="str">
        <f>IF(VLOOKUP($A278,Salta!$A$8:$O$291,6,FALSE)="","",VLOOKUP($A278,Salta!$A$8:$O$291,6,FALSE))</f>
        <v>Coincidencia</v>
      </c>
      <c r="P278" s="24" t="str">
        <f>IF(VLOOKUP($A278,Neuquén!$A$8:$O$291,15,FALSE)="Homologado",VLOOKUP($A278,Neuquén!$A$8:$O$291,10,FALSE),"")</f>
        <v/>
      </c>
      <c r="Q278" s="24" t="str">
        <f>IF(VLOOKUP($A278,'San Juan'!$A$8:$O$291,15,FALSE)="Homologado",VLOOKUP($A278,'San Juan'!$A$8:$O$291,10,FALSE),"")</f>
        <v/>
      </c>
      <c r="R278" s="24" t="str">
        <f>IF(VLOOKUP($A278,Salta!$A$8:$O$291,15,FALSE)="Homologado",VLOOKUP($A278,Salta!$A$8:$O$291,10,FALSE),"")</f>
        <v/>
      </c>
      <c r="S278" s="24" t="str">
        <f>IF(VLOOKUP($A278,'Master vs SAP'!$A$8:$O$291,4,FALSE)="","",VLOOKUP($A278,'Master vs SAP'!$A$8:$O$291,4,FALSE))</f>
        <v>2001706
2001447</v>
      </c>
      <c r="T278" s="9" t="str">
        <f>IF(VLOOKUP($A278,'Master vs SAP'!$A$8:$O$291,5,FALSE)="","",VLOOKUP($A278,'Master vs SAP'!$A$8:$O$291,5,FALSE))</f>
        <v>Collares cervicales regulables
COLLAR CERVICAL AJUSTABLE ADULTO</v>
      </c>
      <c r="U278" s="9" t="str">
        <f>IF(VLOOKUP($A278,'Master vs SAP'!$A$8:$O$291,7,FALSE)="","",VLOOKUP($A278,'Master vs SAP'!$A$8:$O$291,7,FALSE))</f>
        <v>Alta</v>
      </c>
      <c r="V278" s="9" t="str">
        <f>IF(VLOOKUP($A278,'Master vs SAP'!$A$8:$O$291,6,FALSE)="","",VLOOKUP($A278,'Master vs SAP'!$A$8:$O$291,6,FALSE))</f>
        <v>Coincidencia</v>
      </c>
      <c r="W278" s="24" t="str">
        <f>IF(VLOOKUP($A278,'Master vs SAP'!$A$8:$O$291,15,FALSE)="Homologado",VLOOKUP($A278,'Master vs SAP'!$A$8:$O$291,10,FALSE),"")</f>
        <v/>
      </c>
    </row>
    <row r="279" spans="1:23" ht="142.05000000000001" customHeight="1">
      <c r="A279" s="9" t="s">
        <v>644</v>
      </c>
      <c r="B279" s="9" t="s">
        <v>537</v>
      </c>
      <c r="C279" s="9" t="s">
        <v>645</v>
      </c>
      <c r="D279" s="24" t="str">
        <f>IF(VLOOKUP($A279,Neuquén!$A$8:$O$291,4,FALSE)="","",VLOOKUP($A279,Neuquén!$A$8:$O$291,4,FALSE))</f>
        <v>379</v>
      </c>
      <c r="E279" s="9" t="str">
        <f>IF(VLOOKUP($A279,Neuquén!$A$8:$O$291,5,FALSE)="","",VLOOKUP($A279,Neuquén!$A$8:$O$291,5,FALSE))</f>
        <v>AMBU</v>
      </c>
      <c r="F279" s="9" t="str">
        <f>IF(VLOOKUP($A279,Neuquén!$A$8:$O$291,7,FALSE)="","",VLOOKUP($A279,Neuquén!$A$8:$O$291,7,FALSE))</f>
        <v>Media</v>
      </c>
      <c r="G279" s="9" t="str">
        <f>IF(VLOOKUP($A279,Neuquén!$A$8:$O$291,6,FALSE)="","",VLOOKUP($A279,Neuquén!$A$8:$O$291,6,FALSE))</f>
        <v>Código compartido: revisar</v>
      </c>
      <c r="H279" s="24" t="str">
        <f>IF(VLOOKUP($A279,'San Juan'!$A$8:$O$291,4,FALSE)="","",VLOOKUP($A279,'San Juan'!$A$8:$O$291,4,FALSE))</f>
        <v/>
      </c>
      <c r="I279" s="9" t="str">
        <f>IF(VLOOKUP($A279,'San Juan'!$A$8:$O$291,5,FALSE)="","",VLOOKUP($A279,'San Juan'!$A$8:$O$291,5,FALSE))</f>
        <v/>
      </c>
      <c r="J279" s="9" t="str">
        <f>IF(VLOOKUP($A279,'San Juan'!$A$8:$O$291,7,FALSE)="","",VLOOKUP($A279,'San Juan'!$A$8:$O$291,7,FALSE))</f>
        <v>Sin coincidencia</v>
      </c>
      <c r="K279" s="9" t="str">
        <f>IF(VLOOKUP($A279,'San Juan'!$A$8:$O$291,6,FALSE)="","",VLOOKUP($A279,'San Juan'!$A$8:$O$291,6,FALSE))</f>
        <v>Sin código encontrado</v>
      </c>
      <c r="L279" s="24" t="str">
        <f>IF(VLOOKUP($A279,Salta!$A$8:$O$291,4,FALSE)="","",VLOOKUP($A279,Salta!$A$8:$O$291,4,FALSE))</f>
        <v>207</v>
      </c>
      <c r="M279" s="9" t="str">
        <f>IF(VLOOKUP($A279,Salta!$A$8:$O$291,5,FALSE)="","",VLOOKUP($A279,Salta!$A$8:$O$291,5,FALSE))</f>
        <v>Resucitador Manual Tipo Ambu</v>
      </c>
      <c r="N279" s="9" t="str">
        <f>IF(VLOOKUP($A279,Salta!$A$8:$O$291,7,FALSE)="","",VLOOKUP($A279,Salta!$A$8:$O$291,7,FALSE))</f>
        <v>Alta</v>
      </c>
      <c r="O279" s="9" t="str">
        <f>IF(VLOOKUP($A279,Salta!$A$8:$O$291,6,FALSE)="","",VLOOKUP($A279,Salta!$A$8:$O$291,6,FALSE))</f>
        <v>Coincidencia</v>
      </c>
      <c r="P279" s="24" t="str">
        <f>IF(VLOOKUP($A279,Neuquén!$A$8:$O$291,15,FALSE)="Homologado",VLOOKUP($A279,Neuquén!$A$8:$O$291,10,FALSE),"")</f>
        <v/>
      </c>
      <c r="Q279" s="24" t="str">
        <f>IF(VLOOKUP($A279,'San Juan'!$A$8:$O$291,15,FALSE)="Homologado",VLOOKUP($A279,'San Juan'!$A$8:$O$291,10,FALSE),"")</f>
        <v/>
      </c>
      <c r="R279" s="24" t="str">
        <f>IF(VLOOKUP($A279,Salta!$A$8:$O$291,15,FALSE)="Homologado",VLOOKUP($A279,Salta!$A$8:$O$291,10,FALSE),"")</f>
        <v/>
      </c>
      <c r="S279" s="24" t="str">
        <f>IF(VLOOKUP($A279,'Master vs SAP'!$A$8:$O$291,4,FALSE)="","",VLOOKUP($A279,'Master vs SAP'!$A$8:$O$291,4,FALSE))</f>
        <v>2000039
2000491
2000492
2000493</v>
      </c>
      <c r="T279" s="9" t="str">
        <f>IF(VLOOKUP($A279,'Master vs SAP'!$A$8:$O$291,5,FALSE)="","",VLOOKUP($A279,'Master vs SAP'!$A$8:$O$291,5,FALSE))</f>
        <v>BOLSA DE RESUCITACION MANUAL (TIPO AMBU)
BOLSA RESUCITACION MANUAL(TIPO AMBU)ADUL
BOLSA RESUCITACION MANUAL(TIPO AMBU)PED
BOLSA RESUCITACION MANUAL(TIPO AMBU) NEO</v>
      </c>
      <c r="U279" s="9" t="str">
        <f>IF(VLOOKUP($A279,'Master vs SAP'!$A$8:$O$291,7,FALSE)="","",VLOOKUP($A279,'Master vs SAP'!$A$8:$O$291,7,FALSE))</f>
        <v>Media</v>
      </c>
      <c r="V279" s="9" t="str">
        <f>IF(VLOOKUP($A279,'Master vs SAP'!$A$8:$O$291,6,FALSE)="","",VLOOKUP($A279,'Master vs SAP'!$A$8:$O$291,6,FALSE))</f>
        <v>Revisar grupo</v>
      </c>
      <c r="W279" s="24" t="str">
        <f>IF(VLOOKUP($A279,'Master vs SAP'!$A$8:$O$291,15,FALSE)="Homologado",VLOOKUP($A279,'Master vs SAP'!$A$8:$O$291,10,FALSE),"")</f>
        <v/>
      </c>
    </row>
    <row r="280" spans="1:23" ht="94.05" customHeight="1">
      <c r="A280" s="9" t="s">
        <v>646</v>
      </c>
      <c r="B280" s="9" t="s">
        <v>537</v>
      </c>
      <c r="C280" s="9" t="s">
        <v>647</v>
      </c>
      <c r="D280" s="24" t="str">
        <f>IF(VLOOKUP($A280,Neuquén!$A$8:$O$291,4,FALSE)="","",VLOOKUP($A280,Neuquén!$A$8:$O$291,4,FALSE))</f>
        <v>256</v>
      </c>
      <c r="E280" s="9" t="str">
        <f>IF(VLOOKUP($A280,Neuquén!$A$8:$O$291,5,FALSE)="","",VLOOKUP($A280,Neuquén!$A$8:$O$291,5,FALSE))</f>
        <v>Apositosesteril</v>
      </c>
      <c r="F280" s="9" t="str">
        <f>IF(VLOOKUP($A280,Neuquén!$A$8:$O$291,7,FALSE)="","",VLOOKUP($A280,Neuquén!$A$8:$O$291,7,FALSE))</f>
        <v>Media</v>
      </c>
      <c r="G280" s="9" t="str">
        <f>IF(VLOOKUP($A280,Neuquén!$A$8:$O$291,6,FALSE)="","",VLOOKUP($A280,Neuquén!$A$8:$O$291,6,FALSE))</f>
        <v>Código compartido: revisar</v>
      </c>
      <c r="H280" s="24" t="str">
        <f>IF(VLOOKUP($A280,'San Juan'!$A$8:$O$291,4,FALSE)="","",VLOOKUP($A280,'San Juan'!$A$8:$O$291,4,FALSE))</f>
        <v>DESC21</v>
      </c>
      <c r="I280" s="9" t="str">
        <f>IF(VLOOKUP($A280,'San Juan'!$A$8:$O$291,5,FALSE)="","",VLOOKUP($A280,'San Juan'!$A$8:$O$291,5,FALSE))</f>
        <v>Apositos estériles</v>
      </c>
      <c r="J280" s="9" t="str">
        <f>IF(VLOOKUP($A280,'San Juan'!$A$8:$O$291,7,FALSE)="","",VLOOKUP($A280,'San Juan'!$A$8:$O$291,7,FALSE))</f>
        <v>Baja</v>
      </c>
      <c r="K280" s="9" t="str">
        <f>IF(VLOOKUP($A280,'San Juan'!$A$8:$O$291,6,FALSE)="","",VLOOKUP($A280,'San Juan'!$A$8:$O$291,6,FALSE))</f>
        <v>Código compartido: revisar</v>
      </c>
      <c r="L280" s="24" t="str">
        <f>IF(VLOOKUP($A280,Salta!$A$8:$O$291,4,FALSE)="","",VLOOKUP($A280,Salta!$A$8:$O$291,4,FALSE))</f>
        <v>129
37
250
440
249</v>
      </c>
      <c r="M280" s="9" t="str">
        <f>IF(VLOOKUP($A280,Salta!$A$8:$O$291,5,FALSE)="","",VLOOKUP($A280,Salta!$A$8:$O$291,5,FALSE))</f>
        <v>Gasas 10 x 10
Apósitos estériles
Vendas de 5 cm
Venda de 7 cm
Vendas de 10 cm</v>
      </c>
      <c r="N280" s="9" t="str">
        <f>IF(VLOOKUP($A280,Salta!$A$8:$O$291,7,FALSE)="","",VLOOKUP($A280,Salta!$A$8:$O$291,7,FALSE))</f>
        <v>Media</v>
      </c>
      <c r="O280" s="9" t="str">
        <f>IF(VLOOKUP($A280,Salta!$A$8:$O$291,6,FALSE)="","",VLOOKUP($A280,Salta!$A$8:$O$291,6,FALSE))</f>
        <v>Revisar grupo</v>
      </c>
      <c r="P280" s="24" t="str">
        <f>IF(VLOOKUP($A280,Neuquén!$A$8:$O$291,15,FALSE)="Homologado",VLOOKUP($A280,Neuquén!$A$8:$O$291,10,FALSE),"")</f>
        <v/>
      </c>
      <c r="Q280" s="24" t="str">
        <f>IF(VLOOKUP($A280,'San Juan'!$A$8:$O$291,15,FALSE)="Homologado",VLOOKUP($A280,'San Juan'!$A$8:$O$291,10,FALSE),"")</f>
        <v/>
      </c>
      <c r="R280" s="24" t="str">
        <f>IF(VLOOKUP($A280,Salta!$A$8:$O$291,15,FALSE)="Homologado",VLOOKUP($A280,Salta!$A$8:$O$291,10,FALSE),"")</f>
        <v/>
      </c>
      <c r="S280" s="24" t="str">
        <f>IF(VLOOKUP($A280,'Master vs SAP'!$A$8:$O$291,4,FALSE)="","",VLOOKUP($A280,'Master vs SAP'!$A$8:$O$291,4,FALSE))</f>
        <v>2000900
2000354
2000080
2000079</v>
      </c>
      <c r="T280" s="9" t="str">
        <f>IF(VLOOKUP($A280,'Master vs SAP'!$A$8:$O$291,5,FALSE)="","",VLOOKUP($A280,'Master vs SAP'!$A$8:$O$291,5,FALSE))</f>
        <v>GASA ESTERIL 10X10CM
APOSITO ESTERIL (G+A) 10X20CM
VENDA TIPO CAMBRIC X 5 CM
VENDA TIPO CAMBRIC X 10 CM</v>
      </c>
      <c r="U280" s="9" t="str">
        <f>IF(VLOOKUP($A280,'Master vs SAP'!$A$8:$O$291,7,FALSE)="","",VLOOKUP($A280,'Master vs SAP'!$A$8:$O$291,7,FALSE))</f>
        <v>Media</v>
      </c>
      <c r="V280" s="9" t="str">
        <f>IF(VLOOKUP($A280,'Master vs SAP'!$A$8:$O$291,6,FALSE)="","",VLOOKUP($A280,'Master vs SAP'!$A$8:$O$291,6,FALSE))</f>
        <v>Revisar grupo</v>
      </c>
      <c r="W280" s="24" t="str">
        <f>IF(VLOOKUP($A280,'Master vs SAP'!$A$8:$O$291,15,FALSE)="Homologado",VLOOKUP($A280,'Master vs SAP'!$A$8:$O$291,10,FALSE),"")</f>
        <v/>
      </c>
    </row>
    <row r="281" spans="1:23" ht="61.95" customHeight="1">
      <c r="A281" s="9" t="s">
        <v>648</v>
      </c>
      <c r="B281" s="9" t="s">
        <v>537</v>
      </c>
      <c r="C281" s="9" t="s">
        <v>649</v>
      </c>
      <c r="D281" s="24" t="str">
        <f>IF(VLOOKUP($A281,Neuquén!$A$8:$O$291,4,FALSE)="","",VLOOKUP($A281,Neuquén!$A$8:$O$291,4,FALSE))</f>
        <v>303</v>
      </c>
      <c r="E281" s="9" t="str">
        <f>IF(VLOOKUP($A281,Neuquén!$A$8:$O$291,5,FALSE)="","",VLOOKUP($A281,Neuquén!$A$8:$O$291,5,FALSE))</f>
        <v>TORNIQUETE</v>
      </c>
      <c r="F281" s="9" t="str">
        <f>IF(VLOOKUP($A281,Neuquén!$A$8:$O$291,7,FALSE)="","",VLOOKUP($A281,Neuquén!$A$8:$O$291,7,FALSE))</f>
        <v>Media</v>
      </c>
      <c r="G281" s="9" t="str">
        <f>IF(VLOOKUP($A281,Neuquén!$A$8:$O$291,6,FALSE)="","",VLOOKUP($A281,Neuquén!$A$8:$O$291,6,FALSE))</f>
        <v>Código compartido: revisar</v>
      </c>
      <c r="H281" s="24" t="str">
        <f>IF(VLOOKUP($A281,'San Juan'!$A$8:$O$291,4,FALSE)="","",VLOOKUP($A281,'San Juan'!$A$8:$O$291,4,FALSE))</f>
        <v/>
      </c>
      <c r="I281" s="9" t="str">
        <f>IF(VLOOKUP($A281,'San Juan'!$A$8:$O$291,5,FALSE)="","",VLOOKUP($A281,'San Juan'!$A$8:$O$291,5,FALSE))</f>
        <v/>
      </c>
      <c r="J281" s="9" t="str">
        <f>IF(VLOOKUP($A281,'San Juan'!$A$8:$O$291,7,FALSE)="","",VLOOKUP($A281,'San Juan'!$A$8:$O$291,7,FALSE))</f>
        <v>Sin coincidencia</v>
      </c>
      <c r="K281" s="9" t="str">
        <f>IF(VLOOKUP($A281,'San Juan'!$A$8:$O$291,6,FALSE)="","",VLOOKUP($A281,'San Juan'!$A$8:$O$291,6,FALSE))</f>
        <v>Sin código encontrado</v>
      </c>
      <c r="L281" s="24" t="str">
        <f>IF(VLOOKUP($A281,Salta!$A$8:$O$291,4,FALSE)="","",VLOOKUP($A281,Salta!$A$8:$O$291,4,FALSE))</f>
        <v>401
434</v>
      </c>
      <c r="M281" s="9" t="str">
        <f>IF(VLOOKUP($A281,Salta!$A$8:$O$291,5,FALSE)="","",VLOOKUP($A281,Salta!$A$8:$O$291,5,FALSE))</f>
        <v>Torniquete
Tijera de  trauma 18cm</v>
      </c>
      <c r="N281" s="9" t="str">
        <f>IF(VLOOKUP($A281,Salta!$A$8:$O$291,7,FALSE)="","",VLOOKUP($A281,Salta!$A$8:$O$291,7,FALSE))</f>
        <v>Media</v>
      </c>
      <c r="O281" s="9" t="str">
        <f>IF(VLOOKUP($A281,Salta!$A$8:$O$291,6,FALSE)="","",VLOOKUP($A281,Salta!$A$8:$O$291,6,FALSE))</f>
        <v>Revisar grupo</v>
      </c>
      <c r="P281" s="24" t="str">
        <f>IF(VLOOKUP($A281,Neuquén!$A$8:$O$291,15,FALSE)="Homologado",VLOOKUP($A281,Neuquén!$A$8:$O$291,10,FALSE),"")</f>
        <v/>
      </c>
      <c r="Q281" s="24" t="str">
        <f>IF(VLOOKUP($A281,'San Juan'!$A$8:$O$291,15,FALSE)="Homologado",VLOOKUP($A281,'San Juan'!$A$8:$O$291,10,FALSE),"")</f>
        <v/>
      </c>
      <c r="R281" s="24" t="str">
        <f>IF(VLOOKUP($A281,Salta!$A$8:$O$291,15,FALSE)="Homologado",VLOOKUP($A281,Salta!$A$8:$O$291,10,FALSE),"")</f>
        <v/>
      </c>
      <c r="S281" s="24" t="str">
        <f>IF(VLOOKUP($A281,'Master vs SAP'!$A$8:$O$291,4,FALSE)="","",VLOOKUP($A281,'Master vs SAP'!$A$8:$O$291,4,FALSE))</f>
        <v>2000553
2000209</v>
      </c>
      <c r="T281" s="9" t="str">
        <f>IF(VLOOKUP($A281,'Master vs SAP'!$A$8:$O$291,5,FALSE)="","",VLOOKUP($A281,'Master vs SAP'!$A$8:$O$291,5,FALSE))</f>
        <v>TORNIQUETE TACTICO
TIJERA  PARA VENDAJES  (TRAUMA)</v>
      </c>
      <c r="U281" s="9" t="str">
        <f>IF(VLOOKUP($A281,'Master vs SAP'!$A$8:$O$291,7,FALSE)="","",VLOOKUP($A281,'Master vs SAP'!$A$8:$O$291,7,FALSE))</f>
        <v>Media</v>
      </c>
      <c r="V281" s="9" t="str">
        <f>IF(VLOOKUP($A281,'Master vs SAP'!$A$8:$O$291,6,FALSE)="","",VLOOKUP($A281,'Master vs SAP'!$A$8:$O$291,6,FALSE))</f>
        <v>Revisar grupo</v>
      </c>
      <c r="W281" s="24" t="str">
        <f>IF(VLOOKUP($A281,'Master vs SAP'!$A$8:$O$291,15,FALSE)="Homologado",VLOOKUP($A281,'Master vs SAP'!$A$8:$O$291,10,FALSE),"")</f>
        <v/>
      </c>
    </row>
    <row r="282" spans="1:23" ht="61.95" customHeight="1">
      <c r="A282" s="9" t="s">
        <v>650</v>
      </c>
      <c r="B282" s="9" t="s">
        <v>537</v>
      </c>
      <c r="C282" s="9" t="s">
        <v>651</v>
      </c>
      <c r="D282" s="24" t="str">
        <f>IF(VLOOKUP($A282,Neuquén!$A$8:$O$291,4,FALSE)="","",VLOOKUP($A282,Neuquén!$A$8:$O$291,4,FALSE))</f>
        <v>553</v>
      </c>
      <c r="E282" s="9" t="str">
        <f>IF(VLOOKUP($A282,Neuquén!$A$8:$O$291,5,FALSE)="","",VLOOKUP($A282,Neuquén!$A$8:$O$291,5,FALSE))</f>
        <v>Gasa hemostática</v>
      </c>
      <c r="F282" s="9" t="str">
        <f>IF(VLOOKUP($A282,Neuquén!$A$8:$O$291,7,FALSE)="","",VLOOKUP($A282,Neuquén!$A$8:$O$291,7,FALSE))</f>
        <v>Sin coincidencia</v>
      </c>
      <c r="G282" s="9" t="str">
        <f>IF(VLOOKUP($A282,Neuquén!$A$8:$O$291,6,FALSE)="","",VLOOKUP($A282,Neuquén!$A$8:$O$291,6,FALSE))</f>
        <v>Código sin equivalencia validada</v>
      </c>
      <c r="H282" s="24" t="str">
        <f>IF(VLOOKUP($A282,'San Juan'!$A$8:$O$291,4,FALSE)="","",VLOOKUP($A282,'San Juan'!$A$8:$O$291,4,FALSE))</f>
        <v/>
      </c>
      <c r="I282" s="9" t="str">
        <f>IF(VLOOKUP($A282,'San Juan'!$A$8:$O$291,5,FALSE)="","",VLOOKUP($A282,'San Juan'!$A$8:$O$291,5,FALSE))</f>
        <v/>
      </c>
      <c r="J282" s="9" t="str">
        <f>IF(VLOOKUP($A282,'San Juan'!$A$8:$O$291,7,FALSE)="","",VLOOKUP($A282,'San Juan'!$A$8:$O$291,7,FALSE))</f>
        <v>Sin coincidencia</v>
      </c>
      <c r="K282" s="9" t="str">
        <f>IF(VLOOKUP($A282,'San Juan'!$A$8:$O$291,6,FALSE)="","",VLOOKUP($A282,'San Juan'!$A$8:$O$291,6,FALSE))</f>
        <v>Sin código encontrado</v>
      </c>
      <c r="L282" s="24" t="str">
        <f>IF(VLOOKUP($A282,Salta!$A$8:$O$291,4,FALSE)="","",VLOOKUP($A282,Salta!$A$8:$O$291,4,FALSE))</f>
        <v>331</v>
      </c>
      <c r="M282" s="9" t="str">
        <f>IF(VLOOKUP($A282,Salta!$A$8:$O$291,5,FALSE)="","",VLOOKUP($A282,Salta!$A$8:$O$291,5,FALSE))</f>
        <v>Gasas Hemostaticas 10x20cm</v>
      </c>
      <c r="N282" s="9" t="str">
        <f>IF(VLOOKUP($A282,Salta!$A$8:$O$291,7,FALSE)="","",VLOOKUP($A282,Salta!$A$8:$O$291,7,FALSE))</f>
        <v>Alta</v>
      </c>
      <c r="O282" s="9" t="str">
        <f>IF(VLOOKUP($A282,Salta!$A$8:$O$291,6,FALSE)="","",VLOOKUP($A282,Salta!$A$8:$O$291,6,FALSE))</f>
        <v>Coincidencia</v>
      </c>
      <c r="P282" s="24" t="str">
        <f>IF(VLOOKUP($A282,Neuquén!$A$8:$O$291,15,FALSE)="Homologado",VLOOKUP($A282,Neuquén!$A$8:$O$291,10,FALSE),"")</f>
        <v/>
      </c>
      <c r="Q282" s="24" t="str">
        <f>IF(VLOOKUP($A282,'San Juan'!$A$8:$O$291,15,FALSE)="Homologado",VLOOKUP($A282,'San Juan'!$A$8:$O$291,10,FALSE),"")</f>
        <v/>
      </c>
      <c r="R282" s="24" t="str">
        <f>IF(VLOOKUP($A282,Salta!$A$8:$O$291,15,FALSE)="Homologado",VLOOKUP($A282,Salta!$A$8:$O$291,10,FALSE),"")</f>
        <v/>
      </c>
      <c r="S282" s="24" t="str">
        <f>IF(VLOOKUP($A282,'Master vs SAP'!$A$8:$O$291,4,FALSE)="","",VLOOKUP($A282,'Master vs SAP'!$A$8:$O$291,4,FALSE))</f>
        <v>2001545
2001546</v>
      </c>
      <c r="T282" s="9" t="str">
        <f>IF(VLOOKUP($A282,'Master vs SAP'!$A$8:$O$291,5,FALSE)="","",VLOOKUP($A282,'Master vs SAP'!$A$8:$O$291,5,FALSE))</f>
        <v>APOSITO CHITOSAM 3X4 CT100-B-EN
APOSITO CHITOSAM 3X6 CT100-C-EN</v>
      </c>
      <c r="U282" s="9" t="str">
        <f>IF(VLOOKUP($A282,'Master vs SAP'!$A$8:$O$291,7,FALSE)="","",VLOOKUP($A282,'Master vs SAP'!$A$8:$O$291,7,FALSE))</f>
        <v>Alta</v>
      </c>
      <c r="V282" s="9" t="str">
        <f>IF(VLOOKUP($A282,'Master vs SAP'!$A$8:$O$291,6,FALSE)="","",VLOOKUP($A282,'Master vs SAP'!$A$8:$O$291,6,FALSE))</f>
        <v>Coincidencia</v>
      </c>
      <c r="W282" s="24" t="str">
        <f>IF(VLOOKUP($A282,'Master vs SAP'!$A$8:$O$291,15,FALSE)="Homologado",VLOOKUP($A282,'Master vs SAP'!$A$8:$O$291,10,FALSE),"")</f>
        <v/>
      </c>
    </row>
    <row r="283" spans="1:23" ht="109.95" customHeight="1">
      <c r="A283" s="9" t="s">
        <v>652</v>
      </c>
      <c r="B283" s="9" t="s">
        <v>537</v>
      </c>
      <c r="C283" s="9" t="s">
        <v>653</v>
      </c>
      <c r="D283" s="24" t="str">
        <f>IF(VLOOKUP($A283,Neuquén!$A$8:$O$291,4,FALSE)="","",VLOOKUP($A283,Neuquén!$A$8:$O$291,4,FALSE))</f>
        <v>281</v>
      </c>
      <c r="E283" s="9" t="str">
        <f>IF(VLOOKUP($A283,Neuquén!$A$8:$O$291,5,FALSE)="","",VLOOKUP($A283,Neuquén!$A$8:$O$291,5,FALSE))</f>
        <v>GuantesnoesterilesL</v>
      </c>
      <c r="F283" s="9" t="str">
        <f>IF(VLOOKUP($A283,Neuquén!$A$8:$O$291,7,FALSE)="","",VLOOKUP($A283,Neuquén!$A$8:$O$291,7,FALSE))</f>
        <v>Media</v>
      </c>
      <c r="G283" s="9" t="str">
        <f>IF(VLOOKUP($A283,Neuquén!$A$8:$O$291,6,FALSE)="","",VLOOKUP($A283,Neuquén!$A$8:$O$291,6,FALSE))</f>
        <v>Equivalencia a revisar</v>
      </c>
      <c r="H283" s="24" t="str">
        <f>IF(VLOOKUP($A283,'San Juan'!$A$8:$O$291,4,FALSE)="","",VLOOKUP($A283,'San Juan'!$A$8:$O$291,4,FALSE))</f>
        <v>32</v>
      </c>
      <c r="I283" s="9" t="str">
        <f>IF(VLOOKUP($A283,'San Juan'!$A$8:$O$291,5,FALSE)="","",VLOOKUP($A283,'San Juan'!$A$8:$O$291,5,FALSE))</f>
        <v>GUANTES DE EXAMINACIÓN TALLE S</v>
      </c>
      <c r="J283" s="9" t="str">
        <f>IF(VLOOKUP($A283,'San Juan'!$A$8:$O$291,7,FALSE)="","",VLOOKUP($A283,'San Juan'!$A$8:$O$291,7,FALSE))</f>
        <v>Baja</v>
      </c>
      <c r="K283" s="9" t="str">
        <f>IF(VLOOKUP($A283,'San Juan'!$A$8:$O$291,6,FALSE)="","",VLOOKUP($A283,'San Juan'!$A$8:$O$291,6,FALSE))</f>
        <v>Código compartido: revisar</v>
      </c>
      <c r="L283" s="24" t="str">
        <f>IF(VLOOKUP($A283,Salta!$A$8:$O$291,4,FALSE)="","",VLOOKUP($A283,Salta!$A$8:$O$291,4,FALSE))</f>
        <v>138
133
135
134</v>
      </c>
      <c r="M283" s="9" t="str">
        <f>IF(VLOOKUP($A283,Salta!$A$8:$O$291,5,FALSE)="","",VLOOKUP($A283,Salta!$A$8:$O$291,5,FALSE))</f>
        <v>Guantes Estériles 8.0
Guantes de latex chico no esteriles
Guantes de latex mediano no esteril
Guantes de latex grande no esteril</v>
      </c>
      <c r="N283" s="9" t="str">
        <f>IF(VLOOKUP($A283,Salta!$A$8:$O$291,7,FALSE)="","",VLOOKUP($A283,Salta!$A$8:$O$291,7,FALSE))</f>
        <v>Media</v>
      </c>
      <c r="O283" s="9" t="str">
        <f>IF(VLOOKUP($A283,Salta!$A$8:$O$291,6,FALSE)="","",VLOOKUP($A283,Salta!$A$8:$O$291,6,FALSE))</f>
        <v>Revisar grupo</v>
      </c>
      <c r="P283" s="24" t="str">
        <f>IF(VLOOKUP($A283,Neuquén!$A$8:$O$291,15,FALSE)="Homologado",VLOOKUP($A283,Neuquén!$A$8:$O$291,10,FALSE),"")</f>
        <v/>
      </c>
      <c r="Q283" s="24" t="str">
        <f>IF(VLOOKUP($A283,'San Juan'!$A$8:$O$291,15,FALSE)="Homologado",VLOOKUP($A283,'San Juan'!$A$8:$O$291,10,FALSE),"")</f>
        <v/>
      </c>
      <c r="R283" s="24" t="str">
        <f>IF(VLOOKUP($A283,Salta!$A$8:$O$291,15,FALSE)="Homologado",VLOOKUP($A283,Salta!$A$8:$O$291,10,FALSE),"")</f>
        <v/>
      </c>
      <c r="S283" s="24" t="str">
        <f>IF(VLOOKUP($A283,'Master vs SAP'!$A$8:$O$291,4,FALSE)="","",VLOOKUP($A283,'Master vs SAP'!$A$8:$O$291,4,FALSE))</f>
        <v>2000156
2002459
2000022
2000270
2000158
2000157</v>
      </c>
      <c r="T283" s="9" t="str">
        <f>IF(VLOOKUP($A283,'Master vs SAP'!$A$8:$O$291,5,FALSE)="","",VLOOKUP($A283,'Master vs SAP'!$A$8:$O$291,5,FALSE))</f>
        <v>GUANTES ESTERILES Nº 7 POR PAR
GUANTE ESTERIL Nº 7
GUANTES ESTERILES Nº 8 POR PAR
GUANTES DE EXAMINACION TALLE S
GUANTES DE EXAMINACIÓN TALLE M
GUANTES DE EXAMINACIÓN TALLE L</v>
      </c>
      <c r="U283" s="9" t="str">
        <f>IF(VLOOKUP($A283,'Master vs SAP'!$A$8:$O$291,7,FALSE)="","",VLOOKUP($A283,'Master vs SAP'!$A$8:$O$291,7,FALSE))</f>
        <v>Media</v>
      </c>
      <c r="V283" s="9" t="str">
        <f>IF(VLOOKUP($A283,'Master vs SAP'!$A$8:$O$291,6,FALSE)="","",VLOOKUP($A283,'Master vs SAP'!$A$8:$O$291,6,FALSE))</f>
        <v>Revisar grupo</v>
      </c>
      <c r="W283" s="24" t="str">
        <f>IF(VLOOKUP($A283,'Master vs SAP'!$A$8:$O$291,15,FALSE)="Homologado",VLOOKUP($A283,'Master vs SAP'!$A$8:$O$291,10,FALSE),"")</f>
        <v/>
      </c>
    </row>
    <row r="284" spans="1:23" ht="61.95" customHeight="1">
      <c r="A284" s="9" t="s">
        <v>654</v>
      </c>
      <c r="B284" s="9" t="s">
        <v>537</v>
      </c>
      <c r="C284" s="9" t="s">
        <v>655</v>
      </c>
      <c r="D284" s="24" t="str">
        <f>IF(VLOOKUP($A284,Neuquén!$A$8:$O$291,4,FALSE)="","",VLOOKUP($A284,Neuquén!$A$8:$O$291,4,FALSE))</f>
        <v>424</v>
      </c>
      <c r="E284" s="9" t="str">
        <f>IF(VLOOKUP($A284,Neuquén!$A$8:$O$291,5,FALSE)="","",VLOOKUP($A284,Neuquén!$A$8:$O$291,5,FALSE))</f>
        <v>TIJERA MULTIUSO</v>
      </c>
      <c r="F284" s="9" t="str">
        <f>IF(VLOOKUP($A284,Neuquén!$A$8:$O$291,7,FALSE)="","",VLOOKUP($A284,Neuquén!$A$8:$O$291,7,FALSE))</f>
        <v>Baja</v>
      </c>
      <c r="G284" s="9" t="str">
        <f>IF(VLOOKUP($A284,Neuquén!$A$8:$O$291,6,FALSE)="","",VLOOKUP($A284,Neuquén!$A$8:$O$291,6,FALSE))</f>
        <v>Producto distinto</v>
      </c>
      <c r="H284" s="24" t="str">
        <f>IF(VLOOKUP($A284,'San Juan'!$A$8:$O$291,4,FALSE)="","",VLOOKUP($A284,'San Juan'!$A$8:$O$291,4,FALSE))</f>
        <v/>
      </c>
      <c r="I284" s="9" t="str">
        <f>IF(VLOOKUP($A284,'San Juan'!$A$8:$O$291,5,FALSE)="","",VLOOKUP($A284,'San Juan'!$A$8:$O$291,5,FALSE))</f>
        <v/>
      </c>
      <c r="J284" s="9" t="str">
        <f>IF(VLOOKUP($A284,'San Juan'!$A$8:$O$291,7,FALSE)="","",VLOOKUP($A284,'San Juan'!$A$8:$O$291,7,FALSE))</f>
        <v>Sin coincidencia</v>
      </c>
      <c r="K284" s="9" t="str">
        <f>IF(VLOOKUP($A284,'San Juan'!$A$8:$O$291,6,FALSE)="","",VLOOKUP($A284,'San Juan'!$A$8:$O$291,6,FALSE))</f>
        <v>Sin código encontrado</v>
      </c>
      <c r="L284" s="24" t="str">
        <f>IF(VLOOKUP($A284,Salta!$A$8:$O$291,4,FALSE)="","",VLOOKUP($A284,Salta!$A$8:$O$291,4,FALSE))</f>
        <v/>
      </c>
      <c r="M284" s="9" t="str">
        <f>IF(VLOOKUP($A284,Salta!$A$8:$O$291,5,FALSE)="","",VLOOKUP($A284,Salta!$A$8:$O$291,5,FALSE))</f>
        <v/>
      </c>
      <c r="N284" s="9" t="str">
        <f>IF(VLOOKUP($A284,Salta!$A$8:$O$291,7,FALSE)="","",VLOOKUP($A284,Salta!$A$8:$O$291,7,FALSE))</f>
        <v>Sin coincidencia</v>
      </c>
      <c r="O284" s="9" t="str">
        <f>IF(VLOOKUP($A284,Salta!$A$8:$O$291,6,FALSE)="","",VLOOKUP($A284,Salta!$A$8:$O$291,6,FALSE))</f>
        <v>Sin coincidencia</v>
      </c>
      <c r="P284" s="24" t="str">
        <f>IF(VLOOKUP($A284,Neuquén!$A$8:$O$291,15,FALSE)="Homologado",VLOOKUP($A284,Neuquén!$A$8:$O$291,10,FALSE),"")</f>
        <v/>
      </c>
      <c r="Q284" s="24" t="str">
        <f>IF(VLOOKUP($A284,'San Juan'!$A$8:$O$291,15,FALSE)="Homologado",VLOOKUP($A284,'San Juan'!$A$8:$O$291,10,FALSE),"")</f>
        <v/>
      </c>
      <c r="R284" s="24" t="str">
        <f>IF(VLOOKUP($A284,Salta!$A$8:$O$291,15,FALSE)="Homologado",VLOOKUP($A284,Salta!$A$8:$O$291,10,FALSE),"")</f>
        <v/>
      </c>
      <c r="S284" s="24" t="str">
        <f>IF(VLOOKUP($A284,'Master vs SAP'!$A$8:$O$291,4,FALSE)="","",VLOOKUP($A284,'Master vs SAP'!$A$8:$O$291,4,FALSE))</f>
        <v/>
      </c>
      <c r="T284" s="9" t="str">
        <f>IF(VLOOKUP($A284,'Master vs SAP'!$A$8:$O$291,5,FALSE)="","",VLOOKUP($A284,'Master vs SAP'!$A$8:$O$291,5,FALSE))</f>
        <v/>
      </c>
      <c r="U284" s="9" t="str">
        <f>IF(VLOOKUP($A284,'Master vs SAP'!$A$8:$O$291,7,FALSE)="","",VLOOKUP($A284,'Master vs SAP'!$A$8:$O$291,7,FALSE))</f>
        <v>Sin coincidencia</v>
      </c>
      <c r="V284" s="9" t="str">
        <f>IF(VLOOKUP($A284,'Master vs SAP'!$A$8:$O$291,6,FALSE)="","",VLOOKUP($A284,'Master vs SAP'!$A$8:$O$291,6,FALSE))</f>
        <v>Sin coincidencia</v>
      </c>
      <c r="W284" s="24" t="str">
        <f>IF(VLOOKUP($A284,'Master vs SAP'!$A$8:$O$291,15,FALSE)="Homologado",VLOOKUP($A284,'Master vs SAP'!$A$8:$O$291,10,FALSE),"")</f>
        <v/>
      </c>
    </row>
    <row r="285" spans="1:23" ht="174" customHeight="1">
      <c r="A285" s="9" t="s">
        <v>656</v>
      </c>
      <c r="B285" s="9" t="s">
        <v>537</v>
      </c>
      <c r="C285" s="9" t="s">
        <v>657</v>
      </c>
      <c r="D285" s="24" t="str">
        <f>IF(VLOOKUP($A285,Neuquén!$A$8:$O$291,4,FALSE)="","",VLOOKUP($A285,Neuquén!$A$8:$O$291,4,FALSE))</f>
        <v>274</v>
      </c>
      <c r="E285" s="9" t="str">
        <f>IF(VLOOKUP($A285,Neuquén!$A$8:$O$291,5,FALSE)="","",VLOOKUP($A285,Neuquén!$A$8:$O$291,5,FALSE))</f>
        <v>Guantesn°7</v>
      </c>
      <c r="F285" s="9" t="str">
        <f>IF(VLOOKUP($A285,Neuquén!$A$8:$O$291,7,FALSE)="","",VLOOKUP($A285,Neuquén!$A$8:$O$291,7,FALSE))</f>
        <v>Media</v>
      </c>
      <c r="G285" s="9" t="str">
        <f>IF(VLOOKUP($A285,Neuquén!$A$8:$O$291,6,FALSE)="","",VLOOKUP($A285,Neuquén!$A$8:$O$291,6,FALSE))</f>
        <v>Código compartido: revisar</v>
      </c>
      <c r="H285" s="24" t="str">
        <f>IF(VLOOKUP($A285,'San Juan'!$A$8:$O$291,4,FALSE)="","",VLOOKUP($A285,'San Juan'!$A$8:$O$291,4,FALSE))</f>
        <v>DESC67</v>
      </c>
      <c r="I285" s="9" t="str">
        <f>IF(VLOOKUP($A285,'San Juan'!$A$8:$O$291,5,FALSE)="","",VLOOKUP($A285,'San Juan'!$A$8:$O$291,5,FALSE))</f>
        <v>Guantes de examinacion G c/u</v>
      </c>
      <c r="J285" s="9" t="str">
        <f>IF(VLOOKUP($A285,'San Juan'!$A$8:$O$291,7,FALSE)="","",VLOOKUP($A285,'San Juan'!$A$8:$O$291,7,FALSE))</f>
        <v>Media</v>
      </c>
      <c r="K285" s="9" t="str">
        <f>IF(VLOOKUP($A285,'San Juan'!$A$8:$O$291,6,FALSE)="","",VLOOKUP($A285,'San Juan'!$A$8:$O$291,6,FALSE))</f>
        <v>Código compartido: revisar</v>
      </c>
      <c r="L285" s="24" t="str">
        <f>IF(VLOOKUP($A285,Salta!$A$8:$O$291,4,FALSE)="","",VLOOKUP($A285,Salta!$A$8:$O$291,4,FALSE))</f>
        <v>133
135
134
136
137
138</v>
      </c>
      <c r="M285" s="9" t="str">
        <f>IF(VLOOKUP($A285,Salta!$A$8:$O$291,5,FALSE)="","",VLOOKUP($A285,Salta!$A$8:$O$291,5,FALSE))</f>
        <v>Guantes de latex chico no esteriles
Guantes de latex mediano no esteril
Guantes de latex grande no esteril
Guantes estériles 6.5
Guantes esteriles 7.5
Guantes Estériles 8.0</v>
      </c>
      <c r="N285" s="9" t="str">
        <f>IF(VLOOKUP($A285,Salta!$A$8:$O$291,7,FALSE)="","",VLOOKUP($A285,Salta!$A$8:$O$291,7,FALSE))</f>
        <v>Media</v>
      </c>
      <c r="O285" s="9" t="str">
        <f>IF(VLOOKUP($A285,Salta!$A$8:$O$291,6,FALSE)="","",VLOOKUP($A285,Salta!$A$8:$O$291,6,FALSE))</f>
        <v>Revisar grupo</v>
      </c>
      <c r="P285" s="24" t="str">
        <f>IF(VLOOKUP($A285,Neuquén!$A$8:$O$291,15,FALSE)="Homologado",VLOOKUP($A285,Neuquén!$A$8:$O$291,10,FALSE),"")</f>
        <v/>
      </c>
      <c r="Q285" s="24" t="str">
        <f>IF(VLOOKUP($A285,'San Juan'!$A$8:$O$291,15,FALSE)="Homologado",VLOOKUP($A285,'San Juan'!$A$8:$O$291,10,FALSE),"")</f>
        <v/>
      </c>
      <c r="R285" s="24" t="str">
        <f>IF(VLOOKUP($A285,Salta!$A$8:$O$291,15,FALSE)="Homologado",VLOOKUP($A285,Salta!$A$8:$O$291,10,FALSE),"")</f>
        <v/>
      </c>
      <c r="S285" s="24" t="str">
        <f>IF(VLOOKUP($A285,'Master vs SAP'!$A$8:$O$291,4,FALSE)="","",VLOOKUP($A285,'Master vs SAP'!$A$8:$O$291,4,FALSE))</f>
        <v>2000270
2000158
2000157
2000794
2001761
2000156
2002459
2000021
2000022
2000089</v>
      </c>
      <c r="T285" s="9" t="str">
        <f>IF(VLOOKUP($A285,'Master vs SAP'!$A$8:$O$291,5,FALSE)="","",VLOOKUP($A285,'Master vs SAP'!$A$8:$O$291,5,FALSE))</f>
        <v>GUANTES DE EXAMINACION TALLE S
GUANTES DE EXAMINACIÓN TALLE M
GUANTES DE EXAMINACIÓN TALLE L
GUANTES ESTERILES Nº 6 POR PAR
GUANTES ESTERILES Nº 6.5 POR PAR
GUANTES ESTERILES Nº 7 POR PAR
GUANTE ESTERIL Nº 7
GUANTES ESTERILES Nº 7.5 POR PAR
GUANTES ESTERILES Nº 8 POR PAR
GUANTES ESTERILES Nº 8.5 POR PAR</v>
      </c>
      <c r="U285" s="9" t="str">
        <f>IF(VLOOKUP($A285,'Master vs SAP'!$A$8:$O$291,7,FALSE)="","",VLOOKUP($A285,'Master vs SAP'!$A$8:$O$291,7,FALSE))</f>
        <v>Media</v>
      </c>
      <c r="V285" s="9" t="str">
        <f>IF(VLOOKUP($A285,'Master vs SAP'!$A$8:$O$291,6,FALSE)="","",VLOOKUP($A285,'Master vs SAP'!$A$8:$O$291,6,FALSE))</f>
        <v>Revisar grupo</v>
      </c>
      <c r="W285" s="24" t="str">
        <f>IF(VLOOKUP($A285,'Master vs SAP'!$A$8:$O$291,15,FALSE)="Homologado",VLOOKUP($A285,'Master vs SAP'!$A$8:$O$291,10,FALSE),"")</f>
        <v/>
      </c>
    </row>
    <row r="286" spans="1:23" ht="94.05" customHeight="1">
      <c r="A286" s="9" t="s">
        <v>658</v>
      </c>
      <c r="B286" s="9" t="s">
        <v>537</v>
      </c>
      <c r="C286" s="9" t="s">
        <v>659</v>
      </c>
      <c r="D286" s="24" t="str">
        <f>IF(VLOOKUP($A286,Neuquén!$A$8:$O$291,4,FALSE)="","",VLOOKUP($A286,Neuquén!$A$8:$O$291,4,FALSE))</f>
        <v>338</v>
      </c>
      <c r="E286" s="9" t="str">
        <f>IF(VLOOKUP($A286,Neuquén!$A$8:$O$291,5,FALSE)="","",VLOOKUP($A286,Neuquén!$A$8:$O$291,5,FALSE))</f>
        <v>BARBIJOS</v>
      </c>
      <c r="F286" s="9" t="str">
        <f>IF(VLOOKUP($A286,Neuquén!$A$8:$O$291,7,FALSE)="","",VLOOKUP($A286,Neuquén!$A$8:$O$291,7,FALSE))</f>
        <v>Media</v>
      </c>
      <c r="G286" s="9" t="str">
        <f>IF(VLOOKUP($A286,Neuquén!$A$8:$O$291,6,FALSE)="","",VLOOKUP($A286,Neuquén!$A$8:$O$291,6,FALSE))</f>
        <v>Código compartido: revisar</v>
      </c>
      <c r="H286" s="24" t="str">
        <f>IF(VLOOKUP($A286,'San Juan'!$A$8:$O$291,4,FALSE)="","",VLOOKUP($A286,'San Juan'!$A$8:$O$291,4,FALSE))</f>
        <v>DESC24</v>
      </c>
      <c r="I286" s="9" t="str">
        <f>IF(VLOOKUP($A286,'San Juan'!$A$8:$O$291,5,FALSE)="","",VLOOKUP($A286,'San Juan'!$A$8:$O$291,5,FALSE))</f>
        <v>Barbijos N95 c/válvula</v>
      </c>
      <c r="J286" s="9" t="str">
        <f>IF(VLOOKUP($A286,'San Juan'!$A$8:$O$291,7,FALSE)="","",VLOOKUP($A286,'San Juan'!$A$8:$O$291,7,FALSE))</f>
        <v>Media</v>
      </c>
      <c r="K286" s="9" t="str">
        <f>IF(VLOOKUP($A286,'San Juan'!$A$8:$O$291,6,FALSE)="","",VLOOKUP($A286,'San Juan'!$A$8:$O$291,6,FALSE))</f>
        <v>Código compartido: revisar</v>
      </c>
      <c r="L286" s="24" t="str">
        <f>IF(VLOOKUP($A286,Salta!$A$8:$O$291,4,FALSE)="","",VLOOKUP($A286,Salta!$A$8:$O$291,4,FALSE))</f>
        <v>43
403</v>
      </c>
      <c r="M286" s="9" t="str">
        <f>IF(VLOOKUP($A286,Salta!$A$8:$O$291,5,FALSE)="","",VLOOKUP($A286,Salta!$A$8:$O$291,5,FALSE))</f>
        <v>Barbijos quirúrgicos pqte 50u.
Barbijo N95</v>
      </c>
      <c r="N286" s="9" t="str">
        <f>IF(VLOOKUP($A286,Salta!$A$8:$O$291,7,FALSE)="","",VLOOKUP($A286,Salta!$A$8:$O$291,7,FALSE))</f>
        <v>Media</v>
      </c>
      <c r="O286" s="9" t="str">
        <f>IF(VLOOKUP($A286,Salta!$A$8:$O$291,6,FALSE)="","",VLOOKUP($A286,Salta!$A$8:$O$291,6,FALSE))</f>
        <v>Revisar grupo</v>
      </c>
      <c r="P286" s="24" t="str">
        <f>IF(VLOOKUP($A286,Neuquén!$A$8:$O$291,15,FALSE)="Homologado",VLOOKUP($A286,Neuquén!$A$8:$O$291,10,FALSE),"")</f>
        <v/>
      </c>
      <c r="Q286" s="24" t="str">
        <f>IF(VLOOKUP($A286,'San Juan'!$A$8:$O$291,15,FALSE)="Homologado",VLOOKUP($A286,'San Juan'!$A$8:$O$291,10,FALSE),"")</f>
        <v/>
      </c>
      <c r="R286" s="24" t="str">
        <f>IF(VLOOKUP($A286,Salta!$A$8:$O$291,15,FALSE)="Homologado",VLOOKUP($A286,Salta!$A$8:$O$291,10,FALSE),"")</f>
        <v/>
      </c>
      <c r="S286" s="24" t="str">
        <f>IF(VLOOKUP($A286,'Master vs SAP'!$A$8:$O$291,4,FALSE)="","",VLOOKUP($A286,'Master vs SAP'!$A$8:$O$291,4,FALSE))</f>
        <v>2001263
2000041
2000917
2000918
2001251</v>
      </c>
      <c r="T286" s="9" t="str">
        <f>IF(VLOOKUP($A286,'Master vs SAP'!$A$8:$O$291,5,FALSE)="","",VLOOKUP($A286,'Master vs SAP'!$A$8:$O$291,5,FALSE))</f>
        <v>BARBIJOS QUIRURGICOS IMPORTADOS
BARBIJO TRIPLE RECTO C/ELÁSTI
Barbijo 3M N95 mod 8210
Barbijo 3M Modelo 8210 Nº95V
BARBIJO KN95</v>
      </c>
      <c r="U286" s="9" t="str">
        <f>IF(VLOOKUP($A286,'Master vs SAP'!$A$8:$O$291,7,FALSE)="","",VLOOKUP($A286,'Master vs SAP'!$A$8:$O$291,7,FALSE))</f>
        <v>Media</v>
      </c>
      <c r="V286" s="9" t="str">
        <f>IF(VLOOKUP($A286,'Master vs SAP'!$A$8:$O$291,6,FALSE)="","",VLOOKUP($A286,'Master vs SAP'!$A$8:$O$291,6,FALSE))</f>
        <v>Revisar grupo</v>
      </c>
      <c r="W286" s="24" t="str">
        <f>IF(VLOOKUP($A286,'Master vs SAP'!$A$8:$O$291,15,FALSE)="Homologado",VLOOKUP($A286,'Master vs SAP'!$A$8:$O$291,10,FALSE),"")</f>
        <v/>
      </c>
    </row>
    <row r="287" spans="1:23" ht="78" customHeight="1">
      <c r="A287" s="9" t="s">
        <v>660</v>
      </c>
      <c r="B287" s="9" t="s">
        <v>537</v>
      </c>
      <c r="C287" s="9" t="s">
        <v>661</v>
      </c>
      <c r="D287" s="24" t="str">
        <f>IF(VLOOKUP($A287,Neuquén!$A$8:$O$291,4,FALSE)="","",VLOOKUP($A287,Neuquén!$A$8:$O$291,4,FALSE))</f>
        <v>471</v>
      </c>
      <c r="E287" s="9" t="str">
        <f>IF(VLOOKUP($A287,Neuquén!$A$8:$O$291,5,FALSE)="","",VLOOKUP($A287,Neuquén!$A$8:$O$291,5,FALSE))</f>
        <v>CAMISOLINES</v>
      </c>
      <c r="F287" s="9" t="str">
        <f>IF(VLOOKUP($A287,Neuquén!$A$8:$O$291,7,FALSE)="","",VLOOKUP($A287,Neuquén!$A$8:$O$291,7,FALSE))</f>
        <v>Alta</v>
      </c>
      <c r="G287" s="9" t="str">
        <f>IF(VLOOKUP($A287,Neuquén!$A$8:$O$291,6,FALSE)="","",VLOOKUP($A287,Neuquén!$A$8:$O$291,6,FALSE))</f>
        <v>Coincidencia por validar</v>
      </c>
      <c r="H287" s="24" t="str">
        <f>IF(VLOOKUP($A287,'San Juan'!$A$8:$O$291,4,FALSE)="","",VLOOKUP($A287,'San Juan'!$A$8:$O$291,4,FALSE))</f>
        <v/>
      </c>
      <c r="I287" s="9" t="str">
        <f>IF(VLOOKUP($A287,'San Juan'!$A$8:$O$291,5,FALSE)="","",VLOOKUP($A287,'San Juan'!$A$8:$O$291,5,FALSE))</f>
        <v/>
      </c>
      <c r="J287" s="9" t="str">
        <f>IF(VLOOKUP($A287,'San Juan'!$A$8:$O$291,7,FALSE)="","",VLOOKUP($A287,'San Juan'!$A$8:$O$291,7,FALSE))</f>
        <v>Sin coincidencia</v>
      </c>
      <c r="K287" s="9" t="str">
        <f>IF(VLOOKUP($A287,'San Juan'!$A$8:$O$291,6,FALSE)="","",VLOOKUP($A287,'San Juan'!$A$8:$O$291,6,FALSE))</f>
        <v>Sin código encontrado</v>
      </c>
      <c r="L287" s="24" t="str">
        <f>IF(VLOOKUP($A287,Salta!$A$8:$O$291,4,FALSE)="","",VLOOKUP($A287,Salta!$A$8:$O$291,4,FALSE))</f>
        <v/>
      </c>
      <c r="M287" s="9" t="str">
        <f>IF(VLOOKUP($A287,Salta!$A$8:$O$291,5,FALSE)="","",VLOOKUP($A287,Salta!$A$8:$O$291,5,FALSE))</f>
        <v/>
      </c>
      <c r="N287" s="9" t="str">
        <f>IF(VLOOKUP($A287,Salta!$A$8:$O$291,7,FALSE)="","",VLOOKUP($A287,Salta!$A$8:$O$291,7,FALSE))</f>
        <v>Sin coincidencia</v>
      </c>
      <c r="O287" s="9" t="str">
        <f>IF(VLOOKUP($A287,Salta!$A$8:$O$291,6,FALSE)="","",VLOOKUP($A287,Salta!$A$8:$O$291,6,FALSE))</f>
        <v>Sin coincidencia</v>
      </c>
      <c r="P287" s="24" t="str">
        <f>IF(VLOOKUP($A287,Neuquén!$A$8:$O$291,15,FALSE)="Homologado",VLOOKUP($A287,Neuquén!$A$8:$O$291,10,FALSE),"")</f>
        <v/>
      </c>
      <c r="Q287" s="24" t="str">
        <f>IF(VLOOKUP($A287,'San Juan'!$A$8:$O$291,15,FALSE)="Homologado",VLOOKUP($A287,'San Juan'!$A$8:$O$291,10,FALSE),"")</f>
        <v/>
      </c>
      <c r="R287" s="24" t="str">
        <f>IF(VLOOKUP($A287,Salta!$A$8:$O$291,15,FALSE)="Homologado",VLOOKUP($A287,Salta!$A$8:$O$291,10,FALSE),"")</f>
        <v/>
      </c>
      <c r="S287" s="24" t="str">
        <f>IF(VLOOKUP($A287,'Master vs SAP'!$A$8:$O$291,4,FALSE)="","",VLOOKUP($A287,'Master vs SAP'!$A$8:$O$291,4,FALSE))</f>
        <v>2000048
2001124</v>
      </c>
      <c r="T287" s="9" t="str">
        <f>IF(VLOOKUP($A287,'Master vs SAP'!$A$8:$O$291,5,FALSE)="","",VLOOKUP($A287,'Master vs SAP'!$A$8:$O$291,5,FALSE))</f>
        <v>CAMISOLIN AZUL 25GR PUÑO C/ELASTICO 1MT
CAMISOLIN COTEADO/LAMINADO 45 GR. 1,20M</v>
      </c>
      <c r="U287" s="9" t="str">
        <f>IF(VLOOKUP($A287,'Master vs SAP'!$A$8:$O$291,7,FALSE)="","",VLOOKUP($A287,'Master vs SAP'!$A$8:$O$291,7,FALSE))</f>
        <v>Media</v>
      </c>
      <c r="V287" s="9" t="str">
        <f>IF(VLOOKUP($A287,'Master vs SAP'!$A$8:$O$291,6,FALSE)="","",VLOOKUP($A287,'Master vs SAP'!$A$8:$O$291,6,FALSE))</f>
        <v>Revisar grupo</v>
      </c>
      <c r="W287" s="24" t="str">
        <f>IF(VLOOKUP($A287,'Master vs SAP'!$A$8:$O$291,15,FALSE)="Homologado",VLOOKUP($A287,'Master vs SAP'!$A$8:$O$291,10,FALSE),"")</f>
        <v/>
      </c>
    </row>
    <row r="288" spans="1:23" ht="61.95" customHeight="1">
      <c r="A288" s="9" t="s">
        <v>662</v>
      </c>
      <c r="B288" s="9" t="s">
        <v>537</v>
      </c>
      <c r="C288" s="9" t="s">
        <v>663</v>
      </c>
      <c r="D288" s="24" t="str">
        <f>IF(VLOOKUP($A288,Neuquén!$A$8:$O$291,4,FALSE)="","",VLOOKUP($A288,Neuquén!$A$8:$O$291,4,FALSE))</f>
        <v>1003</v>
      </c>
      <c r="E288" s="9" t="str">
        <f>IF(VLOOKUP($A288,Neuquén!$A$8:$O$291,5,FALSE)="","",VLOOKUP($A288,Neuquén!$A$8:$O$291,5,FALSE))</f>
        <v>COFIA</v>
      </c>
      <c r="F288" s="9" t="str">
        <f>IF(VLOOKUP($A288,Neuquén!$A$8:$O$291,7,FALSE)="","",VLOOKUP($A288,Neuquén!$A$8:$O$291,7,FALSE))</f>
        <v>Sin coincidencia</v>
      </c>
      <c r="G288" s="9" t="str">
        <f>IF(VLOOKUP($A288,Neuquén!$A$8:$O$291,6,FALSE)="","",VLOOKUP($A288,Neuquén!$A$8:$O$291,6,FALSE))</f>
        <v>Código sin equivalencia validada</v>
      </c>
      <c r="H288" s="24" t="str">
        <f>IF(VLOOKUP($A288,'San Juan'!$A$8:$O$291,4,FALSE)="","",VLOOKUP($A288,'San Juan'!$A$8:$O$291,4,FALSE))</f>
        <v/>
      </c>
      <c r="I288" s="9" t="str">
        <f>IF(VLOOKUP($A288,'San Juan'!$A$8:$O$291,5,FALSE)="","",VLOOKUP($A288,'San Juan'!$A$8:$O$291,5,FALSE))</f>
        <v/>
      </c>
      <c r="J288" s="9" t="str">
        <f>IF(VLOOKUP($A288,'San Juan'!$A$8:$O$291,7,FALSE)="","",VLOOKUP($A288,'San Juan'!$A$8:$O$291,7,FALSE))</f>
        <v>Sin coincidencia</v>
      </c>
      <c r="K288" s="9" t="str">
        <f>IF(VLOOKUP($A288,'San Juan'!$A$8:$O$291,6,FALSE)="","",VLOOKUP($A288,'San Juan'!$A$8:$O$291,6,FALSE))</f>
        <v>Sin código encontrado</v>
      </c>
      <c r="L288" s="24" t="str">
        <f>IF(VLOOKUP($A288,Salta!$A$8:$O$291,4,FALSE)="","",VLOOKUP($A288,Salta!$A$8:$O$291,4,FALSE))</f>
        <v>296</v>
      </c>
      <c r="M288" s="9" t="str">
        <f>IF(VLOOKUP($A288,Salta!$A$8:$O$291,5,FALSE)="","",VLOOKUP($A288,Salta!$A$8:$O$291,5,FALSE))</f>
        <v>Cofias</v>
      </c>
      <c r="N288" s="9" t="str">
        <f>IF(VLOOKUP($A288,Salta!$A$8:$O$291,7,FALSE)="","",VLOOKUP($A288,Salta!$A$8:$O$291,7,FALSE))</f>
        <v>Alta</v>
      </c>
      <c r="O288" s="9" t="str">
        <f>IF(VLOOKUP($A288,Salta!$A$8:$O$291,6,FALSE)="","",VLOOKUP($A288,Salta!$A$8:$O$291,6,FALSE))</f>
        <v>Coincidencia</v>
      </c>
      <c r="P288" s="24" t="str">
        <f>IF(VLOOKUP($A288,Neuquén!$A$8:$O$291,15,FALSE)="Homologado",VLOOKUP($A288,Neuquén!$A$8:$O$291,10,FALSE),"")</f>
        <v/>
      </c>
      <c r="Q288" s="24" t="str">
        <f>IF(VLOOKUP($A288,'San Juan'!$A$8:$O$291,15,FALSE)="Homologado",VLOOKUP($A288,'San Juan'!$A$8:$O$291,10,FALSE),"")</f>
        <v/>
      </c>
      <c r="R288" s="24" t="str">
        <f>IF(VLOOKUP($A288,Salta!$A$8:$O$291,15,FALSE)="Homologado",VLOOKUP($A288,Salta!$A$8:$O$291,10,FALSE),"")</f>
        <v/>
      </c>
      <c r="S288" s="24" t="str">
        <f>IF(VLOOKUP($A288,'Master vs SAP'!$A$8:$O$291,4,FALSE)="","",VLOOKUP($A288,'Master vs SAP'!$A$8:$O$291,4,FALSE))</f>
        <v>2000366</v>
      </c>
      <c r="T288" s="9" t="str">
        <f>IF(VLOOKUP($A288,'Master vs SAP'!$A$8:$O$291,5,FALSE)="","",VLOOKUP($A288,'Master vs SAP'!$A$8:$O$291,5,FALSE))</f>
        <v>COFIA PLISADA 20GR. BLANCA C/AJUST ELAST</v>
      </c>
      <c r="U288" s="9" t="str">
        <f>IF(VLOOKUP($A288,'Master vs SAP'!$A$8:$O$291,7,FALSE)="","",VLOOKUP($A288,'Master vs SAP'!$A$8:$O$291,7,FALSE))</f>
        <v>Alta</v>
      </c>
      <c r="V288" s="9" t="str">
        <f>IF(VLOOKUP($A288,'Master vs SAP'!$A$8:$O$291,6,FALSE)="","",VLOOKUP($A288,'Master vs SAP'!$A$8:$O$291,6,FALSE))</f>
        <v>Coincidencia</v>
      </c>
      <c r="W288" s="24" t="str">
        <f>IF(VLOOKUP($A288,'Master vs SAP'!$A$8:$O$291,15,FALSE)="Homologado",VLOOKUP($A288,'Master vs SAP'!$A$8:$O$291,10,FALSE),"")</f>
        <v/>
      </c>
    </row>
    <row r="289" spans="1:23" ht="61.95" customHeight="1">
      <c r="A289" s="9" t="s">
        <v>664</v>
      </c>
      <c r="B289" s="9" t="s">
        <v>537</v>
      </c>
      <c r="C289" s="9" t="s">
        <v>665</v>
      </c>
      <c r="D289" s="24" t="str">
        <f>IF(VLOOKUP($A289,Neuquén!$A$8:$O$291,4,FALSE)="","",VLOOKUP($A289,Neuquén!$A$8:$O$291,4,FALSE))</f>
        <v>358</v>
      </c>
      <c r="E289" s="9" t="str">
        <f>IF(VLOOKUP($A289,Neuquén!$A$8:$O$291,5,FALSE)="","",VLOOKUP($A289,Neuquén!$A$8:$O$291,5,FALSE))</f>
        <v>CAMPOESTERIL</v>
      </c>
      <c r="F289" s="9" t="str">
        <f>IF(VLOOKUP($A289,Neuquén!$A$8:$O$291,7,FALSE)="","",VLOOKUP($A289,Neuquén!$A$8:$O$291,7,FALSE))</f>
        <v>Alta</v>
      </c>
      <c r="G289" s="9" t="str">
        <f>IF(VLOOKUP($A289,Neuquén!$A$8:$O$291,6,FALSE)="","",VLOOKUP($A289,Neuquén!$A$8:$O$291,6,FALSE))</f>
        <v>Coincidencia por validar</v>
      </c>
      <c r="H289" s="24" t="str">
        <f>IF(VLOOKUP($A289,'San Juan'!$A$8:$O$291,4,FALSE)="","",VLOOKUP($A289,'San Juan'!$A$8:$O$291,4,FALSE))</f>
        <v/>
      </c>
      <c r="I289" s="9" t="str">
        <f>IF(VLOOKUP($A289,'San Juan'!$A$8:$O$291,5,FALSE)="","",VLOOKUP($A289,'San Juan'!$A$8:$O$291,5,FALSE))</f>
        <v/>
      </c>
      <c r="J289" s="9" t="str">
        <f>IF(VLOOKUP($A289,'San Juan'!$A$8:$O$291,7,FALSE)="","",VLOOKUP($A289,'San Juan'!$A$8:$O$291,7,FALSE))</f>
        <v>Sin coincidencia</v>
      </c>
      <c r="K289" s="9" t="str">
        <f>IF(VLOOKUP($A289,'San Juan'!$A$8:$O$291,6,FALSE)="","",VLOOKUP($A289,'San Juan'!$A$8:$O$291,6,FALSE))</f>
        <v>Sin código encontrado</v>
      </c>
      <c r="L289" s="24" t="str">
        <f>IF(VLOOKUP($A289,Salta!$A$8:$O$291,4,FALSE)="","",VLOOKUP($A289,Salta!$A$8:$O$291,4,FALSE))</f>
        <v>55</v>
      </c>
      <c r="M289" s="9" t="str">
        <f>IF(VLOOKUP($A289,Salta!$A$8:$O$291,5,FALSE)="","",VLOOKUP($A289,Salta!$A$8:$O$291,5,FALSE))</f>
        <v>Campo Esteril</v>
      </c>
      <c r="N289" s="9" t="str">
        <f>IF(VLOOKUP($A289,Salta!$A$8:$O$291,7,FALSE)="","",VLOOKUP($A289,Salta!$A$8:$O$291,7,FALSE))</f>
        <v>Alta</v>
      </c>
      <c r="O289" s="9" t="str">
        <f>IF(VLOOKUP($A289,Salta!$A$8:$O$291,6,FALSE)="","",VLOOKUP($A289,Salta!$A$8:$O$291,6,FALSE))</f>
        <v>Coincidencia</v>
      </c>
      <c r="P289" s="24" t="str">
        <f>IF(VLOOKUP($A289,Neuquén!$A$8:$O$291,15,FALSE)="Homologado",VLOOKUP($A289,Neuquén!$A$8:$O$291,10,FALSE),"")</f>
        <v/>
      </c>
      <c r="Q289" s="24" t="str">
        <f>IF(VLOOKUP($A289,'San Juan'!$A$8:$O$291,15,FALSE)="Homologado",VLOOKUP($A289,'San Juan'!$A$8:$O$291,10,FALSE),"")</f>
        <v/>
      </c>
      <c r="R289" s="24" t="str">
        <f>IF(VLOOKUP($A289,Salta!$A$8:$O$291,15,FALSE)="Homologado",VLOOKUP($A289,Salta!$A$8:$O$291,10,FALSE),"")</f>
        <v/>
      </c>
      <c r="S289" s="24" t="str">
        <f>IF(VLOOKUP($A289,'Master vs SAP'!$A$8:$O$291,4,FALSE)="","",VLOOKUP($A289,'Master vs SAP'!$A$8:$O$291,4,FALSE))</f>
        <v>2000102</v>
      </c>
      <c r="T289" s="9" t="str">
        <f>IF(VLOOKUP($A289,'Master vs SAP'!$A$8:$O$291,5,FALSE)="","",VLOOKUP($A289,'Master vs SAP'!$A$8:$O$291,5,FALSE))</f>
        <v>CAMPOS ESTERILES 90x90</v>
      </c>
      <c r="U289" s="9" t="str">
        <f>IF(VLOOKUP($A289,'Master vs SAP'!$A$8:$O$291,7,FALSE)="","",VLOOKUP($A289,'Master vs SAP'!$A$8:$O$291,7,FALSE))</f>
        <v>Alta</v>
      </c>
      <c r="V289" s="9" t="str">
        <f>IF(VLOOKUP($A289,'Master vs SAP'!$A$8:$O$291,6,FALSE)="","",VLOOKUP($A289,'Master vs SAP'!$A$8:$O$291,6,FALSE))</f>
        <v>Coincidencia</v>
      </c>
      <c r="W289" s="24" t="str">
        <f>IF(VLOOKUP($A289,'Master vs SAP'!$A$8:$O$291,15,FALSE)="Homologado",VLOOKUP($A289,'Master vs SAP'!$A$8:$O$291,10,FALSE),"")</f>
        <v/>
      </c>
    </row>
    <row r="290" spans="1:23" ht="78" customHeight="1">
      <c r="A290" s="9" t="s">
        <v>666</v>
      </c>
      <c r="B290" s="9" t="s">
        <v>537</v>
      </c>
      <c r="C290" s="9" t="s">
        <v>667</v>
      </c>
      <c r="D290" s="24" t="str">
        <f>IF(VLOOKUP($A290,Neuquén!$A$8:$O$291,4,FALSE)="","",VLOOKUP($A290,Neuquén!$A$8:$O$291,4,FALSE))</f>
        <v>257</v>
      </c>
      <c r="E290" s="9" t="str">
        <f>IF(VLOOKUP($A290,Neuquén!$A$8:$O$291,5,FALSE)="","",VLOOKUP($A290,Neuquén!$A$8:$O$291,5,FALSE))</f>
        <v>Gasas10x10cm</v>
      </c>
      <c r="F290" s="9" t="str">
        <f>IF(VLOOKUP($A290,Neuquén!$A$8:$O$291,7,FALSE)="","",VLOOKUP($A290,Neuquén!$A$8:$O$291,7,FALSE))</f>
        <v>Media</v>
      </c>
      <c r="G290" s="9" t="str">
        <f>IF(VLOOKUP($A290,Neuquén!$A$8:$O$291,6,FALSE)="","",VLOOKUP($A290,Neuquén!$A$8:$O$291,6,FALSE))</f>
        <v>Código compartido: revisar</v>
      </c>
      <c r="H290" s="24" t="str">
        <f>IF(VLOOKUP($A290,'San Juan'!$A$8:$O$291,4,FALSE)="","",VLOOKUP($A290,'San Juan'!$A$8:$O$291,4,FALSE))</f>
        <v>DESC64</v>
      </c>
      <c r="I290" s="9" t="str">
        <f>IF(VLOOKUP($A290,'San Juan'!$A$8:$O$291,5,FALSE)="","",VLOOKUP($A290,'San Juan'!$A$8:$O$291,5,FALSE))</f>
        <v>Gasas 10 x 10 cm</v>
      </c>
      <c r="J290" s="9" t="str">
        <f>IF(VLOOKUP($A290,'San Juan'!$A$8:$O$291,7,FALSE)="","",VLOOKUP($A290,'San Juan'!$A$8:$O$291,7,FALSE))</f>
        <v>Media</v>
      </c>
      <c r="K290" s="9" t="str">
        <f>IF(VLOOKUP($A290,'San Juan'!$A$8:$O$291,6,FALSE)="","",VLOOKUP($A290,'San Juan'!$A$8:$O$291,6,FALSE))</f>
        <v>Código compartido: revisar</v>
      </c>
      <c r="L290" s="24" t="str">
        <f>IF(VLOOKUP($A290,Salta!$A$8:$O$291,4,FALSE)="","",VLOOKUP($A290,Salta!$A$8:$O$291,4,FALSE))</f>
        <v>129</v>
      </c>
      <c r="M290" s="9" t="str">
        <f>IF(VLOOKUP($A290,Salta!$A$8:$O$291,5,FALSE)="","",VLOOKUP($A290,Salta!$A$8:$O$291,5,FALSE))</f>
        <v>Gasas 10 x 10</v>
      </c>
      <c r="N290" s="9" t="str">
        <f>IF(VLOOKUP($A290,Salta!$A$8:$O$291,7,FALSE)="","",VLOOKUP($A290,Salta!$A$8:$O$291,7,FALSE))</f>
        <v>Alta</v>
      </c>
      <c r="O290" s="9" t="str">
        <f>IF(VLOOKUP($A290,Salta!$A$8:$O$291,6,FALSE)="","",VLOOKUP($A290,Salta!$A$8:$O$291,6,FALSE))</f>
        <v>Coincidencia</v>
      </c>
      <c r="P290" s="24" t="str">
        <f>IF(VLOOKUP($A290,Neuquén!$A$8:$O$291,15,FALSE)="Homologado",VLOOKUP($A290,Neuquén!$A$8:$O$291,10,FALSE),"")</f>
        <v/>
      </c>
      <c r="Q290" s="24" t="str">
        <f>IF(VLOOKUP($A290,'San Juan'!$A$8:$O$291,15,FALSE)="Homologado",VLOOKUP($A290,'San Juan'!$A$8:$O$291,10,FALSE),"")</f>
        <v/>
      </c>
      <c r="R290" s="24" t="str">
        <f>IF(VLOOKUP($A290,Salta!$A$8:$O$291,15,FALSE)="Homologado",VLOOKUP($A290,Salta!$A$8:$O$291,10,FALSE),"")</f>
        <v/>
      </c>
      <c r="S290" s="24" t="str">
        <f>IF(VLOOKUP($A290,'Master vs SAP'!$A$8:$O$291,4,FALSE)="","",VLOOKUP($A290,'Master vs SAP'!$A$8:$O$291,4,FALSE))</f>
        <v>2000900
2000901
2000902
2000607</v>
      </c>
      <c r="T290" s="9" t="str">
        <f>IF(VLOOKUP($A290,'Master vs SAP'!$A$8:$O$291,5,FALSE)="","",VLOOKUP($A290,'Master vs SAP'!$A$8:$O$291,5,FALSE))</f>
        <v>GASA ESTERIL 10X10CM
GASA ESTERIL 20X20CM
GASA ESTERIL 30X30CM
GASA ESTERIL 5X5CM</v>
      </c>
      <c r="U290" s="9" t="str">
        <f>IF(VLOOKUP($A290,'Master vs SAP'!$A$8:$O$291,7,FALSE)="","",VLOOKUP($A290,'Master vs SAP'!$A$8:$O$291,7,FALSE))</f>
        <v>Media</v>
      </c>
      <c r="V290" s="9" t="str">
        <f>IF(VLOOKUP($A290,'Master vs SAP'!$A$8:$O$291,6,FALSE)="","",VLOOKUP($A290,'Master vs SAP'!$A$8:$O$291,6,FALSE))</f>
        <v>Revisar grupo</v>
      </c>
      <c r="W290" s="24" t="str">
        <f>IF(VLOOKUP($A290,'Master vs SAP'!$A$8:$O$291,15,FALSE)="Homologado",VLOOKUP($A290,'Master vs SAP'!$A$8:$O$291,10,FALSE),"")</f>
        <v/>
      </c>
    </row>
    <row r="291" spans="1:23" ht="61.95" customHeight="1">
      <c r="A291" s="9" t="s">
        <v>668</v>
      </c>
      <c r="B291" s="9" t="s">
        <v>537</v>
      </c>
      <c r="C291" s="9" t="s">
        <v>573</v>
      </c>
      <c r="D291" s="24" t="str">
        <f>IF(VLOOKUP($A291,Neuquén!$A$8:$O$291,4,FALSE)="","",VLOOKUP($A291,Neuquén!$A$8:$O$291,4,FALSE))</f>
        <v>1002</v>
      </c>
      <c r="E291" s="9" t="str">
        <f>IF(VLOOKUP($A291,Neuquén!$A$8:$O$291,5,FALSE)="","",VLOOKUP($A291,Neuquén!$A$8:$O$291,5,FALSE))</f>
        <v>ANTIPARRA</v>
      </c>
      <c r="F291" s="9" t="str">
        <f>IF(VLOOKUP($A291,Neuquén!$A$8:$O$291,7,FALSE)="","",VLOOKUP($A291,Neuquén!$A$8:$O$291,7,FALSE))</f>
        <v>Sin coincidencia</v>
      </c>
      <c r="G291" s="9" t="str">
        <f>IF(VLOOKUP($A291,Neuquén!$A$8:$O$291,6,FALSE)="","",VLOOKUP($A291,Neuquén!$A$8:$O$291,6,FALSE))</f>
        <v>Código compartido: revisar</v>
      </c>
      <c r="H291" s="24" t="str">
        <f>IF(VLOOKUP($A291,'San Juan'!$A$8:$O$291,4,FALSE)="","",VLOOKUP($A291,'San Juan'!$A$8:$O$291,4,FALSE))</f>
        <v/>
      </c>
      <c r="I291" s="9" t="str">
        <f>IF(VLOOKUP($A291,'San Juan'!$A$8:$O$291,5,FALSE)="","",VLOOKUP($A291,'San Juan'!$A$8:$O$291,5,FALSE))</f>
        <v/>
      </c>
      <c r="J291" s="9" t="str">
        <f>IF(VLOOKUP($A291,'San Juan'!$A$8:$O$291,7,FALSE)="","",VLOOKUP($A291,'San Juan'!$A$8:$O$291,7,FALSE))</f>
        <v>Sin coincidencia</v>
      </c>
      <c r="K291" s="9" t="str">
        <f>IF(VLOOKUP($A291,'San Juan'!$A$8:$O$291,6,FALSE)="","",VLOOKUP($A291,'San Juan'!$A$8:$O$291,6,FALSE))</f>
        <v>Sin código encontrado</v>
      </c>
      <c r="L291" s="24" t="str">
        <f>IF(VLOOKUP($A291,Salta!$A$8:$O$291,4,FALSE)="","",VLOOKUP($A291,Salta!$A$8:$O$291,4,FALSE))</f>
        <v>273</v>
      </c>
      <c r="M291" s="9" t="str">
        <f>IF(VLOOKUP($A291,Salta!$A$8:$O$291,5,FALSE)="","",VLOOKUP($A291,Salta!$A$8:$O$291,5,FALSE))</f>
        <v>Antiparras transparentes</v>
      </c>
      <c r="N291" s="9" t="str">
        <f>IF(VLOOKUP($A291,Salta!$A$8:$O$291,7,FALSE)="","",VLOOKUP($A291,Salta!$A$8:$O$291,7,FALSE))</f>
        <v>Alta</v>
      </c>
      <c r="O291" s="9" t="str">
        <f>IF(VLOOKUP($A291,Salta!$A$8:$O$291,6,FALSE)="","",VLOOKUP($A291,Salta!$A$8:$O$291,6,FALSE))</f>
        <v>Coincidencia</v>
      </c>
      <c r="P291" s="24" t="str">
        <f>IF(VLOOKUP($A291,Neuquén!$A$8:$O$291,15,FALSE)="Homologado",VLOOKUP($A291,Neuquén!$A$8:$O$291,10,FALSE),"")</f>
        <v/>
      </c>
      <c r="Q291" s="24" t="str">
        <f>IF(VLOOKUP($A291,'San Juan'!$A$8:$O$291,15,FALSE)="Homologado",VLOOKUP($A291,'San Juan'!$A$8:$O$291,10,FALSE),"")</f>
        <v/>
      </c>
      <c r="R291" s="24" t="str">
        <f>IF(VLOOKUP($A291,Salta!$A$8:$O$291,15,FALSE)="Homologado",VLOOKUP($A291,Salta!$A$8:$O$291,10,FALSE),"")</f>
        <v/>
      </c>
      <c r="S291" s="24" t="str">
        <f>IF(VLOOKUP($A291,'Master vs SAP'!$A$8:$O$291,4,FALSE)="","",VLOOKUP($A291,'Master vs SAP'!$A$8:$O$291,4,FALSE))</f>
        <v>2000010</v>
      </c>
      <c r="T291" s="9" t="str">
        <f>IF(VLOOKUP($A291,'Master vs SAP'!$A$8:$O$291,5,FALSE)="","",VLOOKUP($A291,'Master vs SAP'!$A$8:$O$291,5,FALSE))</f>
        <v>ANTIPARRA DE PLASTICO</v>
      </c>
      <c r="U291" s="9" t="str">
        <f>IF(VLOOKUP($A291,'Master vs SAP'!$A$8:$O$291,7,FALSE)="","",VLOOKUP($A291,'Master vs SAP'!$A$8:$O$291,7,FALSE))</f>
        <v>Alta</v>
      </c>
      <c r="V291" s="9" t="str">
        <f>IF(VLOOKUP($A291,'Master vs SAP'!$A$8:$O$291,6,FALSE)="","",VLOOKUP($A291,'Master vs SAP'!$A$8:$O$291,6,FALSE))</f>
        <v>Coincidencia</v>
      </c>
      <c r="W291" s="24" t="str">
        <f>IF(VLOOKUP($A291,'Master vs SAP'!$A$8:$O$291,15,FALSE)="Homologado",VLOOKUP($A291,'Master vs SAP'!$A$8:$O$291,10,FALSE),"")</f>
        <v/>
      </c>
    </row>
  </sheetData>
  <mergeCells count="2">
    <mergeCell ref="P6:R6"/>
    <mergeCell ref="S6:V6"/>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85D83"/>
  </sheetPr>
  <dimension ref="A2:O291"/>
  <sheetViews>
    <sheetView showGridLines="0" zoomScale="70" zoomScaleNormal="70" workbookViewId="0">
      <pane xSplit="3" ySplit="7" topLeftCell="D17" activePane="bottomRight" state="frozen"/>
      <selection pane="topRight"/>
      <selection pane="bottomLeft"/>
      <selection pane="bottomRight" activeCell="A18" sqref="A18"/>
    </sheetView>
  </sheetViews>
  <sheetFormatPr baseColWidth="10" defaultColWidth="8.796875" defaultRowHeight="13.8"/>
  <cols>
    <col min="1" max="1" width="14" customWidth="1"/>
    <col min="2" max="2" width="18" customWidth="1"/>
    <col min="3" max="3" width="39" customWidth="1"/>
    <col min="4" max="4" width="17" customWidth="1"/>
    <col min="5" max="5" width="43" customWidth="1"/>
    <col min="6" max="6" width="24" bestFit="1" customWidth="1"/>
    <col min="7" max="7" width="14.59765625" style="33" customWidth="1"/>
    <col min="8" max="8" width="64" customWidth="1"/>
    <col min="9" max="9" width="27" customWidth="1"/>
    <col min="10" max="10" width="18" customWidth="1"/>
    <col min="11" max="11" width="39" customWidth="1"/>
    <col min="12" max="12" width="24" customWidth="1"/>
    <col min="13" max="13" width="25" customWidth="1"/>
    <col min="14" max="14" width="17" customWidth="1"/>
    <col min="15" max="15" width="30" customWidth="1"/>
  </cols>
  <sheetData>
    <row r="2" spans="1:15" ht="31.05" customHeight="1">
      <c r="A2" s="2" t="s">
        <v>669</v>
      </c>
      <c r="B2" s="1"/>
      <c r="C2" s="1"/>
      <c r="D2" s="1"/>
      <c r="E2" s="1"/>
      <c r="F2" s="1"/>
      <c r="G2" s="27"/>
      <c r="H2" s="1"/>
      <c r="I2" s="1"/>
      <c r="J2" s="1"/>
      <c r="K2" s="1"/>
      <c r="L2" s="1"/>
      <c r="M2" s="1"/>
      <c r="N2" s="1"/>
      <c r="O2" s="1"/>
    </row>
    <row r="3" spans="1:15" ht="22.05" customHeight="1">
      <c r="A3" s="3" t="s">
        <v>670</v>
      </c>
      <c r="B3" s="1"/>
      <c r="C3" s="1"/>
      <c r="D3" s="1"/>
      <c r="E3" s="1"/>
      <c r="F3" s="1"/>
      <c r="G3" s="27"/>
      <c r="H3" s="1"/>
      <c r="I3" s="1"/>
      <c r="J3" s="1"/>
      <c r="K3" s="1"/>
      <c r="L3" s="1"/>
      <c r="M3" s="1"/>
      <c r="N3" s="1"/>
      <c r="O3" s="1"/>
    </row>
    <row r="4" spans="1:15" ht="22.05" customHeight="1">
      <c r="A4" s="3" t="s">
        <v>671</v>
      </c>
      <c r="B4" s="1"/>
      <c r="C4" s="1"/>
      <c r="D4" s="1"/>
      <c r="E4" s="1"/>
      <c r="F4" s="1"/>
      <c r="G4" s="27"/>
      <c r="H4" s="1"/>
      <c r="I4" s="1"/>
      <c r="J4" s="1"/>
      <c r="K4" s="1"/>
      <c r="L4" s="1"/>
      <c r="M4" s="1"/>
      <c r="N4" s="1"/>
      <c r="O4" s="1"/>
    </row>
    <row r="5" spans="1:15" ht="22.05" customHeight="1">
      <c r="A5" s="3" t="s">
        <v>672</v>
      </c>
      <c r="B5" s="1"/>
      <c r="C5" s="1"/>
      <c r="D5" s="1"/>
      <c r="E5" s="1"/>
      <c r="F5" s="1"/>
      <c r="G5" s="27"/>
      <c r="H5" s="1"/>
      <c r="I5" s="1"/>
      <c r="J5" s="1"/>
      <c r="K5" s="1"/>
      <c r="L5" s="1"/>
      <c r="M5" s="1"/>
      <c r="N5" s="1"/>
      <c r="O5" s="1"/>
    </row>
    <row r="6" spans="1:15">
      <c r="A6" s="4" t="s">
        <v>673</v>
      </c>
      <c r="B6" s="4"/>
      <c r="C6" s="4"/>
      <c r="D6" s="4"/>
      <c r="E6" s="4"/>
      <c r="F6" s="4"/>
      <c r="G6" s="31"/>
      <c r="H6" s="4"/>
      <c r="I6" s="5" t="s">
        <v>674</v>
      </c>
      <c r="J6" s="5"/>
      <c r="K6" s="5"/>
      <c r="L6" s="5"/>
      <c r="M6" s="5"/>
      <c r="N6" s="5"/>
      <c r="O6" s="6" t="s">
        <v>675</v>
      </c>
    </row>
    <row r="7" spans="1:15" ht="43.05" customHeight="1">
      <c r="A7" s="7" t="s">
        <v>676</v>
      </c>
      <c r="B7" s="7" t="s">
        <v>85</v>
      </c>
      <c r="C7" s="7" t="s">
        <v>677</v>
      </c>
      <c r="D7" s="7" t="s">
        <v>87</v>
      </c>
      <c r="E7" s="7" t="s">
        <v>88</v>
      </c>
      <c r="F7" s="7" t="s">
        <v>678</v>
      </c>
      <c r="G7" s="7" t="s">
        <v>679</v>
      </c>
      <c r="H7" s="7" t="s">
        <v>680</v>
      </c>
      <c r="I7" s="7" t="s">
        <v>681</v>
      </c>
      <c r="J7" s="7" t="s">
        <v>682</v>
      </c>
      <c r="K7" s="7" t="s">
        <v>683</v>
      </c>
      <c r="L7" s="7" t="s">
        <v>684</v>
      </c>
      <c r="M7" s="7" t="s">
        <v>685</v>
      </c>
      <c r="N7" s="7" t="s">
        <v>686</v>
      </c>
      <c r="O7" s="7" t="s">
        <v>687</v>
      </c>
    </row>
    <row r="8" spans="1:15" ht="94.05" customHeight="1">
      <c r="A8" s="17" t="s">
        <v>144</v>
      </c>
      <c r="B8" s="9" t="s">
        <v>108</v>
      </c>
      <c r="C8" s="9" t="s">
        <v>145</v>
      </c>
      <c r="D8" s="17" t="s">
        <v>688</v>
      </c>
      <c r="E8" s="9" t="s">
        <v>689</v>
      </c>
      <c r="F8" s="9" t="s">
        <v>18</v>
      </c>
      <c r="G8" s="32" t="s">
        <v>690</v>
      </c>
      <c r="H8" s="9" t="s">
        <v>691</v>
      </c>
      <c r="I8" s="10" t="s">
        <v>692</v>
      </c>
      <c r="J8" s="18"/>
      <c r="K8" s="11"/>
      <c r="L8" s="11"/>
      <c r="M8" s="11"/>
      <c r="N8" s="21"/>
      <c r="O8" s="12" t="str">
        <f t="shared" ref="O8:O71" si="0">IF(I8="Pendiente","Pendiente",IF(I8="Equivalente confirmado",IF(OR(J8="",K8=""),"Falta código o nombre",IF(OR(L8="",M8=""),"Falta validación",IF(OR(NOT(ISNUMBER(N8)),N8&lt;=0),"Falta fecha","Homologado"))),IF(I8="Sin equivalente en AVAIN",IF(OR(J8&lt;&gt;"",K8&lt;&gt;""),"Quitar código y nombre",IF(OR(L8="",M8=""),"Falta validación",IF(OR(NOT(ISNUMBER(N8)),N8&lt;=0),"Falta fecha","Sin equivalente confirmado"))),"Revisar decisión")))</f>
        <v>Pendiente</v>
      </c>
    </row>
    <row r="9" spans="1:15" ht="78" customHeight="1">
      <c r="A9" s="17" t="s">
        <v>156</v>
      </c>
      <c r="B9" s="9" t="s">
        <v>108</v>
      </c>
      <c r="C9" s="9" t="s">
        <v>157</v>
      </c>
      <c r="D9" s="17" t="s">
        <v>693</v>
      </c>
      <c r="E9" s="9" t="s">
        <v>694</v>
      </c>
      <c r="F9" s="9" t="s">
        <v>18</v>
      </c>
      <c r="G9" s="32" t="s">
        <v>690</v>
      </c>
      <c r="H9" s="9" t="s">
        <v>695</v>
      </c>
      <c r="I9" s="13" t="s">
        <v>692</v>
      </c>
      <c r="J9" s="19"/>
      <c r="K9" s="14"/>
      <c r="L9" s="14"/>
      <c r="M9" s="14"/>
      <c r="N9" s="22"/>
      <c r="O9" s="12" t="str">
        <f t="shared" si="0"/>
        <v>Pendiente</v>
      </c>
    </row>
    <row r="10" spans="1:15" ht="94.05" customHeight="1">
      <c r="A10" s="17" t="s">
        <v>218</v>
      </c>
      <c r="B10" s="9" t="s">
        <v>108</v>
      </c>
      <c r="C10" s="9" t="s">
        <v>219</v>
      </c>
      <c r="D10" s="17" t="s">
        <v>696</v>
      </c>
      <c r="E10" s="9" t="s">
        <v>697</v>
      </c>
      <c r="F10" s="9" t="s">
        <v>698</v>
      </c>
      <c r="G10" s="32" t="s">
        <v>690</v>
      </c>
      <c r="H10" s="9" t="s">
        <v>699</v>
      </c>
      <c r="I10" s="13" t="s">
        <v>692</v>
      </c>
      <c r="J10" s="19"/>
      <c r="K10" s="14"/>
      <c r="L10" s="14"/>
      <c r="M10" s="14"/>
      <c r="N10" s="22"/>
      <c r="O10" s="12" t="str">
        <f t="shared" si="0"/>
        <v>Pendiente</v>
      </c>
    </row>
    <row r="11" spans="1:15" ht="94.05" customHeight="1">
      <c r="A11" s="17" t="s">
        <v>246</v>
      </c>
      <c r="B11" s="9" t="s">
        <v>108</v>
      </c>
      <c r="C11" s="9" t="s">
        <v>247</v>
      </c>
      <c r="D11" s="17" t="s">
        <v>700</v>
      </c>
      <c r="E11" s="9" t="s">
        <v>701</v>
      </c>
      <c r="F11" s="9" t="s">
        <v>18</v>
      </c>
      <c r="G11" s="32" t="s">
        <v>690</v>
      </c>
      <c r="H11" s="9" t="s">
        <v>702</v>
      </c>
      <c r="I11" s="13" t="s">
        <v>692</v>
      </c>
      <c r="J11" s="19"/>
      <c r="K11" s="14"/>
      <c r="L11" s="14"/>
      <c r="M11" s="14"/>
      <c r="N11" s="22"/>
      <c r="O11" s="12" t="str">
        <f t="shared" si="0"/>
        <v>Pendiente</v>
      </c>
    </row>
    <row r="12" spans="1:15" ht="78" customHeight="1">
      <c r="A12" s="17" t="s">
        <v>264</v>
      </c>
      <c r="B12" s="9" t="s">
        <v>108</v>
      </c>
      <c r="C12" s="9" t="s">
        <v>265</v>
      </c>
      <c r="D12" s="17" t="s">
        <v>703</v>
      </c>
      <c r="E12" s="9" t="s">
        <v>704</v>
      </c>
      <c r="F12" s="9" t="s">
        <v>18</v>
      </c>
      <c r="G12" s="32" t="s">
        <v>690</v>
      </c>
      <c r="H12" s="9" t="s">
        <v>705</v>
      </c>
      <c r="I12" s="13" t="s">
        <v>692</v>
      </c>
      <c r="J12" s="19"/>
      <c r="K12" s="14"/>
      <c r="L12" s="14"/>
      <c r="M12" s="14"/>
      <c r="N12" s="22"/>
      <c r="O12" s="12" t="str">
        <f t="shared" si="0"/>
        <v>Pendiente</v>
      </c>
    </row>
    <row r="13" spans="1:15" ht="94.05" customHeight="1">
      <c r="A13" s="17" t="s">
        <v>304</v>
      </c>
      <c r="B13" s="9" t="s">
        <v>108</v>
      </c>
      <c r="C13" s="9" t="s">
        <v>305</v>
      </c>
      <c r="D13" s="17" t="s">
        <v>706</v>
      </c>
      <c r="E13" s="9" t="s">
        <v>707</v>
      </c>
      <c r="F13" s="9" t="s">
        <v>18</v>
      </c>
      <c r="G13" s="32" t="s">
        <v>690</v>
      </c>
      <c r="H13" s="9" t="s">
        <v>708</v>
      </c>
      <c r="I13" s="13" t="s">
        <v>692</v>
      </c>
      <c r="J13" s="19"/>
      <c r="K13" s="14"/>
      <c r="L13" s="14"/>
      <c r="M13" s="14"/>
      <c r="N13" s="22"/>
      <c r="O13" s="12" t="str">
        <f t="shared" si="0"/>
        <v>Pendiente</v>
      </c>
    </row>
    <row r="14" spans="1:15" ht="94.05" customHeight="1">
      <c r="A14" s="17" t="s">
        <v>326</v>
      </c>
      <c r="B14" s="9" t="s">
        <v>108</v>
      </c>
      <c r="C14" s="9" t="s">
        <v>327</v>
      </c>
      <c r="D14" s="17" t="s">
        <v>709</v>
      </c>
      <c r="E14" s="9" t="s">
        <v>710</v>
      </c>
      <c r="F14" s="9" t="s">
        <v>698</v>
      </c>
      <c r="G14" s="32" t="s">
        <v>690</v>
      </c>
      <c r="H14" s="9" t="s">
        <v>711</v>
      </c>
      <c r="I14" s="13" t="s">
        <v>692</v>
      </c>
      <c r="J14" s="19"/>
      <c r="K14" s="14"/>
      <c r="L14" s="14"/>
      <c r="M14" s="14"/>
      <c r="N14" s="22"/>
      <c r="O14" s="12" t="str">
        <f t="shared" si="0"/>
        <v>Pendiente</v>
      </c>
    </row>
    <row r="15" spans="1:15" ht="78" customHeight="1">
      <c r="A15" s="17" t="s">
        <v>371</v>
      </c>
      <c r="B15" s="9" t="s">
        <v>357</v>
      </c>
      <c r="C15" s="9" t="s">
        <v>372</v>
      </c>
      <c r="D15" s="17" t="s">
        <v>712</v>
      </c>
      <c r="E15" s="9" t="s">
        <v>713</v>
      </c>
      <c r="F15" s="9" t="s">
        <v>714</v>
      </c>
      <c r="G15" s="32" t="s">
        <v>690</v>
      </c>
      <c r="H15" s="9" t="s">
        <v>715</v>
      </c>
      <c r="I15" s="13" t="s">
        <v>692</v>
      </c>
      <c r="J15" s="19"/>
      <c r="K15" s="14"/>
      <c r="L15" s="14"/>
      <c r="M15" s="14"/>
      <c r="N15" s="22"/>
      <c r="O15" s="12" t="str">
        <f t="shared" si="0"/>
        <v>Pendiente</v>
      </c>
    </row>
    <row r="16" spans="1:15" ht="78" customHeight="1">
      <c r="A16" s="17" t="s">
        <v>389</v>
      </c>
      <c r="B16" s="9" t="s">
        <v>357</v>
      </c>
      <c r="C16" s="9" t="s">
        <v>390</v>
      </c>
      <c r="D16" s="17" t="s">
        <v>716</v>
      </c>
      <c r="E16" s="9" t="s">
        <v>717</v>
      </c>
      <c r="F16" s="9" t="s">
        <v>698</v>
      </c>
      <c r="G16" s="32" t="s">
        <v>690</v>
      </c>
      <c r="H16" s="9" t="s">
        <v>718</v>
      </c>
      <c r="I16" s="13" t="s">
        <v>692</v>
      </c>
      <c r="J16" s="19"/>
      <c r="K16" s="14"/>
      <c r="L16" s="14"/>
      <c r="M16" s="14"/>
      <c r="N16" s="22"/>
      <c r="O16" s="12" t="str">
        <f t="shared" si="0"/>
        <v>Pendiente</v>
      </c>
    </row>
    <row r="17" spans="1:15" ht="61.95" customHeight="1">
      <c r="A17" s="17" t="s">
        <v>476</v>
      </c>
      <c r="B17" s="9" t="s">
        <v>464</v>
      </c>
      <c r="C17" s="9" t="s">
        <v>477</v>
      </c>
      <c r="D17" s="17" t="s">
        <v>719</v>
      </c>
      <c r="E17" s="9" t="s">
        <v>720</v>
      </c>
      <c r="F17" s="9" t="s">
        <v>721</v>
      </c>
      <c r="G17" s="32" t="s">
        <v>690</v>
      </c>
      <c r="H17" s="9" t="s">
        <v>722</v>
      </c>
      <c r="I17" s="13" t="s">
        <v>692</v>
      </c>
      <c r="J17" s="19"/>
      <c r="K17" s="14"/>
      <c r="L17" s="14"/>
      <c r="M17" s="14"/>
      <c r="N17" s="22"/>
      <c r="O17" s="12" t="str">
        <f t="shared" si="0"/>
        <v>Pendiente</v>
      </c>
    </row>
    <row r="18" spans="1:15" ht="78" customHeight="1">
      <c r="A18" s="17" t="s">
        <v>654</v>
      </c>
      <c r="B18" s="9" t="s">
        <v>537</v>
      </c>
      <c r="C18" s="9" t="s">
        <v>655</v>
      </c>
      <c r="D18" s="17" t="s">
        <v>723</v>
      </c>
      <c r="E18" s="9" t="s">
        <v>724</v>
      </c>
      <c r="F18" s="9" t="s">
        <v>698</v>
      </c>
      <c r="G18" s="32" t="s">
        <v>690</v>
      </c>
      <c r="H18" s="9" t="s">
        <v>725</v>
      </c>
      <c r="I18" s="13" t="s">
        <v>692</v>
      </c>
      <c r="J18" s="19"/>
      <c r="K18" s="14"/>
      <c r="L18" s="14"/>
      <c r="M18" s="14"/>
      <c r="N18" s="22"/>
      <c r="O18" s="12" t="str">
        <f t="shared" si="0"/>
        <v>Pendiente</v>
      </c>
    </row>
    <row r="19" spans="1:15" ht="78" customHeight="1">
      <c r="A19" s="17" t="s">
        <v>118</v>
      </c>
      <c r="B19" s="9" t="s">
        <v>108</v>
      </c>
      <c r="C19" s="9" t="s">
        <v>119</v>
      </c>
      <c r="D19" s="17" t="s">
        <v>726</v>
      </c>
      <c r="E19" s="9" t="s">
        <v>727</v>
      </c>
      <c r="F19" s="9" t="s">
        <v>728</v>
      </c>
      <c r="G19" s="32" t="s">
        <v>42</v>
      </c>
      <c r="H19" s="9" t="s">
        <v>729</v>
      </c>
      <c r="I19" s="13" t="s">
        <v>692</v>
      </c>
      <c r="J19" s="19"/>
      <c r="K19" s="14"/>
      <c r="L19" s="14"/>
      <c r="M19" s="14"/>
      <c r="N19" s="22"/>
      <c r="O19" s="12" t="str">
        <f t="shared" si="0"/>
        <v>Pendiente</v>
      </c>
    </row>
    <row r="20" spans="1:15" ht="78" customHeight="1">
      <c r="A20" s="17" t="s">
        <v>120</v>
      </c>
      <c r="B20" s="9" t="s">
        <v>108</v>
      </c>
      <c r="C20" s="9" t="s">
        <v>121</v>
      </c>
      <c r="D20" s="17" t="s">
        <v>726</v>
      </c>
      <c r="E20" s="9" t="s">
        <v>727</v>
      </c>
      <c r="F20" s="9" t="s">
        <v>728</v>
      </c>
      <c r="G20" s="32" t="s">
        <v>42</v>
      </c>
      <c r="H20" s="9" t="s">
        <v>730</v>
      </c>
      <c r="I20" s="13" t="s">
        <v>692</v>
      </c>
      <c r="J20" s="19"/>
      <c r="K20" s="14"/>
      <c r="L20" s="14"/>
      <c r="M20" s="14"/>
      <c r="N20" s="22"/>
      <c r="O20" s="12" t="str">
        <f t="shared" si="0"/>
        <v>Pendiente</v>
      </c>
    </row>
    <row r="21" spans="1:15" ht="78" customHeight="1">
      <c r="A21" s="17" t="s">
        <v>140</v>
      </c>
      <c r="B21" s="9" t="s">
        <v>108</v>
      </c>
      <c r="C21" s="9" t="s">
        <v>141</v>
      </c>
      <c r="D21" s="17" t="s">
        <v>731</v>
      </c>
      <c r="E21" s="9" t="s">
        <v>732</v>
      </c>
      <c r="F21" s="9" t="s">
        <v>733</v>
      </c>
      <c r="G21" s="32" t="s">
        <v>24</v>
      </c>
      <c r="H21" s="9" t="s">
        <v>734</v>
      </c>
      <c r="I21" s="13" t="s">
        <v>692</v>
      </c>
      <c r="J21" s="19"/>
      <c r="K21" s="14"/>
      <c r="L21" s="14"/>
      <c r="M21" s="14"/>
      <c r="N21" s="22"/>
      <c r="O21" s="12" t="str">
        <f t="shared" si="0"/>
        <v>Pendiente</v>
      </c>
    </row>
    <row r="22" spans="1:15" ht="78" customHeight="1">
      <c r="A22" s="17" t="s">
        <v>176</v>
      </c>
      <c r="B22" s="9" t="s">
        <v>108</v>
      </c>
      <c r="C22" s="9" t="s">
        <v>177</v>
      </c>
      <c r="D22" s="17" t="s">
        <v>735</v>
      </c>
      <c r="E22" s="9" t="s">
        <v>736</v>
      </c>
      <c r="F22" s="9" t="s">
        <v>733</v>
      </c>
      <c r="G22" s="32" t="s">
        <v>24</v>
      </c>
      <c r="H22" s="9" t="s">
        <v>737</v>
      </c>
      <c r="I22" s="13" t="s">
        <v>692</v>
      </c>
      <c r="J22" s="19"/>
      <c r="K22" s="14"/>
      <c r="L22" s="14"/>
      <c r="M22" s="14"/>
      <c r="N22" s="22"/>
      <c r="O22" s="12" t="str">
        <f t="shared" si="0"/>
        <v>Pendiente</v>
      </c>
    </row>
    <row r="23" spans="1:15" ht="78" customHeight="1">
      <c r="A23" s="17" t="s">
        <v>196</v>
      </c>
      <c r="B23" s="9" t="s">
        <v>108</v>
      </c>
      <c r="C23" s="9" t="s">
        <v>197</v>
      </c>
      <c r="D23" s="17" t="s">
        <v>738</v>
      </c>
      <c r="E23" s="9" t="s">
        <v>739</v>
      </c>
      <c r="F23" s="9" t="s">
        <v>733</v>
      </c>
      <c r="G23" s="32" t="s">
        <v>24</v>
      </c>
      <c r="H23" s="9" t="s">
        <v>740</v>
      </c>
      <c r="I23" s="13" t="s">
        <v>692</v>
      </c>
      <c r="J23" s="19"/>
      <c r="K23" s="14"/>
      <c r="L23" s="14"/>
      <c r="M23" s="14"/>
      <c r="N23" s="22"/>
      <c r="O23" s="12" t="str">
        <f t="shared" si="0"/>
        <v>Pendiente</v>
      </c>
    </row>
    <row r="24" spans="1:15" ht="78" customHeight="1">
      <c r="A24" s="17" t="s">
        <v>236</v>
      </c>
      <c r="B24" s="9" t="s">
        <v>108</v>
      </c>
      <c r="C24" s="9" t="s">
        <v>237</v>
      </c>
      <c r="D24" s="17" t="s">
        <v>741</v>
      </c>
      <c r="E24" s="9" t="s">
        <v>742</v>
      </c>
      <c r="F24" s="9" t="s">
        <v>728</v>
      </c>
      <c r="G24" s="32" t="s">
        <v>42</v>
      </c>
      <c r="H24" s="9" t="s">
        <v>743</v>
      </c>
      <c r="I24" s="13" t="s">
        <v>692</v>
      </c>
      <c r="J24" s="19"/>
      <c r="K24" s="14"/>
      <c r="L24" s="14"/>
      <c r="M24" s="14"/>
      <c r="N24" s="22"/>
      <c r="O24" s="12" t="str">
        <f t="shared" si="0"/>
        <v>Pendiente</v>
      </c>
    </row>
    <row r="25" spans="1:15" ht="94.05" customHeight="1">
      <c r="A25" s="17" t="s">
        <v>238</v>
      </c>
      <c r="B25" s="9" t="s">
        <v>108</v>
      </c>
      <c r="C25" s="9" t="s">
        <v>239</v>
      </c>
      <c r="D25" s="17" t="s">
        <v>741</v>
      </c>
      <c r="E25" s="9" t="s">
        <v>742</v>
      </c>
      <c r="F25" s="9" t="s">
        <v>728</v>
      </c>
      <c r="G25" s="32" t="s">
        <v>42</v>
      </c>
      <c r="H25" s="9" t="s">
        <v>744</v>
      </c>
      <c r="I25" s="13" t="s">
        <v>692</v>
      </c>
      <c r="J25" s="19"/>
      <c r="K25" s="14"/>
      <c r="L25" s="14"/>
      <c r="M25" s="14"/>
      <c r="N25" s="22"/>
      <c r="O25" s="12" t="str">
        <f t="shared" si="0"/>
        <v>Pendiente</v>
      </c>
    </row>
    <row r="26" spans="1:15" ht="78" customHeight="1">
      <c r="A26" s="17" t="s">
        <v>240</v>
      </c>
      <c r="B26" s="9" t="s">
        <v>108</v>
      </c>
      <c r="C26" s="9" t="s">
        <v>241</v>
      </c>
      <c r="D26" s="17" t="s">
        <v>745</v>
      </c>
      <c r="E26" s="9" t="s">
        <v>746</v>
      </c>
      <c r="F26" s="9" t="s">
        <v>728</v>
      </c>
      <c r="G26" s="32" t="s">
        <v>42</v>
      </c>
      <c r="H26" s="9" t="s">
        <v>747</v>
      </c>
      <c r="I26" s="13" t="s">
        <v>692</v>
      </c>
      <c r="J26" s="19"/>
      <c r="K26" s="14"/>
      <c r="L26" s="14"/>
      <c r="M26" s="14"/>
      <c r="N26" s="22"/>
      <c r="O26" s="12" t="str">
        <f t="shared" si="0"/>
        <v>Pendiente</v>
      </c>
    </row>
    <row r="27" spans="1:15" ht="78" customHeight="1">
      <c r="A27" s="17" t="s">
        <v>242</v>
      </c>
      <c r="B27" s="9" t="s">
        <v>108</v>
      </c>
      <c r="C27" s="9" t="s">
        <v>243</v>
      </c>
      <c r="D27" s="17" t="s">
        <v>745</v>
      </c>
      <c r="E27" s="9" t="s">
        <v>746</v>
      </c>
      <c r="F27" s="9" t="s">
        <v>728</v>
      </c>
      <c r="G27" s="32" t="s">
        <v>42</v>
      </c>
      <c r="H27" s="9" t="s">
        <v>748</v>
      </c>
      <c r="I27" s="13" t="s">
        <v>692</v>
      </c>
      <c r="J27" s="19"/>
      <c r="K27" s="14"/>
      <c r="L27" s="14"/>
      <c r="M27" s="14"/>
      <c r="N27" s="22"/>
      <c r="O27" s="12" t="str">
        <f t="shared" si="0"/>
        <v>Pendiente</v>
      </c>
    </row>
    <row r="28" spans="1:15" ht="94.05" customHeight="1">
      <c r="A28" s="17" t="s">
        <v>248</v>
      </c>
      <c r="B28" s="9" t="s">
        <v>108</v>
      </c>
      <c r="C28" s="9" t="s">
        <v>249</v>
      </c>
      <c r="D28" s="17" t="s">
        <v>700</v>
      </c>
      <c r="E28" s="9" t="s">
        <v>749</v>
      </c>
      <c r="F28" s="9" t="s">
        <v>728</v>
      </c>
      <c r="G28" s="32" t="s">
        <v>42</v>
      </c>
      <c r="H28" s="9" t="s">
        <v>750</v>
      </c>
      <c r="I28" s="13" t="s">
        <v>692</v>
      </c>
      <c r="J28" s="19"/>
      <c r="K28" s="14"/>
      <c r="L28" s="14"/>
      <c r="M28" s="14"/>
      <c r="N28" s="22"/>
      <c r="O28" s="12" t="str">
        <f t="shared" si="0"/>
        <v>Pendiente</v>
      </c>
    </row>
    <row r="29" spans="1:15" ht="78" customHeight="1">
      <c r="A29" s="17" t="s">
        <v>266</v>
      </c>
      <c r="B29" s="9" t="s">
        <v>108</v>
      </c>
      <c r="C29" s="9" t="s">
        <v>267</v>
      </c>
      <c r="D29" s="17" t="s">
        <v>703</v>
      </c>
      <c r="E29" s="9" t="s">
        <v>704</v>
      </c>
      <c r="F29" s="9" t="s">
        <v>728</v>
      </c>
      <c r="G29" s="32" t="s">
        <v>42</v>
      </c>
      <c r="H29" s="9" t="s">
        <v>751</v>
      </c>
      <c r="I29" s="13" t="s">
        <v>692</v>
      </c>
      <c r="J29" s="19"/>
      <c r="K29" s="14"/>
      <c r="L29" s="14"/>
      <c r="M29" s="14"/>
      <c r="N29" s="22"/>
      <c r="O29" s="12" t="str">
        <f t="shared" si="0"/>
        <v>Pendiente</v>
      </c>
    </row>
    <row r="30" spans="1:15" ht="78" customHeight="1">
      <c r="A30" s="17" t="s">
        <v>296</v>
      </c>
      <c r="B30" s="9" t="s">
        <v>108</v>
      </c>
      <c r="C30" s="9" t="s">
        <v>297</v>
      </c>
      <c r="D30" s="17" t="s">
        <v>752</v>
      </c>
      <c r="E30" s="9" t="s">
        <v>753</v>
      </c>
      <c r="F30" s="9" t="s">
        <v>733</v>
      </c>
      <c r="G30" s="32" t="s">
        <v>24</v>
      </c>
      <c r="H30" s="9" t="s">
        <v>754</v>
      </c>
      <c r="I30" s="13" t="s">
        <v>692</v>
      </c>
      <c r="J30" s="19"/>
      <c r="K30" s="14"/>
      <c r="L30" s="14"/>
      <c r="M30" s="14"/>
      <c r="N30" s="22"/>
      <c r="O30" s="12" t="str">
        <f t="shared" si="0"/>
        <v>Pendiente</v>
      </c>
    </row>
    <row r="31" spans="1:15" ht="78" customHeight="1">
      <c r="A31" s="17" t="s">
        <v>300</v>
      </c>
      <c r="B31" s="9" t="s">
        <v>108</v>
      </c>
      <c r="C31" s="9" t="s">
        <v>301</v>
      </c>
      <c r="D31" s="17" t="s">
        <v>755</v>
      </c>
      <c r="E31" s="9" t="s">
        <v>756</v>
      </c>
      <c r="F31" s="9" t="s">
        <v>733</v>
      </c>
      <c r="G31" s="32" t="s">
        <v>24</v>
      </c>
      <c r="H31" s="9" t="s">
        <v>757</v>
      </c>
      <c r="I31" s="13" t="s">
        <v>692</v>
      </c>
      <c r="J31" s="19"/>
      <c r="K31" s="14"/>
      <c r="L31" s="14"/>
      <c r="M31" s="14"/>
      <c r="N31" s="22"/>
      <c r="O31" s="12" t="str">
        <f t="shared" si="0"/>
        <v>Pendiente</v>
      </c>
    </row>
    <row r="32" spans="1:15" ht="78" customHeight="1">
      <c r="A32" s="17" t="s">
        <v>310</v>
      </c>
      <c r="B32" s="9" t="s">
        <v>108</v>
      </c>
      <c r="C32" s="9" t="s">
        <v>311</v>
      </c>
      <c r="D32" s="17" t="s">
        <v>758</v>
      </c>
      <c r="E32" s="9" t="s">
        <v>311</v>
      </c>
      <c r="F32" s="9" t="s">
        <v>733</v>
      </c>
      <c r="G32" s="32" t="s">
        <v>24</v>
      </c>
      <c r="H32" s="9" t="s">
        <v>759</v>
      </c>
      <c r="I32" s="13" t="s">
        <v>692</v>
      </c>
      <c r="J32" s="19"/>
      <c r="K32" s="14"/>
      <c r="L32" s="14"/>
      <c r="M32" s="14"/>
      <c r="N32" s="22"/>
      <c r="O32" s="12" t="str">
        <f t="shared" si="0"/>
        <v>Pendiente</v>
      </c>
    </row>
    <row r="33" spans="1:15" ht="78" customHeight="1">
      <c r="A33" s="17" t="s">
        <v>314</v>
      </c>
      <c r="B33" s="9" t="s">
        <v>108</v>
      </c>
      <c r="C33" s="9" t="s">
        <v>315</v>
      </c>
      <c r="D33" s="17" t="s">
        <v>760</v>
      </c>
      <c r="E33" s="9" t="s">
        <v>761</v>
      </c>
      <c r="F33" s="9" t="s">
        <v>728</v>
      </c>
      <c r="G33" s="32" t="s">
        <v>42</v>
      </c>
      <c r="H33" s="9" t="s">
        <v>762</v>
      </c>
      <c r="I33" s="13" t="s">
        <v>692</v>
      </c>
      <c r="J33" s="19"/>
      <c r="K33" s="14"/>
      <c r="L33" s="14"/>
      <c r="M33" s="14"/>
      <c r="N33" s="22"/>
      <c r="O33" s="12" t="str">
        <f t="shared" si="0"/>
        <v>Pendiente</v>
      </c>
    </row>
    <row r="34" spans="1:15" ht="94.05" customHeight="1">
      <c r="A34" s="17" t="s">
        <v>320</v>
      </c>
      <c r="B34" s="9" t="s">
        <v>108</v>
      </c>
      <c r="C34" s="9" t="s">
        <v>321</v>
      </c>
      <c r="D34" s="17" t="s">
        <v>763</v>
      </c>
      <c r="E34" s="9" t="s">
        <v>764</v>
      </c>
      <c r="F34" s="9" t="s">
        <v>18</v>
      </c>
      <c r="G34" s="32" t="s">
        <v>42</v>
      </c>
      <c r="H34" s="9" t="s">
        <v>765</v>
      </c>
      <c r="I34" s="13" t="s">
        <v>692</v>
      </c>
      <c r="J34" s="19"/>
      <c r="K34" s="14"/>
      <c r="L34" s="14"/>
      <c r="M34" s="14"/>
      <c r="N34" s="22"/>
      <c r="O34" s="12" t="str">
        <f t="shared" si="0"/>
        <v>Pendiente</v>
      </c>
    </row>
    <row r="35" spans="1:15" ht="94.05" customHeight="1">
      <c r="A35" s="17" t="s">
        <v>322</v>
      </c>
      <c r="B35" s="9" t="s">
        <v>108</v>
      </c>
      <c r="C35" s="9" t="s">
        <v>323</v>
      </c>
      <c r="D35" s="17" t="s">
        <v>763</v>
      </c>
      <c r="E35" s="9" t="s">
        <v>764</v>
      </c>
      <c r="F35" s="9" t="s">
        <v>728</v>
      </c>
      <c r="G35" s="32" t="s">
        <v>42</v>
      </c>
      <c r="H35" s="9" t="s">
        <v>766</v>
      </c>
      <c r="I35" s="13" t="s">
        <v>692</v>
      </c>
      <c r="J35" s="19"/>
      <c r="K35" s="14"/>
      <c r="L35" s="14"/>
      <c r="M35" s="14"/>
      <c r="N35" s="22"/>
      <c r="O35" s="12" t="str">
        <f t="shared" si="0"/>
        <v>Pendiente</v>
      </c>
    </row>
    <row r="36" spans="1:15" ht="78" customHeight="1">
      <c r="A36" s="17" t="s">
        <v>332</v>
      </c>
      <c r="B36" s="9" t="s">
        <v>108</v>
      </c>
      <c r="C36" s="9" t="s">
        <v>333</v>
      </c>
      <c r="D36" s="17" t="s">
        <v>767</v>
      </c>
      <c r="E36" s="9" t="s">
        <v>768</v>
      </c>
      <c r="F36" s="9" t="s">
        <v>733</v>
      </c>
      <c r="G36" s="32" t="s">
        <v>24</v>
      </c>
      <c r="H36" s="9" t="s">
        <v>769</v>
      </c>
      <c r="I36" s="13" t="s">
        <v>692</v>
      </c>
      <c r="J36" s="19"/>
      <c r="K36" s="14"/>
      <c r="L36" s="14"/>
      <c r="M36" s="14"/>
      <c r="N36" s="22"/>
      <c r="O36" s="12" t="str">
        <f t="shared" si="0"/>
        <v>Pendiente</v>
      </c>
    </row>
    <row r="37" spans="1:15" ht="78" customHeight="1">
      <c r="A37" s="17" t="s">
        <v>342</v>
      </c>
      <c r="B37" s="9" t="s">
        <v>108</v>
      </c>
      <c r="C37" s="9" t="s">
        <v>343</v>
      </c>
      <c r="D37" s="17" t="s">
        <v>770</v>
      </c>
      <c r="E37" s="9" t="s">
        <v>771</v>
      </c>
      <c r="F37" s="9" t="s">
        <v>728</v>
      </c>
      <c r="G37" s="32" t="s">
        <v>24</v>
      </c>
      <c r="H37" s="9" t="s">
        <v>772</v>
      </c>
      <c r="I37" s="13" t="s">
        <v>692</v>
      </c>
      <c r="J37" s="19"/>
      <c r="K37" s="14"/>
      <c r="L37" s="14"/>
      <c r="M37" s="14"/>
      <c r="N37" s="22"/>
      <c r="O37" s="12" t="str">
        <f t="shared" si="0"/>
        <v>Pendiente</v>
      </c>
    </row>
    <row r="38" spans="1:15" ht="78" customHeight="1">
      <c r="A38" s="17" t="s">
        <v>367</v>
      </c>
      <c r="B38" s="9" t="s">
        <v>357</v>
      </c>
      <c r="C38" s="9" t="s">
        <v>368</v>
      </c>
      <c r="D38" s="17" t="s">
        <v>773</v>
      </c>
      <c r="E38" s="9" t="s">
        <v>368</v>
      </c>
      <c r="F38" s="9" t="s">
        <v>733</v>
      </c>
      <c r="G38" s="32" t="s">
        <v>24</v>
      </c>
      <c r="H38" s="9" t="s">
        <v>774</v>
      </c>
      <c r="I38" s="13" t="s">
        <v>692</v>
      </c>
      <c r="J38" s="19"/>
      <c r="K38" s="14"/>
      <c r="L38" s="14"/>
      <c r="M38" s="14"/>
      <c r="N38" s="22"/>
      <c r="O38" s="12" t="str">
        <f t="shared" si="0"/>
        <v>Pendiente</v>
      </c>
    </row>
    <row r="39" spans="1:15" ht="94.05" customHeight="1">
      <c r="A39" s="17" t="s">
        <v>369</v>
      </c>
      <c r="B39" s="9" t="s">
        <v>357</v>
      </c>
      <c r="C39" s="9" t="s">
        <v>370</v>
      </c>
      <c r="D39" s="17" t="s">
        <v>712</v>
      </c>
      <c r="E39" s="9" t="s">
        <v>713</v>
      </c>
      <c r="F39" s="9" t="s">
        <v>728</v>
      </c>
      <c r="G39" s="32" t="s">
        <v>42</v>
      </c>
      <c r="H39" s="9" t="s">
        <v>775</v>
      </c>
      <c r="I39" s="13" t="s">
        <v>692</v>
      </c>
      <c r="J39" s="19"/>
      <c r="K39" s="14"/>
      <c r="L39" s="14"/>
      <c r="M39" s="14"/>
      <c r="N39" s="22"/>
      <c r="O39" s="12" t="str">
        <f t="shared" si="0"/>
        <v>Pendiente</v>
      </c>
    </row>
    <row r="40" spans="1:15" ht="78" customHeight="1">
      <c r="A40" s="17" t="s">
        <v>373</v>
      </c>
      <c r="B40" s="9" t="s">
        <v>357</v>
      </c>
      <c r="C40" s="9" t="s">
        <v>374</v>
      </c>
      <c r="D40" s="17" t="s">
        <v>776</v>
      </c>
      <c r="E40" s="9" t="s">
        <v>777</v>
      </c>
      <c r="F40" s="9" t="s">
        <v>733</v>
      </c>
      <c r="G40" s="32" t="s">
        <v>24</v>
      </c>
      <c r="H40" s="9" t="s">
        <v>778</v>
      </c>
      <c r="I40" s="13" t="s">
        <v>692</v>
      </c>
      <c r="J40" s="19"/>
      <c r="K40" s="14"/>
      <c r="L40" s="14"/>
      <c r="M40" s="14"/>
      <c r="N40" s="22"/>
      <c r="O40" s="12" t="str">
        <f t="shared" si="0"/>
        <v>Pendiente</v>
      </c>
    </row>
    <row r="41" spans="1:15" ht="94.05" customHeight="1">
      <c r="A41" s="17" t="s">
        <v>391</v>
      </c>
      <c r="B41" s="9" t="s">
        <v>357</v>
      </c>
      <c r="C41" s="9" t="s">
        <v>392</v>
      </c>
      <c r="D41" s="17" t="s">
        <v>779</v>
      </c>
      <c r="E41" s="9" t="s">
        <v>780</v>
      </c>
      <c r="F41" s="9" t="s">
        <v>728</v>
      </c>
      <c r="G41" s="32" t="s">
        <v>42</v>
      </c>
      <c r="H41" s="9" t="s">
        <v>781</v>
      </c>
      <c r="I41" s="13" t="s">
        <v>692</v>
      </c>
      <c r="J41" s="19"/>
      <c r="K41" s="14"/>
      <c r="L41" s="14"/>
      <c r="M41" s="14"/>
      <c r="N41" s="22"/>
      <c r="O41" s="12" t="str">
        <f t="shared" si="0"/>
        <v>Pendiente</v>
      </c>
    </row>
    <row r="42" spans="1:15" ht="94.05" customHeight="1">
      <c r="A42" s="17" t="s">
        <v>393</v>
      </c>
      <c r="B42" s="9" t="s">
        <v>357</v>
      </c>
      <c r="C42" s="9" t="s">
        <v>394</v>
      </c>
      <c r="D42" s="17" t="s">
        <v>782</v>
      </c>
      <c r="E42" s="9" t="s">
        <v>783</v>
      </c>
      <c r="F42" s="9" t="s">
        <v>728</v>
      </c>
      <c r="G42" s="32" t="s">
        <v>42</v>
      </c>
      <c r="H42" s="9" t="s">
        <v>784</v>
      </c>
      <c r="I42" s="13" t="s">
        <v>692</v>
      </c>
      <c r="J42" s="19"/>
      <c r="K42" s="14"/>
      <c r="L42" s="14"/>
      <c r="M42" s="14"/>
      <c r="N42" s="22"/>
      <c r="O42" s="12" t="str">
        <f t="shared" si="0"/>
        <v>Pendiente</v>
      </c>
    </row>
    <row r="43" spans="1:15" ht="94.05" customHeight="1">
      <c r="A43" s="17" t="s">
        <v>395</v>
      </c>
      <c r="B43" s="9" t="s">
        <v>357</v>
      </c>
      <c r="C43" s="9" t="s">
        <v>396</v>
      </c>
      <c r="D43" s="17" t="s">
        <v>785</v>
      </c>
      <c r="E43" s="9" t="s">
        <v>786</v>
      </c>
      <c r="F43" s="9" t="s">
        <v>728</v>
      </c>
      <c r="G43" s="32" t="s">
        <v>42</v>
      </c>
      <c r="H43" s="9" t="s">
        <v>787</v>
      </c>
      <c r="I43" s="13" t="s">
        <v>692</v>
      </c>
      <c r="J43" s="19"/>
      <c r="K43" s="14"/>
      <c r="L43" s="14"/>
      <c r="M43" s="14"/>
      <c r="N43" s="22"/>
      <c r="O43" s="12" t="str">
        <f t="shared" si="0"/>
        <v>Pendiente</v>
      </c>
    </row>
    <row r="44" spans="1:15" ht="78" customHeight="1">
      <c r="A44" s="17" t="s">
        <v>401</v>
      </c>
      <c r="B44" s="9" t="s">
        <v>357</v>
      </c>
      <c r="C44" s="9" t="s">
        <v>402</v>
      </c>
      <c r="D44" s="17" t="s">
        <v>788</v>
      </c>
      <c r="E44" s="9" t="s">
        <v>789</v>
      </c>
      <c r="F44" s="9" t="s">
        <v>733</v>
      </c>
      <c r="G44" s="32" t="s">
        <v>24</v>
      </c>
      <c r="H44" s="9" t="s">
        <v>790</v>
      </c>
      <c r="I44" s="13" t="s">
        <v>692</v>
      </c>
      <c r="J44" s="19"/>
      <c r="K44" s="14"/>
      <c r="L44" s="14"/>
      <c r="M44" s="14"/>
      <c r="N44" s="22"/>
      <c r="O44" s="12" t="str">
        <f t="shared" si="0"/>
        <v>Pendiente</v>
      </c>
    </row>
    <row r="45" spans="1:15" ht="78" customHeight="1">
      <c r="A45" s="17" t="s">
        <v>403</v>
      </c>
      <c r="B45" s="9" t="s">
        <v>357</v>
      </c>
      <c r="C45" s="9" t="s">
        <v>404</v>
      </c>
      <c r="D45" s="17" t="s">
        <v>791</v>
      </c>
      <c r="E45" s="9" t="s">
        <v>792</v>
      </c>
      <c r="F45" s="9" t="s">
        <v>728</v>
      </c>
      <c r="G45" s="32" t="s">
        <v>690</v>
      </c>
      <c r="H45" s="9" t="s">
        <v>793</v>
      </c>
      <c r="I45" s="13" t="s">
        <v>692</v>
      </c>
      <c r="J45" s="19"/>
      <c r="K45" s="14"/>
      <c r="L45" s="14"/>
      <c r="M45" s="14"/>
      <c r="N45" s="22"/>
      <c r="O45" s="12" t="str">
        <f t="shared" si="0"/>
        <v>Pendiente</v>
      </c>
    </row>
    <row r="46" spans="1:15" ht="78" customHeight="1">
      <c r="A46" s="17" t="s">
        <v>407</v>
      </c>
      <c r="B46" s="9" t="s">
        <v>357</v>
      </c>
      <c r="C46" s="9" t="s">
        <v>408</v>
      </c>
      <c r="D46" s="17" t="s">
        <v>794</v>
      </c>
      <c r="E46" s="9" t="s">
        <v>795</v>
      </c>
      <c r="F46" s="9" t="s">
        <v>728</v>
      </c>
      <c r="G46" s="32" t="s">
        <v>24</v>
      </c>
      <c r="H46" s="9" t="s">
        <v>796</v>
      </c>
      <c r="I46" s="13" t="s">
        <v>692</v>
      </c>
      <c r="J46" s="19"/>
      <c r="K46" s="14"/>
      <c r="L46" s="14"/>
      <c r="M46" s="14"/>
      <c r="N46" s="22"/>
      <c r="O46" s="12" t="str">
        <f t="shared" si="0"/>
        <v>Pendiente</v>
      </c>
    </row>
    <row r="47" spans="1:15" ht="78" customHeight="1">
      <c r="A47" s="17" t="s">
        <v>409</v>
      </c>
      <c r="B47" s="9" t="s">
        <v>357</v>
      </c>
      <c r="C47" s="9" t="s">
        <v>410</v>
      </c>
      <c r="D47" s="17" t="s">
        <v>794</v>
      </c>
      <c r="E47" s="9" t="s">
        <v>795</v>
      </c>
      <c r="F47" s="9" t="s">
        <v>728</v>
      </c>
      <c r="G47" s="32" t="s">
        <v>24</v>
      </c>
      <c r="H47" s="9" t="s">
        <v>797</v>
      </c>
      <c r="I47" s="13" t="s">
        <v>692</v>
      </c>
      <c r="J47" s="19"/>
      <c r="K47" s="14"/>
      <c r="L47" s="14"/>
      <c r="M47" s="14"/>
      <c r="N47" s="22"/>
      <c r="O47" s="12" t="str">
        <f t="shared" si="0"/>
        <v>Pendiente</v>
      </c>
    </row>
    <row r="48" spans="1:15" ht="78" customHeight="1">
      <c r="A48" s="17" t="s">
        <v>417</v>
      </c>
      <c r="B48" s="9" t="s">
        <v>357</v>
      </c>
      <c r="C48" s="9" t="s">
        <v>418</v>
      </c>
      <c r="D48" s="17" t="s">
        <v>798</v>
      </c>
      <c r="E48" s="9" t="s">
        <v>799</v>
      </c>
      <c r="F48" s="9" t="s">
        <v>728</v>
      </c>
      <c r="G48" s="32" t="s">
        <v>42</v>
      </c>
      <c r="H48" s="9" t="s">
        <v>800</v>
      </c>
      <c r="I48" s="13" t="s">
        <v>692</v>
      </c>
      <c r="J48" s="19"/>
      <c r="K48" s="14"/>
      <c r="L48" s="14"/>
      <c r="M48" s="14"/>
      <c r="N48" s="22"/>
      <c r="O48" s="12" t="str">
        <f t="shared" si="0"/>
        <v>Pendiente</v>
      </c>
    </row>
    <row r="49" spans="1:15" ht="94.05" customHeight="1">
      <c r="A49" s="17" t="s">
        <v>419</v>
      </c>
      <c r="B49" s="9" t="s">
        <v>357</v>
      </c>
      <c r="C49" s="9" t="s">
        <v>420</v>
      </c>
      <c r="D49" s="17" t="s">
        <v>798</v>
      </c>
      <c r="E49" s="9" t="s">
        <v>799</v>
      </c>
      <c r="F49" s="9" t="s">
        <v>728</v>
      </c>
      <c r="G49" s="32" t="s">
        <v>42</v>
      </c>
      <c r="H49" s="9" t="s">
        <v>801</v>
      </c>
      <c r="I49" s="13" t="s">
        <v>692</v>
      </c>
      <c r="J49" s="19"/>
      <c r="K49" s="14"/>
      <c r="L49" s="14"/>
      <c r="M49" s="14"/>
      <c r="N49" s="22"/>
      <c r="O49" s="12" t="str">
        <f t="shared" si="0"/>
        <v>Pendiente</v>
      </c>
    </row>
    <row r="50" spans="1:15" ht="94.05" customHeight="1">
      <c r="A50" s="17" t="s">
        <v>425</v>
      </c>
      <c r="B50" s="9" t="s">
        <v>357</v>
      </c>
      <c r="C50" s="9" t="s">
        <v>426</v>
      </c>
      <c r="D50" s="17" t="s">
        <v>802</v>
      </c>
      <c r="E50" s="9" t="s">
        <v>803</v>
      </c>
      <c r="F50" s="9" t="s">
        <v>728</v>
      </c>
      <c r="G50" s="32" t="s">
        <v>42</v>
      </c>
      <c r="H50" s="9" t="s">
        <v>804</v>
      </c>
      <c r="I50" s="13" t="s">
        <v>692</v>
      </c>
      <c r="J50" s="19"/>
      <c r="K50" s="14"/>
      <c r="L50" s="14"/>
      <c r="M50" s="14"/>
      <c r="N50" s="22"/>
      <c r="O50" s="12" t="str">
        <f t="shared" si="0"/>
        <v>Pendiente</v>
      </c>
    </row>
    <row r="51" spans="1:15" ht="94.05" customHeight="1">
      <c r="A51" s="17" t="s">
        <v>427</v>
      </c>
      <c r="B51" s="9" t="s">
        <v>357</v>
      </c>
      <c r="C51" s="9" t="s">
        <v>428</v>
      </c>
      <c r="D51" s="17" t="s">
        <v>805</v>
      </c>
      <c r="E51" s="9" t="s">
        <v>806</v>
      </c>
      <c r="F51" s="9" t="s">
        <v>728</v>
      </c>
      <c r="G51" s="32" t="s">
        <v>42</v>
      </c>
      <c r="H51" s="9" t="s">
        <v>807</v>
      </c>
      <c r="I51" s="13" t="s">
        <v>692</v>
      </c>
      <c r="J51" s="19"/>
      <c r="K51" s="14"/>
      <c r="L51" s="14"/>
      <c r="M51" s="14"/>
      <c r="N51" s="22"/>
      <c r="O51" s="12" t="str">
        <f t="shared" si="0"/>
        <v>Pendiente</v>
      </c>
    </row>
    <row r="52" spans="1:15" ht="78" customHeight="1">
      <c r="A52" s="17" t="s">
        <v>429</v>
      </c>
      <c r="B52" s="9" t="s">
        <v>357</v>
      </c>
      <c r="C52" s="9" t="s">
        <v>430</v>
      </c>
      <c r="D52" s="17" t="s">
        <v>808</v>
      </c>
      <c r="E52" s="9" t="s">
        <v>809</v>
      </c>
      <c r="F52" s="9" t="s">
        <v>733</v>
      </c>
      <c r="G52" s="32" t="s">
        <v>24</v>
      </c>
      <c r="H52" s="9" t="s">
        <v>810</v>
      </c>
      <c r="I52" s="13" t="s">
        <v>692</v>
      </c>
      <c r="J52" s="19"/>
      <c r="K52" s="14"/>
      <c r="L52" s="14"/>
      <c r="M52" s="14"/>
      <c r="N52" s="22"/>
      <c r="O52" s="12" t="str">
        <f t="shared" si="0"/>
        <v>Pendiente</v>
      </c>
    </row>
    <row r="53" spans="1:15" ht="94.05" customHeight="1">
      <c r="A53" s="17" t="s">
        <v>433</v>
      </c>
      <c r="B53" s="9" t="s">
        <v>357</v>
      </c>
      <c r="C53" s="9" t="s">
        <v>434</v>
      </c>
      <c r="D53" s="17" t="s">
        <v>811</v>
      </c>
      <c r="E53" s="9" t="s">
        <v>812</v>
      </c>
      <c r="F53" s="9" t="s">
        <v>728</v>
      </c>
      <c r="G53" s="32" t="s">
        <v>42</v>
      </c>
      <c r="H53" s="9" t="s">
        <v>813</v>
      </c>
      <c r="I53" s="13" t="s">
        <v>692</v>
      </c>
      <c r="J53" s="19"/>
      <c r="K53" s="14"/>
      <c r="L53" s="14"/>
      <c r="M53" s="14"/>
      <c r="N53" s="22"/>
      <c r="O53" s="12" t="str">
        <f t="shared" si="0"/>
        <v>Pendiente</v>
      </c>
    </row>
    <row r="54" spans="1:15" ht="78" customHeight="1">
      <c r="A54" s="17" t="s">
        <v>439</v>
      </c>
      <c r="B54" s="9" t="s">
        <v>357</v>
      </c>
      <c r="C54" s="9" t="s">
        <v>440</v>
      </c>
      <c r="D54" s="17" t="s">
        <v>814</v>
      </c>
      <c r="E54" s="9" t="s">
        <v>815</v>
      </c>
      <c r="F54" s="9" t="s">
        <v>728</v>
      </c>
      <c r="G54" s="32" t="s">
        <v>42</v>
      </c>
      <c r="H54" s="9" t="s">
        <v>816</v>
      </c>
      <c r="I54" s="13" t="s">
        <v>692</v>
      </c>
      <c r="J54" s="19"/>
      <c r="K54" s="14"/>
      <c r="L54" s="14"/>
      <c r="M54" s="14"/>
      <c r="N54" s="22"/>
      <c r="O54" s="12" t="str">
        <f t="shared" si="0"/>
        <v>Pendiente</v>
      </c>
    </row>
    <row r="55" spans="1:15" ht="78" customHeight="1">
      <c r="A55" s="17" t="s">
        <v>441</v>
      </c>
      <c r="B55" s="9" t="s">
        <v>357</v>
      </c>
      <c r="C55" s="9" t="s">
        <v>442</v>
      </c>
      <c r="D55" s="17" t="s">
        <v>817</v>
      </c>
      <c r="E55" s="9" t="s">
        <v>818</v>
      </c>
      <c r="F55" s="9" t="s">
        <v>728</v>
      </c>
      <c r="G55" s="32" t="s">
        <v>42</v>
      </c>
      <c r="H55" s="9" t="s">
        <v>819</v>
      </c>
      <c r="I55" s="13" t="s">
        <v>692</v>
      </c>
      <c r="J55" s="19"/>
      <c r="K55" s="14"/>
      <c r="L55" s="14"/>
      <c r="M55" s="14"/>
      <c r="N55" s="22"/>
      <c r="O55" s="12" t="str">
        <f t="shared" si="0"/>
        <v>Pendiente</v>
      </c>
    </row>
    <row r="56" spans="1:15" ht="78" customHeight="1">
      <c r="A56" s="17" t="s">
        <v>443</v>
      </c>
      <c r="B56" s="9" t="s">
        <v>357</v>
      </c>
      <c r="C56" s="9" t="s">
        <v>444</v>
      </c>
      <c r="D56" s="17" t="s">
        <v>820</v>
      </c>
      <c r="E56" s="9" t="s">
        <v>821</v>
      </c>
      <c r="F56" s="9" t="s">
        <v>728</v>
      </c>
      <c r="G56" s="32" t="s">
        <v>42</v>
      </c>
      <c r="H56" s="9" t="s">
        <v>822</v>
      </c>
      <c r="I56" s="13" t="s">
        <v>692</v>
      </c>
      <c r="J56" s="19"/>
      <c r="K56" s="14"/>
      <c r="L56" s="14"/>
      <c r="M56" s="14"/>
      <c r="N56" s="22"/>
      <c r="O56" s="12" t="str">
        <f t="shared" si="0"/>
        <v>Pendiente</v>
      </c>
    </row>
    <row r="57" spans="1:15" ht="78" customHeight="1">
      <c r="A57" s="17" t="s">
        <v>445</v>
      </c>
      <c r="B57" s="9" t="s">
        <v>357</v>
      </c>
      <c r="C57" s="9" t="s">
        <v>446</v>
      </c>
      <c r="D57" s="17" t="s">
        <v>823</v>
      </c>
      <c r="E57" s="9" t="s">
        <v>824</v>
      </c>
      <c r="F57" s="9" t="s">
        <v>733</v>
      </c>
      <c r="G57" s="32" t="s">
        <v>24</v>
      </c>
      <c r="H57" s="9" t="s">
        <v>825</v>
      </c>
      <c r="I57" s="13" t="s">
        <v>692</v>
      </c>
      <c r="J57" s="19"/>
      <c r="K57" s="14"/>
      <c r="L57" s="14"/>
      <c r="M57" s="14"/>
      <c r="N57" s="22"/>
      <c r="O57" s="12" t="str">
        <f t="shared" si="0"/>
        <v>Pendiente</v>
      </c>
    </row>
    <row r="58" spans="1:15" ht="78" customHeight="1">
      <c r="A58" s="17" t="s">
        <v>449</v>
      </c>
      <c r="B58" s="9" t="s">
        <v>357</v>
      </c>
      <c r="C58" s="9" t="s">
        <v>450</v>
      </c>
      <c r="D58" s="17" t="s">
        <v>826</v>
      </c>
      <c r="E58" s="9" t="s">
        <v>450</v>
      </c>
      <c r="F58" s="9" t="s">
        <v>733</v>
      </c>
      <c r="G58" s="32" t="s">
        <v>24</v>
      </c>
      <c r="H58" s="9" t="s">
        <v>827</v>
      </c>
      <c r="I58" s="13" t="s">
        <v>692</v>
      </c>
      <c r="J58" s="19"/>
      <c r="K58" s="14"/>
      <c r="L58" s="14"/>
      <c r="M58" s="14"/>
      <c r="N58" s="22"/>
      <c r="O58" s="12" t="str">
        <f t="shared" si="0"/>
        <v>Pendiente</v>
      </c>
    </row>
    <row r="59" spans="1:15" ht="78" customHeight="1">
      <c r="A59" s="17" t="s">
        <v>451</v>
      </c>
      <c r="B59" s="9" t="s">
        <v>357</v>
      </c>
      <c r="C59" s="9" t="s">
        <v>452</v>
      </c>
      <c r="D59" s="17" t="s">
        <v>828</v>
      </c>
      <c r="E59" s="9" t="s">
        <v>829</v>
      </c>
      <c r="F59" s="9" t="s">
        <v>733</v>
      </c>
      <c r="G59" s="32" t="s">
        <v>24</v>
      </c>
      <c r="H59" s="9" t="s">
        <v>830</v>
      </c>
      <c r="I59" s="13" t="s">
        <v>692</v>
      </c>
      <c r="J59" s="19"/>
      <c r="K59" s="14"/>
      <c r="L59" s="14"/>
      <c r="M59" s="14"/>
      <c r="N59" s="22"/>
      <c r="O59" s="12" t="str">
        <f t="shared" si="0"/>
        <v>Pendiente</v>
      </c>
    </row>
    <row r="60" spans="1:15" ht="78" customHeight="1">
      <c r="A60" s="17" t="s">
        <v>453</v>
      </c>
      <c r="B60" s="9" t="s">
        <v>357</v>
      </c>
      <c r="C60" s="9" t="s">
        <v>454</v>
      </c>
      <c r="D60" s="17" t="s">
        <v>831</v>
      </c>
      <c r="E60" s="9" t="s">
        <v>832</v>
      </c>
      <c r="F60" s="9" t="s">
        <v>733</v>
      </c>
      <c r="G60" s="32" t="s">
        <v>24</v>
      </c>
      <c r="H60" s="9" t="s">
        <v>833</v>
      </c>
      <c r="I60" s="13" t="s">
        <v>692</v>
      </c>
      <c r="J60" s="19"/>
      <c r="K60" s="14"/>
      <c r="L60" s="14"/>
      <c r="M60" s="14"/>
      <c r="N60" s="22"/>
      <c r="O60" s="12" t="str">
        <f t="shared" si="0"/>
        <v>Pendiente</v>
      </c>
    </row>
    <row r="61" spans="1:15" ht="78" customHeight="1">
      <c r="A61" s="17" t="s">
        <v>461</v>
      </c>
      <c r="B61" s="9" t="s">
        <v>357</v>
      </c>
      <c r="C61" s="9" t="s">
        <v>462</v>
      </c>
      <c r="D61" s="17" t="s">
        <v>760</v>
      </c>
      <c r="E61" s="9" t="s">
        <v>761</v>
      </c>
      <c r="F61" s="9" t="s">
        <v>728</v>
      </c>
      <c r="G61" s="32" t="s">
        <v>42</v>
      </c>
      <c r="H61" s="9" t="s">
        <v>834</v>
      </c>
      <c r="I61" s="13" t="s">
        <v>692</v>
      </c>
      <c r="J61" s="19"/>
      <c r="K61" s="14"/>
      <c r="L61" s="14"/>
      <c r="M61" s="14"/>
      <c r="N61" s="22"/>
      <c r="O61" s="12" t="str">
        <f t="shared" si="0"/>
        <v>Pendiente</v>
      </c>
    </row>
    <row r="62" spans="1:15" ht="78" customHeight="1">
      <c r="A62" s="17" t="s">
        <v>463</v>
      </c>
      <c r="B62" s="9" t="s">
        <v>464</v>
      </c>
      <c r="C62" s="9" t="s">
        <v>465</v>
      </c>
      <c r="D62" s="17" t="s">
        <v>835</v>
      </c>
      <c r="E62" s="9" t="s">
        <v>836</v>
      </c>
      <c r="F62" s="9" t="s">
        <v>733</v>
      </c>
      <c r="G62" s="32" t="s">
        <v>24</v>
      </c>
      <c r="H62" s="9" t="s">
        <v>837</v>
      </c>
      <c r="I62" s="13" t="s">
        <v>692</v>
      </c>
      <c r="J62" s="19"/>
      <c r="K62" s="14"/>
      <c r="L62" s="14"/>
      <c r="M62" s="14"/>
      <c r="N62" s="22"/>
      <c r="O62" s="12" t="str">
        <f t="shared" si="0"/>
        <v>Pendiente</v>
      </c>
    </row>
    <row r="63" spans="1:15" ht="78" customHeight="1">
      <c r="A63" s="17" t="s">
        <v>466</v>
      </c>
      <c r="B63" s="9" t="s">
        <v>464</v>
      </c>
      <c r="C63" s="9" t="s">
        <v>467</v>
      </c>
      <c r="D63" s="17" t="s">
        <v>838</v>
      </c>
      <c r="E63" s="9" t="s">
        <v>839</v>
      </c>
      <c r="F63" s="9" t="s">
        <v>733</v>
      </c>
      <c r="G63" s="32" t="s">
        <v>24</v>
      </c>
      <c r="H63" s="9" t="s">
        <v>840</v>
      </c>
      <c r="I63" s="13" t="s">
        <v>692</v>
      </c>
      <c r="J63" s="19"/>
      <c r="K63" s="14"/>
      <c r="L63" s="14"/>
      <c r="M63" s="14"/>
      <c r="N63" s="22"/>
      <c r="O63" s="12" t="str">
        <f t="shared" si="0"/>
        <v>Pendiente</v>
      </c>
    </row>
    <row r="64" spans="1:15" ht="78" customHeight="1">
      <c r="A64" s="17" t="s">
        <v>474</v>
      </c>
      <c r="B64" s="9" t="s">
        <v>464</v>
      </c>
      <c r="C64" s="9" t="s">
        <v>475</v>
      </c>
      <c r="D64" s="17" t="s">
        <v>841</v>
      </c>
      <c r="E64" s="9" t="s">
        <v>842</v>
      </c>
      <c r="F64" s="9" t="s">
        <v>728</v>
      </c>
      <c r="G64" s="32" t="s">
        <v>42</v>
      </c>
      <c r="H64" s="9" t="s">
        <v>843</v>
      </c>
      <c r="I64" s="13" t="s">
        <v>692</v>
      </c>
      <c r="J64" s="19"/>
      <c r="K64" s="14"/>
      <c r="L64" s="14"/>
      <c r="M64" s="14"/>
      <c r="N64" s="22"/>
      <c r="O64" s="12" t="str">
        <f t="shared" si="0"/>
        <v>Pendiente</v>
      </c>
    </row>
    <row r="65" spans="1:15" ht="94.05" customHeight="1">
      <c r="A65" s="17" t="s">
        <v>478</v>
      </c>
      <c r="B65" s="9" t="s">
        <v>464</v>
      </c>
      <c r="C65" s="9" t="s">
        <v>479</v>
      </c>
      <c r="D65" s="17" t="s">
        <v>719</v>
      </c>
      <c r="E65" s="9" t="s">
        <v>720</v>
      </c>
      <c r="F65" s="9" t="s">
        <v>728</v>
      </c>
      <c r="G65" s="32" t="s">
        <v>42</v>
      </c>
      <c r="H65" s="9" t="s">
        <v>844</v>
      </c>
      <c r="I65" s="13" t="s">
        <v>692</v>
      </c>
      <c r="J65" s="19"/>
      <c r="K65" s="14"/>
      <c r="L65" s="14"/>
      <c r="M65" s="14"/>
      <c r="N65" s="22"/>
      <c r="O65" s="12" t="str">
        <f t="shared" si="0"/>
        <v>Pendiente</v>
      </c>
    </row>
    <row r="66" spans="1:15" ht="78" customHeight="1">
      <c r="A66" s="17" t="s">
        <v>482</v>
      </c>
      <c r="B66" s="9" t="s">
        <v>464</v>
      </c>
      <c r="C66" s="9" t="s">
        <v>483</v>
      </c>
      <c r="D66" s="17" t="s">
        <v>845</v>
      </c>
      <c r="E66" s="9" t="s">
        <v>846</v>
      </c>
      <c r="F66" s="9" t="s">
        <v>733</v>
      </c>
      <c r="G66" s="32" t="s">
        <v>24</v>
      </c>
      <c r="H66" s="9" t="s">
        <v>847</v>
      </c>
      <c r="I66" s="13" t="s">
        <v>692</v>
      </c>
      <c r="J66" s="19"/>
      <c r="K66" s="14"/>
      <c r="L66" s="14"/>
      <c r="M66" s="14"/>
      <c r="N66" s="22"/>
      <c r="O66" s="12" t="str">
        <f t="shared" si="0"/>
        <v>Pendiente</v>
      </c>
    </row>
    <row r="67" spans="1:15" ht="78" customHeight="1">
      <c r="A67" s="17" t="s">
        <v>486</v>
      </c>
      <c r="B67" s="9" t="s">
        <v>464</v>
      </c>
      <c r="C67" s="9" t="s">
        <v>487</v>
      </c>
      <c r="D67" s="17" t="s">
        <v>848</v>
      </c>
      <c r="E67" s="9" t="s">
        <v>849</v>
      </c>
      <c r="F67" s="9" t="s">
        <v>733</v>
      </c>
      <c r="G67" s="32" t="s">
        <v>24</v>
      </c>
      <c r="H67" s="9" t="s">
        <v>850</v>
      </c>
      <c r="I67" s="13" t="s">
        <v>692</v>
      </c>
      <c r="J67" s="19"/>
      <c r="K67" s="14"/>
      <c r="L67" s="14"/>
      <c r="M67" s="14"/>
      <c r="N67" s="22"/>
      <c r="O67" s="12" t="str">
        <f t="shared" si="0"/>
        <v>Pendiente</v>
      </c>
    </row>
    <row r="68" spans="1:15" ht="94.05" customHeight="1">
      <c r="A68" s="17" t="s">
        <v>488</v>
      </c>
      <c r="B68" s="9" t="s">
        <v>464</v>
      </c>
      <c r="C68" s="9" t="s">
        <v>489</v>
      </c>
      <c r="D68" s="17" t="s">
        <v>851</v>
      </c>
      <c r="E68" s="9" t="s">
        <v>852</v>
      </c>
      <c r="F68" s="9" t="s">
        <v>728</v>
      </c>
      <c r="G68" s="32" t="s">
        <v>42</v>
      </c>
      <c r="H68" s="9" t="s">
        <v>853</v>
      </c>
      <c r="I68" s="13" t="s">
        <v>692</v>
      </c>
      <c r="J68" s="19"/>
      <c r="K68" s="14"/>
      <c r="L68" s="14"/>
      <c r="M68" s="14"/>
      <c r="N68" s="22"/>
      <c r="O68" s="12" t="str">
        <f t="shared" si="0"/>
        <v>Pendiente</v>
      </c>
    </row>
    <row r="69" spans="1:15" ht="78" customHeight="1">
      <c r="A69" s="17" t="s">
        <v>492</v>
      </c>
      <c r="B69" s="9" t="s">
        <v>464</v>
      </c>
      <c r="C69" s="9" t="s">
        <v>493</v>
      </c>
      <c r="D69" s="17" t="s">
        <v>851</v>
      </c>
      <c r="E69" s="9" t="s">
        <v>852</v>
      </c>
      <c r="F69" s="9" t="s">
        <v>728</v>
      </c>
      <c r="G69" s="32" t="s">
        <v>42</v>
      </c>
      <c r="H69" s="9" t="s">
        <v>854</v>
      </c>
      <c r="I69" s="13" t="s">
        <v>692</v>
      </c>
      <c r="J69" s="19"/>
      <c r="K69" s="14"/>
      <c r="L69" s="14"/>
      <c r="M69" s="14"/>
      <c r="N69" s="22"/>
      <c r="O69" s="12" t="str">
        <f t="shared" si="0"/>
        <v>Pendiente</v>
      </c>
    </row>
    <row r="70" spans="1:15" ht="94.05" customHeight="1">
      <c r="A70" s="17" t="s">
        <v>494</v>
      </c>
      <c r="B70" s="9" t="s">
        <v>464</v>
      </c>
      <c r="C70" s="9" t="s">
        <v>495</v>
      </c>
      <c r="D70" s="17" t="s">
        <v>855</v>
      </c>
      <c r="E70" s="9" t="s">
        <v>856</v>
      </c>
      <c r="F70" s="9" t="s">
        <v>728</v>
      </c>
      <c r="G70" s="32" t="s">
        <v>24</v>
      </c>
      <c r="H70" s="9" t="s">
        <v>857</v>
      </c>
      <c r="I70" s="13" t="s">
        <v>692</v>
      </c>
      <c r="J70" s="19"/>
      <c r="K70" s="14"/>
      <c r="L70" s="14"/>
      <c r="M70" s="14"/>
      <c r="N70" s="22"/>
      <c r="O70" s="12" t="str">
        <f t="shared" si="0"/>
        <v>Pendiente</v>
      </c>
    </row>
    <row r="71" spans="1:15" ht="78" customHeight="1">
      <c r="A71" s="17" t="s">
        <v>496</v>
      </c>
      <c r="B71" s="9" t="s">
        <v>464</v>
      </c>
      <c r="C71" s="9" t="s">
        <v>497</v>
      </c>
      <c r="D71" s="17" t="s">
        <v>858</v>
      </c>
      <c r="E71" s="9" t="s">
        <v>859</v>
      </c>
      <c r="F71" s="9" t="s">
        <v>728</v>
      </c>
      <c r="G71" s="32" t="s">
        <v>42</v>
      </c>
      <c r="H71" s="9" t="s">
        <v>860</v>
      </c>
      <c r="I71" s="13" t="s">
        <v>692</v>
      </c>
      <c r="J71" s="19"/>
      <c r="K71" s="14"/>
      <c r="L71" s="14"/>
      <c r="M71" s="14"/>
      <c r="N71" s="22"/>
      <c r="O71" s="12" t="str">
        <f t="shared" si="0"/>
        <v>Pendiente</v>
      </c>
    </row>
    <row r="72" spans="1:15" ht="78" customHeight="1">
      <c r="A72" s="17" t="s">
        <v>498</v>
      </c>
      <c r="B72" s="9" t="s">
        <v>464</v>
      </c>
      <c r="C72" s="9" t="s">
        <v>499</v>
      </c>
      <c r="D72" s="17" t="s">
        <v>861</v>
      </c>
      <c r="E72" s="9" t="s">
        <v>862</v>
      </c>
      <c r="F72" s="9" t="s">
        <v>728</v>
      </c>
      <c r="G72" s="32" t="s">
        <v>42</v>
      </c>
      <c r="H72" s="9" t="s">
        <v>863</v>
      </c>
      <c r="I72" s="13" t="s">
        <v>692</v>
      </c>
      <c r="J72" s="19"/>
      <c r="K72" s="14"/>
      <c r="L72" s="14"/>
      <c r="M72" s="14"/>
      <c r="N72" s="22"/>
      <c r="O72" s="12" t="str">
        <f t="shared" ref="O72:O135" si="1">IF(I72="Pendiente","Pendiente",IF(I72="Equivalente confirmado",IF(OR(J72="",K72=""),"Falta código o nombre",IF(OR(L72="",M72=""),"Falta validación",IF(OR(NOT(ISNUMBER(N72)),N72&lt;=0),"Falta fecha","Homologado"))),IF(I72="Sin equivalente en AVAIN",IF(OR(J72&lt;&gt;"",K72&lt;&gt;""),"Quitar código y nombre",IF(OR(L72="",M72=""),"Falta validación",IF(OR(NOT(ISNUMBER(N72)),N72&lt;=0),"Falta fecha","Sin equivalente confirmado"))),"Revisar decisión")))</f>
        <v>Pendiente</v>
      </c>
    </row>
    <row r="73" spans="1:15" ht="78" customHeight="1">
      <c r="A73" s="17" t="s">
        <v>500</v>
      </c>
      <c r="B73" s="9" t="s">
        <v>464</v>
      </c>
      <c r="C73" s="9" t="s">
        <v>501</v>
      </c>
      <c r="D73" s="17" t="s">
        <v>723</v>
      </c>
      <c r="E73" s="9" t="s">
        <v>864</v>
      </c>
      <c r="F73" s="9" t="s">
        <v>728</v>
      </c>
      <c r="G73" s="32" t="s">
        <v>42</v>
      </c>
      <c r="H73" s="9" t="s">
        <v>865</v>
      </c>
      <c r="I73" s="13" t="s">
        <v>692</v>
      </c>
      <c r="J73" s="19"/>
      <c r="K73" s="14"/>
      <c r="L73" s="14"/>
      <c r="M73" s="14"/>
      <c r="N73" s="22"/>
      <c r="O73" s="12" t="str">
        <f t="shared" si="1"/>
        <v>Pendiente</v>
      </c>
    </row>
    <row r="74" spans="1:15" ht="78" customHeight="1">
      <c r="A74" s="17" t="s">
        <v>502</v>
      </c>
      <c r="B74" s="9" t="s">
        <v>464</v>
      </c>
      <c r="C74" s="9" t="s">
        <v>503</v>
      </c>
      <c r="D74" s="17" t="s">
        <v>866</v>
      </c>
      <c r="E74" s="9" t="s">
        <v>867</v>
      </c>
      <c r="F74" s="9" t="s">
        <v>728</v>
      </c>
      <c r="G74" s="32" t="s">
        <v>42</v>
      </c>
      <c r="H74" s="9" t="s">
        <v>868</v>
      </c>
      <c r="I74" s="13" t="s">
        <v>692</v>
      </c>
      <c r="J74" s="19"/>
      <c r="K74" s="14"/>
      <c r="L74" s="14"/>
      <c r="M74" s="14"/>
      <c r="N74" s="22"/>
      <c r="O74" s="12" t="str">
        <f t="shared" si="1"/>
        <v>Pendiente</v>
      </c>
    </row>
    <row r="75" spans="1:15" ht="94.05" customHeight="1">
      <c r="A75" s="17" t="s">
        <v>506</v>
      </c>
      <c r="B75" s="9" t="s">
        <v>464</v>
      </c>
      <c r="C75" s="9" t="s">
        <v>507</v>
      </c>
      <c r="D75" s="17" t="s">
        <v>869</v>
      </c>
      <c r="E75" s="9" t="s">
        <v>870</v>
      </c>
      <c r="F75" s="9" t="s">
        <v>728</v>
      </c>
      <c r="G75" s="32" t="s">
        <v>42</v>
      </c>
      <c r="H75" s="9" t="s">
        <v>871</v>
      </c>
      <c r="I75" s="13" t="s">
        <v>692</v>
      </c>
      <c r="J75" s="19"/>
      <c r="K75" s="14"/>
      <c r="L75" s="14"/>
      <c r="M75" s="14"/>
      <c r="N75" s="22"/>
      <c r="O75" s="12" t="str">
        <f t="shared" si="1"/>
        <v>Pendiente</v>
      </c>
    </row>
    <row r="76" spans="1:15" ht="78" customHeight="1">
      <c r="A76" s="17" t="s">
        <v>508</v>
      </c>
      <c r="B76" s="9" t="s">
        <v>464</v>
      </c>
      <c r="C76" s="9" t="s">
        <v>509</v>
      </c>
      <c r="D76" s="17" t="s">
        <v>872</v>
      </c>
      <c r="E76" s="9" t="s">
        <v>873</v>
      </c>
      <c r="F76" s="9" t="s">
        <v>728</v>
      </c>
      <c r="G76" s="32" t="s">
        <v>42</v>
      </c>
      <c r="H76" s="9" t="s">
        <v>874</v>
      </c>
      <c r="I76" s="13" t="s">
        <v>692</v>
      </c>
      <c r="J76" s="19"/>
      <c r="K76" s="14"/>
      <c r="L76" s="14"/>
      <c r="M76" s="14"/>
      <c r="N76" s="22"/>
      <c r="O76" s="12" t="str">
        <f t="shared" si="1"/>
        <v>Pendiente</v>
      </c>
    </row>
    <row r="77" spans="1:15" ht="94.05" customHeight="1">
      <c r="A77" s="17" t="s">
        <v>510</v>
      </c>
      <c r="B77" s="9" t="s">
        <v>464</v>
      </c>
      <c r="C77" s="9" t="s">
        <v>511</v>
      </c>
      <c r="D77" s="17" t="s">
        <v>875</v>
      </c>
      <c r="E77" s="9" t="s">
        <v>876</v>
      </c>
      <c r="F77" s="9" t="s">
        <v>728</v>
      </c>
      <c r="G77" s="32" t="s">
        <v>24</v>
      </c>
      <c r="H77" s="9" t="s">
        <v>877</v>
      </c>
      <c r="I77" s="13" t="s">
        <v>692</v>
      </c>
      <c r="J77" s="19"/>
      <c r="K77" s="14"/>
      <c r="L77" s="14"/>
      <c r="M77" s="14"/>
      <c r="N77" s="22"/>
      <c r="O77" s="12" t="str">
        <f t="shared" si="1"/>
        <v>Pendiente</v>
      </c>
    </row>
    <row r="78" spans="1:15" ht="78" customHeight="1">
      <c r="A78" s="17" t="s">
        <v>512</v>
      </c>
      <c r="B78" s="9" t="s">
        <v>464</v>
      </c>
      <c r="C78" s="9" t="s">
        <v>513</v>
      </c>
      <c r="D78" s="17" t="s">
        <v>878</v>
      </c>
      <c r="E78" s="9" t="s">
        <v>879</v>
      </c>
      <c r="F78" s="9" t="s">
        <v>728</v>
      </c>
      <c r="G78" s="32" t="s">
        <v>24</v>
      </c>
      <c r="H78" s="9" t="s">
        <v>880</v>
      </c>
      <c r="I78" s="13" t="s">
        <v>692</v>
      </c>
      <c r="J78" s="19"/>
      <c r="K78" s="14"/>
      <c r="L78" s="14"/>
      <c r="M78" s="14"/>
      <c r="N78" s="22"/>
      <c r="O78" s="12" t="str">
        <f t="shared" si="1"/>
        <v>Pendiente</v>
      </c>
    </row>
    <row r="79" spans="1:15" ht="78" customHeight="1">
      <c r="A79" s="17" t="s">
        <v>514</v>
      </c>
      <c r="B79" s="9" t="s">
        <v>464</v>
      </c>
      <c r="C79" s="9" t="s">
        <v>515</v>
      </c>
      <c r="D79" s="17" t="s">
        <v>881</v>
      </c>
      <c r="E79" s="9" t="s">
        <v>882</v>
      </c>
      <c r="F79" s="9" t="s">
        <v>733</v>
      </c>
      <c r="G79" s="32" t="s">
        <v>24</v>
      </c>
      <c r="H79" s="9" t="s">
        <v>883</v>
      </c>
      <c r="I79" s="13" t="s">
        <v>692</v>
      </c>
      <c r="J79" s="19"/>
      <c r="K79" s="14"/>
      <c r="L79" s="14"/>
      <c r="M79" s="14"/>
      <c r="N79" s="22"/>
      <c r="O79" s="12" t="str">
        <f t="shared" si="1"/>
        <v>Pendiente</v>
      </c>
    </row>
    <row r="80" spans="1:15" ht="78" customHeight="1">
      <c r="A80" s="17" t="s">
        <v>516</v>
      </c>
      <c r="B80" s="9" t="s">
        <v>464</v>
      </c>
      <c r="C80" s="9" t="s">
        <v>517</v>
      </c>
      <c r="D80" s="17" t="s">
        <v>884</v>
      </c>
      <c r="E80" s="9" t="s">
        <v>885</v>
      </c>
      <c r="F80" s="9" t="s">
        <v>733</v>
      </c>
      <c r="G80" s="32" t="s">
        <v>24</v>
      </c>
      <c r="H80" s="9" t="s">
        <v>886</v>
      </c>
      <c r="I80" s="13" t="s">
        <v>692</v>
      </c>
      <c r="J80" s="19"/>
      <c r="K80" s="14"/>
      <c r="L80" s="14"/>
      <c r="M80" s="14"/>
      <c r="N80" s="22"/>
      <c r="O80" s="12" t="str">
        <f t="shared" si="1"/>
        <v>Pendiente</v>
      </c>
    </row>
    <row r="81" spans="1:15" ht="78" customHeight="1">
      <c r="A81" s="17" t="s">
        <v>518</v>
      </c>
      <c r="B81" s="9" t="s">
        <v>464</v>
      </c>
      <c r="C81" s="9" t="s">
        <v>519</v>
      </c>
      <c r="D81" s="17" t="s">
        <v>887</v>
      </c>
      <c r="E81" s="9" t="s">
        <v>888</v>
      </c>
      <c r="F81" s="9" t="s">
        <v>733</v>
      </c>
      <c r="G81" s="32" t="s">
        <v>24</v>
      </c>
      <c r="H81" s="9" t="s">
        <v>889</v>
      </c>
      <c r="I81" s="13" t="s">
        <v>692</v>
      </c>
      <c r="J81" s="19"/>
      <c r="K81" s="14"/>
      <c r="L81" s="14"/>
      <c r="M81" s="14"/>
      <c r="N81" s="22"/>
      <c r="O81" s="12" t="str">
        <f t="shared" si="1"/>
        <v>Pendiente</v>
      </c>
    </row>
    <row r="82" spans="1:15" ht="78" customHeight="1">
      <c r="A82" s="17" t="s">
        <v>520</v>
      </c>
      <c r="B82" s="9" t="s">
        <v>464</v>
      </c>
      <c r="C82" s="9" t="s">
        <v>521</v>
      </c>
      <c r="D82" s="17" t="s">
        <v>890</v>
      </c>
      <c r="E82" s="9" t="s">
        <v>891</v>
      </c>
      <c r="F82" s="9" t="s">
        <v>728</v>
      </c>
      <c r="G82" s="32" t="s">
        <v>42</v>
      </c>
      <c r="H82" s="9" t="s">
        <v>892</v>
      </c>
      <c r="I82" s="13" t="s">
        <v>692</v>
      </c>
      <c r="J82" s="19"/>
      <c r="K82" s="14"/>
      <c r="L82" s="14"/>
      <c r="M82" s="14"/>
      <c r="N82" s="22"/>
      <c r="O82" s="12" t="str">
        <f t="shared" si="1"/>
        <v>Pendiente</v>
      </c>
    </row>
    <row r="83" spans="1:15" ht="94.05" customHeight="1">
      <c r="A83" s="17" t="s">
        <v>522</v>
      </c>
      <c r="B83" s="9" t="s">
        <v>464</v>
      </c>
      <c r="C83" s="9" t="s">
        <v>523</v>
      </c>
      <c r="D83" s="17" t="s">
        <v>893</v>
      </c>
      <c r="E83" s="9" t="s">
        <v>894</v>
      </c>
      <c r="F83" s="9" t="s">
        <v>728</v>
      </c>
      <c r="G83" s="32" t="s">
        <v>42</v>
      </c>
      <c r="H83" s="9" t="s">
        <v>895</v>
      </c>
      <c r="I83" s="13" t="s">
        <v>692</v>
      </c>
      <c r="J83" s="19"/>
      <c r="K83" s="14"/>
      <c r="L83" s="14"/>
      <c r="M83" s="14"/>
      <c r="N83" s="22"/>
      <c r="O83" s="12" t="str">
        <f t="shared" si="1"/>
        <v>Pendiente</v>
      </c>
    </row>
    <row r="84" spans="1:15" ht="78" customHeight="1">
      <c r="A84" s="17" t="s">
        <v>528</v>
      </c>
      <c r="B84" s="9" t="s">
        <v>464</v>
      </c>
      <c r="C84" s="9" t="s">
        <v>529</v>
      </c>
      <c r="D84" s="17" t="s">
        <v>896</v>
      </c>
      <c r="E84" s="9" t="s">
        <v>897</v>
      </c>
      <c r="F84" s="9" t="s">
        <v>728</v>
      </c>
      <c r="G84" s="32" t="s">
        <v>24</v>
      </c>
      <c r="H84" s="9" t="s">
        <v>898</v>
      </c>
      <c r="I84" s="13" t="s">
        <v>692</v>
      </c>
      <c r="J84" s="19"/>
      <c r="K84" s="14"/>
      <c r="L84" s="14"/>
      <c r="M84" s="14"/>
      <c r="N84" s="22"/>
      <c r="O84" s="12" t="str">
        <f t="shared" si="1"/>
        <v>Pendiente</v>
      </c>
    </row>
    <row r="85" spans="1:15" ht="78" customHeight="1">
      <c r="A85" s="17" t="s">
        <v>532</v>
      </c>
      <c r="B85" s="9" t="s">
        <v>464</v>
      </c>
      <c r="C85" s="9" t="s">
        <v>533</v>
      </c>
      <c r="D85" s="17" t="s">
        <v>899</v>
      </c>
      <c r="E85" s="9" t="s">
        <v>900</v>
      </c>
      <c r="F85" s="9" t="s">
        <v>733</v>
      </c>
      <c r="G85" s="32" t="s">
        <v>24</v>
      </c>
      <c r="H85" s="9" t="s">
        <v>901</v>
      </c>
      <c r="I85" s="13" t="s">
        <v>692</v>
      </c>
      <c r="J85" s="19"/>
      <c r="K85" s="14"/>
      <c r="L85" s="14"/>
      <c r="M85" s="14"/>
      <c r="N85" s="22"/>
      <c r="O85" s="12" t="str">
        <f t="shared" si="1"/>
        <v>Pendiente</v>
      </c>
    </row>
    <row r="86" spans="1:15" ht="78" customHeight="1">
      <c r="A86" s="17" t="s">
        <v>534</v>
      </c>
      <c r="B86" s="9" t="s">
        <v>464</v>
      </c>
      <c r="C86" s="9" t="s">
        <v>535</v>
      </c>
      <c r="D86" s="17" t="s">
        <v>866</v>
      </c>
      <c r="E86" s="9" t="s">
        <v>867</v>
      </c>
      <c r="F86" s="9" t="s">
        <v>728</v>
      </c>
      <c r="G86" s="32" t="s">
        <v>42</v>
      </c>
      <c r="H86" s="9" t="s">
        <v>902</v>
      </c>
      <c r="I86" s="13" t="s">
        <v>692</v>
      </c>
      <c r="J86" s="19"/>
      <c r="K86" s="14"/>
      <c r="L86" s="14"/>
      <c r="M86" s="14"/>
      <c r="N86" s="22"/>
      <c r="O86" s="12" t="str">
        <f t="shared" si="1"/>
        <v>Pendiente</v>
      </c>
    </row>
    <row r="87" spans="1:15" ht="78" customHeight="1">
      <c r="A87" s="17" t="s">
        <v>536</v>
      </c>
      <c r="B87" s="9" t="s">
        <v>537</v>
      </c>
      <c r="C87" s="9" t="s">
        <v>538</v>
      </c>
      <c r="D87" s="17" t="s">
        <v>869</v>
      </c>
      <c r="E87" s="9" t="s">
        <v>870</v>
      </c>
      <c r="F87" s="9" t="s">
        <v>728</v>
      </c>
      <c r="G87" s="32" t="s">
        <v>42</v>
      </c>
      <c r="H87" s="9" t="s">
        <v>903</v>
      </c>
      <c r="I87" s="13" t="s">
        <v>692</v>
      </c>
      <c r="J87" s="19"/>
      <c r="K87" s="14"/>
      <c r="L87" s="14"/>
      <c r="M87" s="14"/>
      <c r="N87" s="22"/>
      <c r="O87" s="12" t="str">
        <f t="shared" si="1"/>
        <v>Pendiente</v>
      </c>
    </row>
    <row r="88" spans="1:15" ht="94.05" customHeight="1">
      <c r="A88" s="17" t="s">
        <v>539</v>
      </c>
      <c r="B88" s="9" t="s">
        <v>537</v>
      </c>
      <c r="C88" s="9" t="s">
        <v>540</v>
      </c>
      <c r="D88" s="17" t="s">
        <v>802</v>
      </c>
      <c r="E88" s="9" t="s">
        <v>803</v>
      </c>
      <c r="F88" s="9" t="s">
        <v>728</v>
      </c>
      <c r="G88" s="32" t="s">
        <v>42</v>
      </c>
      <c r="H88" s="9" t="s">
        <v>904</v>
      </c>
      <c r="I88" s="13" t="s">
        <v>692</v>
      </c>
      <c r="J88" s="19"/>
      <c r="K88" s="14"/>
      <c r="L88" s="14"/>
      <c r="M88" s="14"/>
      <c r="N88" s="22"/>
      <c r="O88" s="12" t="str">
        <f t="shared" si="1"/>
        <v>Pendiente</v>
      </c>
    </row>
    <row r="89" spans="1:15" ht="78" customHeight="1">
      <c r="A89" s="17" t="s">
        <v>541</v>
      </c>
      <c r="B89" s="9" t="s">
        <v>537</v>
      </c>
      <c r="C89" s="9" t="s">
        <v>542</v>
      </c>
      <c r="D89" s="17" t="s">
        <v>805</v>
      </c>
      <c r="E89" s="9" t="s">
        <v>806</v>
      </c>
      <c r="F89" s="9" t="s">
        <v>728</v>
      </c>
      <c r="G89" s="32" t="s">
        <v>42</v>
      </c>
      <c r="H89" s="9" t="s">
        <v>905</v>
      </c>
      <c r="I89" s="13" t="s">
        <v>692</v>
      </c>
      <c r="J89" s="19"/>
      <c r="K89" s="14"/>
      <c r="L89" s="14"/>
      <c r="M89" s="14"/>
      <c r="N89" s="22"/>
      <c r="O89" s="12" t="str">
        <f t="shared" si="1"/>
        <v>Pendiente</v>
      </c>
    </row>
    <row r="90" spans="1:15" ht="78" customHeight="1">
      <c r="A90" s="17" t="s">
        <v>543</v>
      </c>
      <c r="B90" s="9" t="s">
        <v>537</v>
      </c>
      <c r="C90" s="9" t="s">
        <v>544</v>
      </c>
      <c r="D90" s="17" t="s">
        <v>820</v>
      </c>
      <c r="E90" s="9" t="s">
        <v>821</v>
      </c>
      <c r="F90" s="9" t="s">
        <v>728</v>
      </c>
      <c r="G90" s="32" t="s">
        <v>42</v>
      </c>
      <c r="H90" s="9" t="s">
        <v>906</v>
      </c>
      <c r="I90" s="13" t="s">
        <v>692</v>
      </c>
      <c r="J90" s="19"/>
      <c r="K90" s="14"/>
      <c r="L90" s="14"/>
      <c r="M90" s="14"/>
      <c r="N90" s="22"/>
      <c r="O90" s="12" t="str">
        <f t="shared" si="1"/>
        <v>Pendiente</v>
      </c>
    </row>
    <row r="91" spans="1:15" ht="78" customHeight="1">
      <c r="A91" s="17" t="s">
        <v>545</v>
      </c>
      <c r="B91" s="9" t="s">
        <v>537</v>
      </c>
      <c r="C91" s="9" t="s">
        <v>442</v>
      </c>
      <c r="D91" s="17" t="s">
        <v>817</v>
      </c>
      <c r="E91" s="9" t="s">
        <v>818</v>
      </c>
      <c r="F91" s="9" t="s">
        <v>728</v>
      </c>
      <c r="G91" s="32" t="s">
        <v>42</v>
      </c>
      <c r="H91" s="9" t="s">
        <v>907</v>
      </c>
      <c r="I91" s="13" t="s">
        <v>692</v>
      </c>
      <c r="J91" s="19"/>
      <c r="K91" s="14"/>
      <c r="L91" s="14"/>
      <c r="M91" s="14"/>
      <c r="N91" s="22"/>
      <c r="O91" s="12" t="str">
        <f t="shared" si="1"/>
        <v>Pendiente</v>
      </c>
    </row>
    <row r="92" spans="1:15" ht="78" customHeight="1">
      <c r="A92" s="17" t="s">
        <v>546</v>
      </c>
      <c r="B92" s="9" t="s">
        <v>537</v>
      </c>
      <c r="C92" s="9" t="s">
        <v>547</v>
      </c>
      <c r="D92" s="17" t="s">
        <v>814</v>
      </c>
      <c r="E92" s="9" t="s">
        <v>815</v>
      </c>
      <c r="F92" s="9" t="s">
        <v>728</v>
      </c>
      <c r="G92" s="32" t="s">
        <v>42</v>
      </c>
      <c r="H92" s="9" t="s">
        <v>908</v>
      </c>
      <c r="I92" s="13" t="s">
        <v>692</v>
      </c>
      <c r="J92" s="19"/>
      <c r="K92" s="14"/>
      <c r="L92" s="14"/>
      <c r="M92" s="14"/>
      <c r="N92" s="22"/>
      <c r="O92" s="12" t="str">
        <f t="shared" si="1"/>
        <v>Pendiente</v>
      </c>
    </row>
    <row r="93" spans="1:15" ht="78" customHeight="1">
      <c r="A93" s="17" t="s">
        <v>548</v>
      </c>
      <c r="B93" s="9" t="s">
        <v>537</v>
      </c>
      <c r="C93" s="9" t="s">
        <v>509</v>
      </c>
      <c r="D93" s="17" t="s">
        <v>872</v>
      </c>
      <c r="E93" s="9" t="s">
        <v>873</v>
      </c>
      <c r="F93" s="9" t="s">
        <v>728</v>
      </c>
      <c r="G93" s="32" t="s">
        <v>42</v>
      </c>
      <c r="H93" s="9" t="s">
        <v>909</v>
      </c>
      <c r="I93" s="13" t="s">
        <v>692</v>
      </c>
      <c r="J93" s="19"/>
      <c r="K93" s="14"/>
      <c r="L93" s="14"/>
      <c r="M93" s="14"/>
      <c r="N93" s="22"/>
      <c r="O93" s="12" t="str">
        <f t="shared" si="1"/>
        <v>Pendiente</v>
      </c>
    </row>
    <row r="94" spans="1:15" ht="78" customHeight="1">
      <c r="A94" s="17" t="s">
        <v>549</v>
      </c>
      <c r="B94" s="9" t="s">
        <v>537</v>
      </c>
      <c r="C94" s="9" t="s">
        <v>550</v>
      </c>
      <c r="D94" s="17" t="s">
        <v>910</v>
      </c>
      <c r="E94" s="9" t="s">
        <v>550</v>
      </c>
      <c r="F94" s="9" t="s">
        <v>733</v>
      </c>
      <c r="G94" s="32" t="s">
        <v>24</v>
      </c>
      <c r="H94" s="9" t="s">
        <v>911</v>
      </c>
      <c r="I94" s="13" t="s">
        <v>692</v>
      </c>
      <c r="J94" s="19"/>
      <c r="K94" s="14"/>
      <c r="L94" s="14"/>
      <c r="M94" s="14"/>
      <c r="N94" s="22"/>
      <c r="O94" s="12" t="str">
        <f t="shared" si="1"/>
        <v>Pendiente</v>
      </c>
    </row>
    <row r="95" spans="1:15" ht="78" customHeight="1">
      <c r="A95" s="17" t="s">
        <v>551</v>
      </c>
      <c r="B95" s="9" t="s">
        <v>537</v>
      </c>
      <c r="C95" s="9" t="s">
        <v>552</v>
      </c>
      <c r="D95" s="17" t="s">
        <v>878</v>
      </c>
      <c r="E95" s="9" t="s">
        <v>879</v>
      </c>
      <c r="F95" s="9" t="s">
        <v>728</v>
      </c>
      <c r="G95" s="32" t="s">
        <v>24</v>
      </c>
      <c r="H95" s="9" t="s">
        <v>912</v>
      </c>
      <c r="I95" s="13" t="s">
        <v>692</v>
      </c>
      <c r="J95" s="19"/>
      <c r="K95" s="14"/>
      <c r="L95" s="14"/>
      <c r="M95" s="14"/>
      <c r="N95" s="22"/>
      <c r="O95" s="12" t="str">
        <f t="shared" si="1"/>
        <v>Pendiente</v>
      </c>
    </row>
    <row r="96" spans="1:15" ht="94.05" customHeight="1">
      <c r="A96" s="17" t="s">
        <v>553</v>
      </c>
      <c r="B96" s="9" t="s">
        <v>537</v>
      </c>
      <c r="C96" s="9" t="s">
        <v>511</v>
      </c>
      <c r="D96" s="17" t="s">
        <v>875</v>
      </c>
      <c r="E96" s="9" t="s">
        <v>876</v>
      </c>
      <c r="F96" s="9" t="s">
        <v>728</v>
      </c>
      <c r="G96" s="32" t="s">
        <v>24</v>
      </c>
      <c r="H96" s="9" t="s">
        <v>913</v>
      </c>
      <c r="I96" s="13" t="s">
        <v>692</v>
      </c>
      <c r="J96" s="19"/>
      <c r="K96" s="14"/>
      <c r="L96" s="14"/>
      <c r="M96" s="14"/>
      <c r="N96" s="22"/>
      <c r="O96" s="12" t="str">
        <f t="shared" si="1"/>
        <v>Pendiente</v>
      </c>
    </row>
    <row r="97" spans="1:15" ht="78" customHeight="1">
      <c r="A97" s="17" t="s">
        <v>554</v>
      </c>
      <c r="B97" s="9" t="s">
        <v>537</v>
      </c>
      <c r="C97" s="9" t="s">
        <v>555</v>
      </c>
      <c r="D97" s="17" t="s">
        <v>719</v>
      </c>
      <c r="E97" s="9" t="s">
        <v>720</v>
      </c>
      <c r="F97" s="9" t="s">
        <v>728</v>
      </c>
      <c r="G97" s="32" t="s">
        <v>42</v>
      </c>
      <c r="H97" s="9" t="s">
        <v>914</v>
      </c>
      <c r="I97" s="13" t="s">
        <v>692</v>
      </c>
      <c r="J97" s="19"/>
      <c r="K97" s="14"/>
      <c r="L97" s="14"/>
      <c r="M97" s="14"/>
      <c r="N97" s="22"/>
      <c r="O97" s="12" t="str">
        <f t="shared" si="1"/>
        <v>Pendiente</v>
      </c>
    </row>
    <row r="98" spans="1:15" ht="78" customHeight="1">
      <c r="A98" s="17" t="s">
        <v>558</v>
      </c>
      <c r="B98" s="9" t="s">
        <v>537</v>
      </c>
      <c r="C98" s="9" t="s">
        <v>559</v>
      </c>
      <c r="D98" s="17" t="s">
        <v>915</v>
      </c>
      <c r="E98" s="9" t="s">
        <v>559</v>
      </c>
      <c r="F98" s="9" t="s">
        <v>733</v>
      </c>
      <c r="G98" s="32" t="s">
        <v>24</v>
      </c>
      <c r="H98" s="9" t="s">
        <v>916</v>
      </c>
      <c r="I98" s="13" t="s">
        <v>692</v>
      </c>
      <c r="J98" s="19"/>
      <c r="K98" s="14"/>
      <c r="L98" s="14"/>
      <c r="M98" s="14"/>
      <c r="N98" s="22"/>
      <c r="O98" s="12" t="str">
        <f t="shared" si="1"/>
        <v>Pendiente</v>
      </c>
    </row>
    <row r="99" spans="1:15" ht="78" customHeight="1">
      <c r="A99" s="17" t="s">
        <v>562</v>
      </c>
      <c r="B99" s="9" t="s">
        <v>537</v>
      </c>
      <c r="C99" s="9" t="s">
        <v>563</v>
      </c>
      <c r="D99" s="17" t="s">
        <v>917</v>
      </c>
      <c r="E99" s="9" t="s">
        <v>563</v>
      </c>
      <c r="F99" s="9" t="s">
        <v>733</v>
      </c>
      <c r="G99" s="32" t="s">
        <v>24</v>
      </c>
      <c r="H99" s="9" t="s">
        <v>918</v>
      </c>
      <c r="I99" s="13" t="s">
        <v>692</v>
      </c>
      <c r="J99" s="19"/>
      <c r="K99" s="14"/>
      <c r="L99" s="14"/>
      <c r="M99" s="14"/>
      <c r="N99" s="22"/>
      <c r="O99" s="12" t="str">
        <f t="shared" si="1"/>
        <v>Pendiente</v>
      </c>
    </row>
    <row r="100" spans="1:15" ht="94.05" customHeight="1">
      <c r="A100" s="17" t="s">
        <v>564</v>
      </c>
      <c r="B100" s="9" t="s">
        <v>537</v>
      </c>
      <c r="C100" s="9" t="s">
        <v>565</v>
      </c>
      <c r="D100" s="17" t="s">
        <v>841</v>
      </c>
      <c r="E100" s="9" t="s">
        <v>842</v>
      </c>
      <c r="F100" s="9" t="s">
        <v>728</v>
      </c>
      <c r="G100" s="32" t="s">
        <v>42</v>
      </c>
      <c r="H100" s="9" t="s">
        <v>919</v>
      </c>
      <c r="I100" s="13" t="s">
        <v>692</v>
      </c>
      <c r="J100" s="19"/>
      <c r="K100" s="14"/>
      <c r="L100" s="14"/>
      <c r="M100" s="14"/>
      <c r="N100" s="22"/>
      <c r="O100" s="12" t="str">
        <f t="shared" si="1"/>
        <v>Pendiente</v>
      </c>
    </row>
    <row r="101" spans="1:15" ht="94.05" customHeight="1">
      <c r="A101" s="17" t="s">
        <v>566</v>
      </c>
      <c r="B101" s="9" t="s">
        <v>537</v>
      </c>
      <c r="C101" s="9" t="s">
        <v>567</v>
      </c>
      <c r="D101" s="17" t="s">
        <v>855</v>
      </c>
      <c r="E101" s="9" t="s">
        <v>856</v>
      </c>
      <c r="F101" s="9" t="s">
        <v>728</v>
      </c>
      <c r="G101" s="32" t="s">
        <v>24</v>
      </c>
      <c r="H101" s="9" t="s">
        <v>920</v>
      </c>
      <c r="I101" s="13" t="s">
        <v>692</v>
      </c>
      <c r="J101" s="19"/>
      <c r="K101" s="14"/>
      <c r="L101" s="14"/>
      <c r="M101" s="14"/>
      <c r="N101" s="22"/>
      <c r="O101" s="12" t="str">
        <f t="shared" si="1"/>
        <v>Pendiente</v>
      </c>
    </row>
    <row r="102" spans="1:15" ht="94.05" customHeight="1">
      <c r="A102" s="17" t="s">
        <v>568</v>
      </c>
      <c r="B102" s="9" t="s">
        <v>537</v>
      </c>
      <c r="C102" s="9" t="s">
        <v>569</v>
      </c>
      <c r="D102" s="17" t="s">
        <v>716</v>
      </c>
      <c r="E102" s="9" t="s">
        <v>717</v>
      </c>
      <c r="F102" s="9" t="s">
        <v>728</v>
      </c>
      <c r="G102" s="32" t="s">
        <v>42</v>
      </c>
      <c r="H102" s="9" t="s">
        <v>921</v>
      </c>
      <c r="I102" s="13" t="s">
        <v>692</v>
      </c>
      <c r="J102" s="19"/>
      <c r="K102" s="14"/>
      <c r="L102" s="14"/>
      <c r="M102" s="14"/>
      <c r="N102" s="22"/>
      <c r="O102" s="12" t="str">
        <f t="shared" si="1"/>
        <v>Pendiente</v>
      </c>
    </row>
    <row r="103" spans="1:15" ht="78" customHeight="1">
      <c r="A103" s="17" t="s">
        <v>570</v>
      </c>
      <c r="B103" s="9" t="s">
        <v>537</v>
      </c>
      <c r="C103" s="9" t="s">
        <v>571</v>
      </c>
      <c r="D103" s="17" t="s">
        <v>922</v>
      </c>
      <c r="E103" s="9" t="s">
        <v>923</v>
      </c>
      <c r="F103" s="9" t="s">
        <v>728</v>
      </c>
      <c r="G103" s="32" t="s">
        <v>42</v>
      </c>
      <c r="H103" s="9" t="s">
        <v>924</v>
      </c>
      <c r="I103" s="13" t="s">
        <v>692</v>
      </c>
      <c r="J103" s="19"/>
      <c r="K103" s="14"/>
      <c r="L103" s="14"/>
      <c r="M103" s="14"/>
      <c r="N103" s="22"/>
      <c r="O103" s="12" t="str">
        <f t="shared" si="1"/>
        <v>Pendiente</v>
      </c>
    </row>
    <row r="104" spans="1:15" ht="78" customHeight="1">
      <c r="A104" s="17" t="s">
        <v>572</v>
      </c>
      <c r="B104" s="9" t="s">
        <v>537</v>
      </c>
      <c r="C104" s="9" t="s">
        <v>573</v>
      </c>
      <c r="D104" s="17" t="s">
        <v>925</v>
      </c>
      <c r="E104" s="9" t="s">
        <v>926</v>
      </c>
      <c r="F104" s="9" t="s">
        <v>728</v>
      </c>
      <c r="G104" s="32" t="s">
        <v>24</v>
      </c>
      <c r="H104" s="9" t="s">
        <v>927</v>
      </c>
      <c r="I104" s="13" t="s">
        <v>692</v>
      </c>
      <c r="J104" s="19"/>
      <c r="K104" s="14"/>
      <c r="L104" s="14"/>
      <c r="M104" s="14"/>
      <c r="N104" s="22"/>
      <c r="O104" s="12" t="str">
        <f t="shared" si="1"/>
        <v>Pendiente</v>
      </c>
    </row>
    <row r="105" spans="1:15" ht="94.05" customHeight="1">
      <c r="A105" s="17" t="s">
        <v>574</v>
      </c>
      <c r="B105" s="9" t="s">
        <v>537</v>
      </c>
      <c r="C105" s="9" t="s">
        <v>575</v>
      </c>
      <c r="D105" s="17" t="s">
        <v>779</v>
      </c>
      <c r="E105" s="9" t="s">
        <v>780</v>
      </c>
      <c r="F105" s="9" t="s">
        <v>728</v>
      </c>
      <c r="G105" s="32" t="s">
        <v>42</v>
      </c>
      <c r="H105" s="9" t="s">
        <v>928</v>
      </c>
      <c r="I105" s="13" t="s">
        <v>692</v>
      </c>
      <c r="J105" s="19"/>
      <c r="K105" s="14"/>
      <c r="L105" s="14"/>
      <c r="M105" s="14"/>
      <c r="N105" s="22"/>
      <c r="O105" s="12" t="str">
        <f t="shared" si="1"/>
        <v>Pendiente</v>
      </c>
    </row>
    <row r="106" spans="1:15" ht="78" customHeight="1">
      <c r="A106" s="17" t="s">
        <v>576</v>
      </c>
      <c r="B106" s="9" t="s">
        <v>537</v>
      </c>
      <c r="C106" s="9" t="s">
        <v>577</v>
      </c>
      <c r="D106" s="17" t="s">
        <v>817</v>
      </c>
      <c r="E106" s="9" t="s">
        <v>818</v>
      </c>
      <c r="F106" s="9" t="s">
        <v>728</v>
      </c>
      <c r="G106" s="32" t="s">
        <v>42</v>
      </c>
      <c r="H106" s="9" t="s">
        <v>929</v>
      </c>
      <c r="I106" s="13" t="s">
        <v>692</v>
      </c>
      <c r="J106" s="19"/>
      <c r="K106" s="14"/>
      <c r="L106" s="14"/>
      <c r="M106" s="14"/>
      <c r="N106" s="22"/>
      <c r="O106" s="12" t="str">
        <f t="shared" si="1"/>
        <v>Pendiente</v>
      </c>
    </row>
    <row r="107" spans="1:15" ht="78" customHeight="1">
      <c r="A107" s="17" t="s">
        <v>578</v>
      </c>
      <c r="B107" s="9" t="s">
        <v>537</v>
      </c>
      <c r="C107" s="9" t="s">
        <v>501</v>
      </c>
      <c r="D107" s="17" t="s">
        <v>723</v>
      </c>
      <c r="E107" s="9" t="s">
        <v>864</v>
      </c>
      <c r="F107" s="9" t="s">
        <v>728</v>
      </c>
      <c r="G107" s="32" t="s">
        <v>42</v>
      </c>
      <c r="H107" s="9" t="s">
        <v>930</v>
      </c>
      <c r="I107" s="13" t="s">
        <v>692</v>
      </c>
      <c r="J107" s="19"/>
      <c r="K107" s="14"/>
      <c r="L107" s="14"/>
      <c r="M107" s="14"/>
      <c r="N107" s="22"/>
      <c r="O107" s="12" t="str">
        <f t="shared" si="1"/>
        <v>Pendiente</v>
      </c>
    </row>
    <row r="108" spans="1:15" ht="94.05" customHeight="1">
      <c r="A108" s="17" t="s">
        <v>579</v>
      </c>
      <c r="B108" s="9" t="s">
        <v>537</v>
      </c>
      <c r="C108" s="9" t="s">
        <v>580</v>
      </c>
      <c r="D108" s="17" t="s">
        <v>791</v>
      </c>
      <c r="E108" s="9" t="s">
        <v>792</v>
      </c>
      <c r="F108" s="9" t="s">
        <v>728</v>
      </c>
      <c r="G108" s="32" t="s">
        <v>42</v>
      </c>
      <c r="H108" s="9" t="s">
        <v>931</v>
      </c>
      <c r="I108" s="13" t="s">
        <v>692</v>
      </c>
      <c r="J108" s="19"/>
      <c r="K108" s="14"/>
      <c r="L108" s="14"/>
      <c r="M108" s="14"/>
      <c r="N108" s="22"/>
      <c r="O108" s="12" t="str">
        <f t="shared" si="1"/>
        <v>Pendiente</v>
      </c>
    </row>
    <row r="109" spans="1:15" ht="94.05" customHeight="1">
      <c r="A109" s="17" t="s">
        <v>581</v>
      </c>
      <c r="B109" s="9" t="s">
        <v>537</v>
      </c>
      <c r="C109" s="9" t="s">
        <v>394</v>
      </c>
      <c r="D109" s="17" t="s">
        <v>782</v>
      </c>
      <c r="E109" s="9" t="s">
        <v>783</v>
      </c>
      <c r="F109" s="9" t="s">
        <v>728</v>
      </c>
      <c r="G109" s="32" t="s">
        <v>42</v>
      </c>
      <c r="H109" s="9" t="s">
        <v>932</v>
      </c>
      <c r="I109" s="13" t="s">
        <v>692</v>
      </c>
      <c r="J109" s="19"/>
      <c r="K109" s="14"/>
      <c r="L109" s="14"/>
      <c r="M109" s="14"/>
      <c r="N109" s="22"/>
      <c r="O109" s="12" t="str">
        <f t="shared" si="1"/>
        <v>Pendiente</v>
      </c>
    </row>
    <row r="110" spans="1:15" ht="94.05" customHeight="1">
      <c r="A110" s="17" t="s">
        <v>582</v>
      </c>
      <c r="B110" s="9" t="s">
        <v>537</v>
      </c>
      <c r="C110" s="9" t="s">
        <v>396</v>
      </c>
      <c r="D110" s="17" t="s">
        <v>785</v>
      </c>
      <c r="E110" s="9" t="s">
        <v>786</v>
      </c>
      <c r="F110" s="9" t="s">
        <v>728</v>
      </c>
      <c r="G110" s="32" t="s">
        <v>42</v>
      </c>
      <c r="H110" s="9" t="s">
        <v>933</v>
      </c>
      <c r="I110" s="13" t="s">
        <v>692</v>
      </c>
      <c r="J110" s="19"/>
      <c r="K110" s="14"/>
      <c r="L110" s="14"/>
      <c r="M110" s="14"/>
      <c r="N110" s="22"/>
      <c r="O110" s="12" t="str">
        <f t="shared" si="1"/>
        <v>Pendiente</v>
      </c>
    </row>
    <row r="111" spans="1:15" ht="78" customHeight="1">
      <c r="A111" s="17" t="s">
        <v>583</v>
      </c>
      <c r="B111" s="9" t="s">
        <v>537</v>
      </c>
      <c r="C111" s="9" t="s">
        <v>584</v>
      </c>
      <c r="D111" s="17" t="s">
        <v>858</v>
      </c>
      <c r="E111" s="9" t="s">
        <v>859</v>
      </c>
      <c r="F111" s="9" t="s">
        <v>728</v>
      </c>
      <c r="G111" s="32" t="s">
        <v>42</v>
      </c>
      <c r="H111" s="9" t="s">
        <v>934</v>
      </c>
      <c r="I111" s="13" t="s">
        <v>692</v>
      </c>
      <c r="J111" s="19"/>
      <c r="K111" s="14"/>
      <c r="L111" s="14"/>
      <c r="M111" s="14"/>
      <c r="N111" s="22"/>
      <c r="O111" s="12" t="str">
        <f t="shared" si="1"/>
        <v>Pendiente</v>
      </c>
    </row>
    <row r="112" spans="1:15" ht="94.05" customHeight="1">
      <c r="A112" s="17" t="s">
        <v>585</v>
      </c>
      <c r="B112" s="9" t="s">
        <v>537</v>
      </c>
      <c r="C112" s="9" t="s">
        <v>586</v>
      </c>
      <c r="D112" s="17" t="s">
        <v>935</v>
      </c>
      <c r="E112" s="9" t="s">
        <v>936</v>
      </c>
      <c r="F112" s="9" t="s">
        <v>728</v>
      </c>
      <c r="G112" s="32" t="s">
        <v>42</v>
      </c>
      <c r="H112" s="9" t="s">
        <v>937</v>
      </c>
      <c r="I112" s="13" t="s">
        <v>692</v>
      </c>
      <c r="J112" s="19"/>
      <c r="K112" s="14"/>
      <c r="L112" s="14"/>
      <c r="M112" s="14"/>
      <c r="N112" s="22"/>
      <c r="O112" s="12" t="str">
        <f t="shared" si="1"/>
        <v>Pendiente</v>
      </c>
    </row>
    <row r="113" spans="1:15" ht="78" customHeight="1">
      <c r="A113" s="17" t="s">
        <v>587</v>
      </c>
      <c r="B113" s="9" t="s">
        <v>537</v>
      </c>
      <c r="C113" s="9" t="s">
        <v>588</v>
      </c>
      <c r="D113" s="17" t="s">
        <v>938</v>
      </c>
      <c r="E113" s="9" t="s">
        <v>939</v>
      </c>
      <c r="F113" s="9" t="s">
        <v>728</v>
      </c>
      <c r="G113" s="32" t="s">
        <v>690</v>
      </c>
      <c r="H113" s="9" t="s">
        <v>940</v>
      </c>
      <c r="I113" s="13" t="s">
        <v>692</v>
      </c>
      <c r="J113" s="19"/>
      <c r="K113" s="14"/>
      <c r="L113" s="14"/>
      <c r="M113" s="14"/>
      <c r="N113" s="22"/>
      <c r="O113" s="12" t="str">
        <f t="shared" si="1"/>
        <v>Pendiente</v>
      </c>
    </row>
    <row r="114" spans="1:15" ht="78" customHeight="1">
      <c r="A114" s="17" t="s">
        <v>589</v>
      </c>
      <c r="B114" s="9" t="s">
        <v>537</v>
      </c>
      <c r="C114" s="9" t="s">
        <v>590</v>
      </c>
      <c r="D114" s="17" t="s">
        <v>941</v>
      </c>
      <c r="E114" s="9" t="s">
        <v>942</v>
      </c>
      <c r="F114" s="9" t="s">
        <v>728</v>
      </c>
      <c r="G114" s="32" t="s">
        <v>42</v>
      </c>
      <c r="H114" s="9" t="s">
        <v>943</v>
      </c>
      <c r="I114" s="13" t="s">
        <v>692</v>
      </c>
      <c r="J114" s="19"/>
      <c r="K114" s="14"/>
      <c r="L114" s="14"/>
      <c r="M114" s="14"/>
      <c r="N114" s="22"/>
      <c r="O114" s="12" t="str">
        <f t="shared" si="1"/>
        <v>Pendiente</v>
      </c>
    </row>
    <row r="115" spans="1:15" ht="94.05" customHeight="1">
      <c r="A115" s="17" t="s">
        <v>593</v>
      </c>
      <c r="B115" s="9" t="s">
        <v>537</v>
      </c>
      <c r="C115" s="9" t="s">
        <v>594</v>
      </c>
      <c r="D115" s="17" t="s">
        <v>861</v>
      </c>
      <c r="E115" s="9" t="s">
        <v>862</v>
      </c>
      <c r="F115" s="9" t="s">
        <v>728</v>
      </c>
      <c r="G115" s="32" t="s">
        <v>42</v>
      </c>
      <c r="H115" s="9" t="s">
        <v>944</v>
      </c>
      <c r="I115" s="13" t="s">
        <v>692</v>
      </c>
      <c r="J115" s="19"/>
      <c r="K115" s="14"/>
      <c r="L115" s="14"/>
      <c r="M115" s="14"/>
      <c r="N115" s="22"/>
      <c r="O115" s="12" t="str">
        <f t="shared" si="1"/>
        <v>Pendiente</v>
      </c>
    </row>
    <row r="116" spans="1:15" ht="78" customHeight="1">
      <c r="A116" s="17" t="s">
        <v>595</v>
      </c>
      <c r="B116" s="9" t="s">
        <v>537</v>
      </c>
      <c r="C116" s="9" t="s">
        <v>596</v>
      </c>
      <c r="D116" s="17" t="s">
        <v>896</v>
      </c>
      <c r="E116" s="9" t="s">
        <v>897</v>
      </c>
      <c r="F116" s="9" t="s">
        <v>728</v>
      </c>
      <c r="G116" s="32" t="s">
        <v>24</v>
      </c>
      <c r="H116" s="9" t="s">
        <v>945</v>
      </c>
      <c r="I116" s="13" t="s">
        <v>692</v>
      </c>
      <c r="J116" s="19"/>
      <c r="K116" s="14"/>
      <c r="L116" s="14"/>
      <c r="M116" s="14"/>
      <c r="N116" s="22"/>
      <c r="O116" s="12" t="str">
        <f t="shared" si="1"/>
        <v>Pendiente</v>
      </c>
    </row>
    <row r="117" spans="1:15" ht="78" customHeight="1">
      <c r="A117" s="17" t="s">
        <v>597</v>
      </c>
      <c r="B117" s="9" t="s">
        <v>537</v>
      </c>
      <c r="C117" s="9" t="s">
        <v>598</v>
      </c>
      <c r="D117" s="17" t="s">
        <v>858</v>
      </c>
      <c r="E117" s="9" t="s">
        <v>859</v>
      </c>
      <c r="F117" s="9" t="s">
        <v>728</v>
      </c>
      <c r="G117" s="32" t="s">
        <v>42</v>
      </c>
      <c r="H117" s="9" t="s">
        <v>946</v>
      </c>
      <c r="I117" s="13" t="s">
        <v>692</v>
      </c>
      <c r="J117" s="19"/>
      <c r="K117" s="14"/>
      <c r="L117" s="14"/>
      <c r="M117" s="14"/>
      <c r="N117" s="22"/>
      <c r="O117" s="12" t="str">
        <f t="shared" si="1"/>
        <v>Pendiente</v>
      </c>
    </row>
    <row r="118" spans="1:15" ht="94.05" customHeight="1">
      <c r="A118" s="17" t="s">
        <v>599</v>
      </c>
      <c r="B118" s="9" t="s">
        <v>537</v>
      </c>
      <c r="C118" s="9" t="s">
        <v>600</v>
      </c>
      <c r="D118" s="17" t="s">
        <v>875</v>
      </c>
      <c r="E118" s="9" t="s">
        <v>876</v>
      </c>
      <c r="F118" s="9" t="s">
        <v>728</v>
      </c>
      <c r="G118" s="32" t="s">
        <v>24</v>
      </c>
      <c r="H118" s="9" t="s">
        <v>947</v>
      </c>
      <c r="I118" s="13" t="s">
        <v>692</v>
      </c>
      <c r="J118" s="19"/>
      <c r="K118" s="14"/>
      <c r="L118" s="14"/>
      <c r="M118" s="14"/>
      <c r="N118" s="22"/>
      <c r="O118" s="12" t="str">
        <f t="shared" si="1"/>
        <v>Pendiente</v>
      </c>
    </row>
    <row r="119" spans="1:15" ht="94.05" customHeight="1">
      <c r="A119" s="17" t="s">
        <v>601</v>
      </c>
      <c r="B119" s="9" t="s">
        <v>537</v>
      </c>
      <c r="C119" s="9" t="s">
        <v>602</v>
      </c>
      <c r="D119" s="17" t="s">
        <v>855</v>
      </c>
      <c r="E119" s="9" t="s">
        <v>856</v>
      </c>
      <c r="F119" s="9" t="s">
        <v>728</v>
      </c>
      <c r="G119" s="32" t="s">
        <v>24</v>
      </c>
      <c r="H119" s="9" t="s">
        <v>948</v>
      </c>
      <c r="I119" s="13" t="s">
        <v>692</v>
      </c>
      <c r="J119" s="19"/>
      <c r="K119" s="14"/>
      <c r="L119" s="14"/>
      <c r="M119" s="14"/>
      <c r="N119" s="22"/>
      <c r="O119" s="12" t="str">
        <f t="shared" si="1"/>
        <v>Pendiente</v>
      </c>
    </row>
    <row r="120" spans="1:15" ht="78" customHeight="1">
      <c r="A120" s="17" t="s">
        <v>603</v>
      </c>
      <c r="B120" s="9" t="s">
        <v>537</v>
      </c>
      <c r="C120" s="9" t="s">
        <v>604</v>
      </c>
      <c r="D120" s="17" t="s">
        <v>869</v>
      </c>
      <c r="E120" s="9" t="s">
        <v>870</v>
      </c>
      <c r="F120" s="9" t="s">
        <v>728</v>
      </c>
      <c r="G120" s="32" t="s">
        <v>690</v>
      </c>
      <c r="H120" s="9" t="s">
        <v>949</v>
      </c>
      <c r="I120" s="13" t="s">
        <v>692</v>
      </c>
      <c r="J120" s="19"/>
      <c r="K120" s="14"/>
      <c r="L120" s="14"/>
      <c r="M120" s="14"/>
      <c r="N120" s="22"/>
      <c r="O120" s="12" t="str">
        <f t="shared" si="1"/>
        <v>Pendiente</v>
      </c>
    </row>
    <row r="121" spans="1:15" ht="78" customHeight="1">
      <c r="A121" s="17" t="s">
        <v>607</v>
      </c>
      <c r="B121" s="9" t="s">
        <v>537</v>
      </c>
      <c r="C121" s="9" t="s">
        <v>608</v>
      </c>
      <c r="D121" s="17" t="s">
        <v>802</v>
      </c>
      <c r="E121" s="9" t="s">
        <v>803</v>
      </c>
      <c r="F121" s="9" t="s">
        <v>728</v>
      </c>
      <c r="G121" s="32" t="s">
        <v>42</v>
      </c>
      <c r="H121" s="9" t="s">
        <v>950</v>
      </c>
      <c r="I121" s="13" t="s">
        <v>692</v>
      </c>
      <c r="J121" s="19"/>
      <c r="K121" s="14"/>
      <c r="L121" s="14"/>
      <c r="M121" s="14"/>
      <c r="N121" s="22"/>
      <c r="O121" s="12" t="str">
        <f t="shared" si="1"/>
        <v>Pendiente</v>
      </c>
    </row>
    <row r="122" spans="1:15" ht="94.05" customHeight="1">
      <c r="A122" s="17" t="s">
        <v>609</v>
      </c>
      <c r="B122" s="9" t="s">
        <v>537</v>
      </c>
      <c r="C122" s="9" t="s">
        <v>610</v>
      </c>
      <c r="D122" s="17" t="s">
        <v>805</v>
      </c>
      <c r="E122" s="9" t="s">
        <v>806</v>
      </c>
      <c r="F122" s="9" t="s">
        <v>728</v>
      </c>
      <c r="G122" s="32" t="s">
        <v>42</v>
      </c>
      <c r="H122" s="9" t="s">
        <v>951</v>
      </c>
      <c r="I122" s="13" t="s">
        <v>692</v>
      </c>
      <c r="J122" s="19"/>
      <c r="K122" s="14"/>
      <c r="L122" s="14"/>
      <c r="M122" s="14"/>
      <c r="N122" s="22"/>
      <c r="O122" s="12" t="str">
        <f t="shared" si="1"/>
        <v>Pendiente</v>
      </c>
    </row>
    <row r="123" spans="1:15" ht="78" customHeight="1">
      <c r="A123" s="17" t="s">
        <v>611</v>
      </c>
      <c r="B123" s="9" t="s">
        <v>537</v>
      </c>
      <c r="C123" s="9" t="s">
        <v>612</v>
      </c>
      <c r="D123" s="17" t="s">
        <v>820</v>
      </c>
      <c r="E123" s="9" t="s">
        <v>821</v>
      </c>
      <c r="F123" s="9" t="s">
        <v>728</v>
      </c>
      <c r="G123" s="32" t="s">
        <v>690</v>
      </c>
      <c r="H123" s="9" t="s">
        <v>952</v>
      </c>
      <c r="I123" s="13" t="s">
        <v>692</v>
      </c>
      <c r="J123" s="19"/>
      <c r="K123" s="14"/>
      <c r="L123" s="14"/>
      <c r="M123" s="14"/>
      <c r="N123" s="22"/>
      <c r="O123" s="12" t="str">
        <f t="shared" si="1"/>
        <v>Pendiente</v>
      </c>
    </row>
    <row r="124" spans="1:15" ht="94.05" customHeight="1">
      <c r="A124" s="17" t="s">
        <v>613</v>
      </c>
      <c r="B124" s="9" t="s">
        <v>537</v>
      </c>
      <c r="C124" s="9" t="s">
        <v>614</v>
      </c>
      <c r="D124" s="17" t="s">
        <v>953</v>
      </c>
      <c r="E124" s="9" t="s">
        <v>954</v>
      </c>
      <c r="F124" s="9" t="s">
        <v>955</v>
      </c>
      <c r="G124" s="32" t="s">
        <v>42</v>
      </c>
      <c r="H124" s="9" t="s">
        <v>956</v>
      </c>
      <c r="I124" s="13" t="s">
        <v>692</v>
      </c>
      <c r="J124" s="19"/>
      <c r="K124" s="14"/>
      <c r="L124" s="14"/>
      <c r="M124" s="14"/>
      <c r="N124" s="22"/>
      <c r="O124" s="12" t="str">
        <f t="shared" si="1"/>
        <v>Pendiente</v>
      </c>
    </row>
    <row r="125" spans="1:15" ht="78" customHeight="1">
      <c r="A125" s="17" t="s">
        <v>615</v>
      </c>
      <c r="B125" s="9" t="s">
        <v>537</v>
      </c>
      <c r="C125" s="9" t="s">
        <v>616</v>
      </c>
      <c r="D125" s="17" t="s">
        <v>872</v>
      </c>
      <c r="E125" s="9" t="s">
        <v>873</v>
      </c>
      <c r="F125" s="9" t="s">
        <v>728</v>
      </c>
      <c r="G125" s="32" t="s">
        <v>42</v>
      </c>
      <c r="H125" s="9" t="s">
        <v>957</v>
      </c>
      <c r="I125" s="13" t="s">
        <v>692</v>
      </c>
      <c r="J125" s="19"/>
      <c r="K125" s="14"/>
      <c r="L125" s="14"/>
      <c r="M125" s="14"/>
      <c r="N125" s="22"/>
      <c r="O125" s="12" t="str">
        <f t="shared" si="1"/>
        <v>Pendiente</v>
      </c>
    </row>
    <row r="126" spans="1:15" ht="78" customHeight="1">
      <c r="A126" s="17" t="s">
        <v>617</v>
      </c>
      <c r="B126" s="9" t="s">
        <v>537</v>
      </c>
      <c r="C126" s="9" t="s">
        <v>618</v>
      </c>
      <c r="D126" s="17" t="s">
        <v>811</v>
      </c>
      <c r="E126" s="9" t="s">
        <v>812</v>
      </c>
      <c r="F126" s="9" t="s">
        <v>728</v>
      </c>
      <c r="G126" s="32" t="s">
        <v>690</v>
      </c>
      <c r="H126" s="9" t="s">
        <v>958</v>
      </c>
      <c r="I126" s="13" t="s">
        <v>692</v>
      </c>
      <c r="J126" s="19"/>
      <c r="K126" s="14"/>
      <c r="L126" s="14"/>
      <c r="M126" s="14"/>
      <c r="N126" s="22"/>
      <c r="O126" s="12" t="str">
        <f t="shared" si="1"/>
        <v>Pendiente</v>
      </c>
    </row>
    <row r="127" spans="1:15" ht="78" customHeight="1">
      <c r="A127" s="17" t="s">
        <v>619</v>
      </c>
      <c r="B127" s="9" t="s">
        <v>537</v>
      </c>
      <c r="C127" s="9" t="s">
        <v>620</v>
      </c>
      <c r="D127" s="17" t="s">
        <v>893</v>
      </c>
      <c r="E127" s="9" t="s">
        <v>894</v>
      </c>
      <c r="F127" s="9" t="s">
        <v>728</v>
      </c>
      <c r="G127" s="32" t="s">
        <v>42</v>
      </c>
      <c r="H127" s="9" t="s">
        <v>959</v>
      </c>
      <c r="I127" s="13" t="s">
        <v>692</v>
      </c>
      <c r="J127" s="19"/>
      <c r="K127" s="14"/>
      <c r="L127" s="14"/>
      <c r="M127" s="14"/>
      <c r="N127" s="22"/>
      <c r="O127" s="12" t="str">
        <f t="shared" si="1"/>
        <v>Pendiente</v>
      </c>
    </row>
    <row r="128" spans="1:15" ht="78" customHeight="1">
      <c r="A128" s="17" t="s">
        <v>621</v>
      </c>
      <c r="B128" s="9" t="s">
        <v>537</v>
      </c>
      <c r="C128" s="9" t="s">
        <v>622</v>
      </c>
      <c r="D128" s="17" t="s">
        <v>890</v>
      </c>
      <c r="E128" s="9" t="s">
        <v>891</v>
      </c>
      <c r="F128" s="9" t="s">
        <v>728</v>
      </c>
      <c r="G128" s="32" t="s">
        <v>42</v>
      </c>
      <c r="H128" s="9" t="s">
        <v>960</v>
      </c>
      <c r="I128" s="13" t="s">
        <v>692</v>
      </c>
      <c r="J128" s="19"/>
      <c r="K128" s="14"/>
      <c r="L128" s="14"/>
      <c r="M128" s="14"/>
      <c r="N128" s="22"/>
      <c r="O128" s="12" t="str">
        <f t="shared" si="1"/>
        <v>Pendiente</v>
      </c>
    </row>
    <row r="129" spans="1:15" ht="78" customHeight="1">
      <c r="A129" s="17" t="s">
        <v>625</v>
      </c>
      <c r="B129" s="9" t="s">
        <v>537</v>
      </c>
      <c r="C129" s="9" t="s">
        <v>626</v>
      </c>
      <c r="D129" s="17" t="s">
        <v>941</v>
      </c>
      <c r="E129" s="9" t="s">
        <v>942</v>
      </c>
      <c r="F129" s="9" t="s">
        <v>728</v>
      </c>
      <c r="G129" s="32" t="s">
        <v>42</v>
      </c>
      <c r="H129" s="9" t="s">
        <v>961</v>
      </c>
      <c r="I129" s="13" t="s">
        <v>692</v>
      </c>
      <c r="J129" s="19"/>
      <c r="K129" s="14"/>
      <c r="L129" s="14"/>
      <c r="M129" s="14"/>
      <c r="N129" s="22"/>
      <c r="O129" s="12" t="str">
        <f t="shared" si="1"/>
        <v>Pendiente</v>
      </c>
    </row>
    <row r="130" spans="1:15" ht="78" customHeight="1">
      <c r="A130" s="17" t="s">
        <v>627</v>
      </c>
      <c r="B130" s="9" t="s">
        <v>537</v>
      </c>
      <c r="C130" s="9" t="s">
        <v>628</v>
      </c>
      <c r="D130" s="17" t="s">
        <v>716</v>
      </c>
      <c r="E130" s="9" t="s">
        <v>717</v>
      </c>
      <c r="F130" s="9" t="s">
        <v>728</v>
      </c>
      <c r="G130" s="32" t="s">
        <v>42</v>
      </c>
      <c r="H130" s="9" t="s">
        <v>962</v>
      </c>
      <c r="I130" s="13" t="s">
        <v>692</v>
      </c>
      <c r="J130" s="19"/>
      <c r="K130" s="14"/>
      <c r="L130" s="14"/>
      <c r="M130" s="14"/>
      <c r="N130" s="22"/>
      <c r="O130" s="12" t="str">
        <f t="shared" si="1"/>
        <v>Pendiente</v>
      </c>
    </row>
    <row r="131" spans="1:15" ht="94.05" customHeight="1">
      <c r="A131" s="17" t="s">
        <v>631</v>
      </c>
      <c r="B131" s="9" t="s">
        <v>537</v>
      </c>
      <c r="C131" s="9" t="s">
        <v>392</v>
      </c>
      <c r="D131" s="17" t="s">
        <v>779</v>
      </c>
      <c r="E131" s="9" t="s">
        <v>780</v>
      </c>
      <c r="F131" s="9" t="s">
        <v>728</v>
      </c>
      <c r="G131" s="32" t="s">
        <v>42</v>
      </c>
      <c r="H131" s="9" t="s">
        <v>963</v>
      </c>
      <c r="I131" s="13" t="s">
        <v>692</v>
      </c>
      <c r="J131" s="19"/>
      <c r="K131" s="14"/>
      <c r="L131" s="14"/>
      <c r="M131" s="14"/>
      <c r="N131" s="22"/>
      <c r="O131" s="12" t="str">
        <f t="shared" si="1"/>
        <v>Pendiente</v>
      </c>
    </row>
    <row r="132" spans="1:15" ht="78" customHeight="1">
      <c r="A132" s="17" t="s">
        <v>632</v>
      </c>
      <c r="B132" s="9" t="s">
        <v>537</v>
      </c>
      <c r="C132" s="9" t="s">
        <v>343</v>
      </c>
      <c r="D132" s="17" t="s">
        <v>770</v>
      </c>
      <c r="E132" s="9" t="s">
        <v>771</v>
      </c>
      <c r="F132" s="9" t="s">
        <v>728</v>
      </c>
      <c r="G132" s="32" t="s">
        <v>24</v>
      </c>
      <c r="H132" s="9" t="s">
        <v>964</v>
      </c>
      <c r="I132" s="13" t="s">
        <v>692</v>
      </c>
      <c r="J132" s="19"/>
      <c r="K132" s="14"/>
      <c r="L132" s="14"/>
      <c r="M132" s="14"/>
      <c r="N132" s="22"/>
      <c r="O132" s="12" t="str">
        <f t="shared" si="1"/>
        <v>Pendiente</v>
      </c>
    </row>
    <row r="133" spans="1:15" ht="78" customHeight="1">
      <c r="A133" s="17" t="s">
        <v>633</v>
      </c>
      <c r="B133" s="9" t="s">
        <v>537</v>
      </c>
      <c r="C133" s="9" t="s">
        <v>634</v>
      </c>
      <c r="D133" s="17" t="s">
        <v>785</v>
      </c>
      <c r="E133" s="9" t="s">
        <v>786</v>
      </c>
      <c r="F133" s="9" t="s">
        <v>728</v>
      </c>
      <c r="G133" s="32" t="s">
        <v>42</v>
      </c>
      <c r="H133" s="9" t="s">
        <v>965</v>
      </c>
      <c r="I133" s="13" t="s">
        <v>692</v>
      </c>
      <c r="J133" s="19"/>
      <c r="K133" s="14"/>
      <c r="L133" s="14"/>
      <c r="M133" s="14"/>
      <c r="N133" s="22"/>
      <c r="O133" s="12" t="str">
        <f t="shared" si="1"/>
        <v>Pendiente</v>
      </c>
    </row>
    <row r="134" spans="1:15" ht="78" customHeight="1">
      <c r="A134" s="17" t="s">
        <v>635</v>
      </c>
      <c r="B134" s="9" t="s">
        <v>537</v>
      </c>
      <c r="C134" s="9" t="s">
        <v>636</v>
      </c>
      <c r="D134" s="17" t="s">
        <v>760</v>
      </c>
      <c r="E134" s="9" t="s">
        <v>761</v>
      </c>
      <c r="F134" s="9" t="s">
        <v>728</v>
      </c>
      <c r="G134" s="32" t="s">
        <v>42</v>
      </c>
      <c r="H134" s="9" t="s">
        <v>966</v>
      </c>
      <c r="I134" s="13" t="s">
        <v>692</v>
      </c>
      <c r="J134" s="19"/>
      <c r="K134" s="14"/>
      <c r="L134" s="14"/>
      <c r="M134" s="14"/>
      <c r="N134" s="22"/>
      <c r="O134" s="12" t="str">
        <f t="shared" si="1"/>
        <v>Pendiente</v>
      </c>
    </row>
    <row r="135" spans="1:15" ht="78" customHeight="1">
      <c r="A135" s="17" t="s">
        <v>637</v>
      </c>
      <c r="B135" s="9" t="s">
        <v>537</v>
      </c>
      <c r="C135" s="9" t="s">
        <v>588</v>
      </c>
      <c r="D135" s="17" t="s">
        <v>938</v>
      </c>
      <c r="E135" s="9" t="s">
        <v>939</v>
      </c>
      <c r="F135" s="9" t="s">
        <v>728</v>
      </c>
      <c r="G135" s="32" t="s">
        <v>690</v>
      </c>
      <c r="H135" s="9" t="s">
        <v>967</v>
      </c>
      <c r="I135" s="13" t="s">
        <v>692</v>
      </c>
      <c r="J135" s="19"/>
      <c r="K135" s="14"/>
      <c r="L135" s="14"/>
      <c r="M135" s="14"/>
      <c r="N135" s="22"/>
      <c r="O135" s="12" t="str">
        <f t="shared" si="1"/>
        <v>Pendiente</v>
      </c>
    </row>
    <row r="136" spans="1:15" ht="78" customHeight="1">
      <c r="A136" s="17" t="s">
        <v>638</v>
      </c>
      <c r="B136" s="9" t="s">
        <v>537</v>
      </c>
      <c r="C136" s="9" t="s">
        <v>639</v>
      </c>
      <c r="D136" s="17" t="s">
        <v>893</v>
      </c>
      <c r="E136" s="9" t="s">
        <v>894</v>
      </c>
      <c r="F136" s="9" t="s">
        <v>728</v>
      </c>
      <c r="G136" s="32" t="s">
        <v>42</v>
      </c>
      <c r="H136" s="9" t="s">
        <v>968</v>
      </c>
      <c r="I136" s="13" t="s">
        <v>692</v>
      </c>
      <c r="J136" s="19"/>
      <c r="K136" s="14"/>
      <c r="L136" s="14"/>
      <c r="M136" s="14"/>
      <c r="N136" s="22"/>
      <c r="O136" s="12" t="str">
        <f t="shared" ref="O136:O199" si="2">IF(I136="Pendiente","Pendiente",IF(I136="Equivalente confirmado",IF(OR(J136="",K136=""),"Falta código o nombre",IF(OR(L136="",M136=""),"Falta validación",IF(OR(NOT(ISNUMBER(N136)),N136&lt;=0),"Falta fecha","Homologado"))),IF(I136="Sin equivalente en AVAIN",IF(OR(J136&lt;&gt;"",K136&lt;&gt;""),"Quitar código y nombre",IF(OR(L136="",M136=""),"Falta validación",IF(OR(NOT(ISNUMBER(N136)),N136&lt;=0),"Falta fecha","Sin equivalente confirmado"))),"Revisar decisión")))</f>
        <v>Pendiente</v>
      </c>
    </row>
    <row r="137" spans="1:15" ht="78" customHeight="1">
      <c r="A137" s="17" t="s">
        <v>640</v>
      </c>
      <c r="B137" s="9" t="s">
        <v>537</v>
      </c>
      <c r="C137" s="9" t="s">
        <v>641</v>
      </c>
      <c r="D137" s="17" t="s">
        <v>817</v>
      </c>
      <c r="E137" s="9" t="s">
        <v>818</v>
      </c>
      <c r="F137" s="9" t="s">
        <v>728</v>
      </c>
      <c r="G137" s="32" t="s">
        <v>42</v>
      </c>
      <c r="H137" s="9" t="s">
        <v>969</v>
      </c>
      <c r="I137" s="13" t="s">
        <v>692</v>
      </c>
      <c r="J137" s="19"/>
      <c r="K137" s="14"/>
      <c r="L137" s="14"/>
      <c r="M137" s="14"/>
      <c r="N137" s="22"/>
      <c r="O137" s="12" t="str">
        <f t="shared" si="2"/>
        <v>Pendiente</v>
      </c>
    </row>
    <row r="138" spans="1:15" ht="94.05" customHeight="1">
      <c r="A138" s="17" t="s">
        <v>642</v>
      </c>
      <c r="B138" s="9" t="s">
        <v>537</v>
      </c>
      <c r="C138" s="9" t="s">
        <v>643</v>
      </c>
      <c r="D138" s="17" t="s">
        <v>855</v>
      </c>
      <c r="E138" s="9" t="s">
        <v>856</v>
      </c>
      <c r="F138" s="9" t="s">
        <v>728</v>
      </c>
      <c r="G138" s="32" t="s">
        <v>24</v>
      </c>
      <c r="H138" s="9" t="s">
        <v>970</v>
      </c>
      <c r="I138" s="13" t="s">
        <v>692</v>
      </c>
      <c r="J138" s="19"/>
      <c r="K138" s="14"/>
      <c r="L138" s="14"/>
      <c r="M138" s="14"/>
      <c r="N138" s="22"/>
      <c r="O138" s="12" t="str">
        <f t="shared" si="2"/>
        <v>Pendiente</v>
      </c>
    </row>
    <row r="139" spans="1:15" ht="78" customHeight="1">
      <c r="A139" s="17" t="s">
        <v>644</v>
      </c>
      <c r="B139" s="9" t="s">
        <v>537</v>
      </c>
      <c r="C139" s="9" t="s">
        <v>645</v>
      </c>
      <c r="D139" s="17" t="s">
        <v>869</v>
      </c>
      <c r="E139" s="9" t="s">
        <v>870</v>
      </c>
      <c r="F139" s="9" t="s">
        <v>728</v>
      </c>
      <c r="G139" s="32" t="s">
        <v>42</v>
      </c>
      <c r="H139" s="9" t="s">
        <v>971</v>
      </c>
      <c r="I139" s="13" t="s">
        <v>692</v>
      </c>
      <c r="J139" s="19"/>
      <c r="K139" s="14"/>
      <c r="L139" s="14"/>
      <c r="M139" s="14"/>
      <c r="N139" s="22"/>
      <c r="O139" s="12" t="str">
        <f t="shared" si="2"/>
        <v>Pendiente</v>
      </c>
    </row>
    <row r="140" spans="1:15" ht="78" customHeight="1">
      <c r="A140" s="17" t="s">
        <v>646</v>
      </c>
      <c r="B140" s="9" t="s">
        <v>537</v>
      </c>
      <c r="C140" s="9" t="s">
        <v>647</v>
      </c>
      <c r="D140" s="17" t="s">
        <v>779</v>
      </c>
      <c r="E140" s="9" t="s">
        <v>780</v>
      </c>
      <c r="F140" s="9" t="s">
        <v>728</v>
      </c>
      <c r="G140" s="32" t="s">
        <v>42</v>
      </c>
      <c r="H140" s="9" t="s">
        <v>972</v>
      </c>
      <c r="I140" s="13" t="s">
        <v>692</v>
      </c>
      <c r="J140" s="19"/>
      <c r="K140" s="14"/>
      <c r="L140" s="14"/>
      <c r="M140" s="14"/>
      <c r="N140" s="22"/>
      <c r="O140" s="12" t="str">
        <f t="shared" si="2"/>
        <v>Pendiente</v>
      </c>
    </row>
    <row r="141" spans="1:15" ht="78" customHeight="1">
      <c r="A141" s="17" t="s">
        <v>648</v>
      </c>
      <c r="B141" s="9" t="s">
        <v>537</v>
      </c>
      <c r="C141" s="9" t="s">
        <v>649</v>
      </c>
      <c r="D141" s="17" t="s">
        <v>861</v>
      </c>
      <c r="E141" s="9" t="s">
        <v>862</v>
      </c>
      <c r="F141" s="9" t="s">
        <v>728</v>
      </c>
      <c r="G141" s="32" t="s">
        <v>42</v>
      </c>
      <c r="H141" s="9" t="s">
        <v>973</v>
      </c>
      <c r="I141" s="13" t="s">
        <v>692</v>
      </c>
      <c r="J141" s="19"/>
      <c r="K141" s="14"/>
      <c r="L141" s="14"/>
      <c r="M141" s="14"/>
      <c r="N141" s="22"/>
      <c r="O141" s="12" t="str">
        <f t="shared" si="2"/>
        <v>Pendiente</v>
      </c>
    </row>
    <row r="142" spans="1:15" ht="78" customHeight="1">
      <c r="A142" s="17" t="s">
        <v>650</v>
      </c>
      <c r="B142" s="9" t="s">
        <v>537</v>
      </c>
      <c r="C142" s="9" t="s">
        <v>651</v>
      </c>
      <c r="D142" s="17" t="s">
        <v>974</v>
      </c>
      <c r="E142" s="9" t="s">
        <v>651</v>
      </c>
      <c r="F142" s="9" t="s">
        <v>733</v>
      </c>
      <c r="G142" s="32" t="s">
        <v>24</v>
      </c>
      <c r="H142" s="9" t="s">
        <v>975</v>
      </c>
      <c r="I142" s="13" t="s">
        <v>692</v>
      </c>
      <c r="J142" s="19"/>
      <c r="K142" s="14"/>
      <c r="L142" s="14"/>
      <c r="M142" s="14"/>
      <c r="N142" s="22"/>
      <c r="O142" s="12" t="str">
        <f t="shared" si="2"/>
        <v>Pendiente</v>
      </c>
    </row>
    <row r="143" spans="1:15" ht="78" customHeight="1">
      <c r="A143" s="17" t="s">
        <v>656</v>
      </c>
      <c r="B143" s="9" t="s">
        <v>537</v>
      </c>
      <c r="C143" s="9" t="s">
        <v>657</v>
      </c>
      <c r="D143" s="17" t="s">
        <v>922</v>
      </c>
      <c r="E143" s="9" t="s">
        <v>923</v>
      </c>
      <c r="F143" s="9" t="s">
        <v>728</v>
      </c>
      <c r="G143" s="32" t="s">
        <v>42</v>
      </c>
      <c r="H143" s="9" t="s">
        <v>976</v>
      </c>
      <c r="I143" s="13" t="s">
        <v>692</v>
      </c>
      <c r="J143" s="19"/>
      <c r="K143" s="14"/>
      <c r="L143" s="14"/>
      <c r="M143" s="14"/>
      <c r="N143" s="22"/>
      <c r="O143" s="12" t="str">
        <f t="shared" si="2"/>
        <v>Pendiente</v>
      </c>
    </row>
    <row r="144" spans="1:15" ht="94.05" customHeight="1">
      <c r="A144" s="17" t="s">
        <v>658</v>
      </c>
      <c r="B144" s="9" t="s">
        <v>537</v>
      </c>
      <c r="C144" s="9" t="s">
        <v>659</v>
      </c>
      <c r="D144" s="17" t="s">
        <v>798</v>
      </c>
      <c r="E144" s="9" t="s">
        <v>799</v>
      </c>
      <c r="F144" s="9" t="s">
        <v>728</v>
      </c>
      <c r="G144" s="32" t="s">
        <v>42</v>
      </c>
      <c r="H144" s="9" t="s">
        <v>977</v>
      </c>
      <c r="I144" s="13" t="s">
        <v>692</v>
      </c>
      <c r="J144" s="19"/>
      <c r="K144" s="14"/>
      <c r="L144" s="14"/>
      <c r="M144" s="14"/>
      <c r="N144" s="22"/>
      <c r="O144" s="12" t="str">
        <f t="shared" si="2"/>
        <v>Pendiente</v>
      </c>
    </row>
    <row r="145" spans="1:15" ht="78" customHeight="1">
      <c r="A145" s="17" t="s">
        <v>662</v>
      </c>
      <c r="B145" s="9" t="s">
        <v>537</v>
      </c>
      <c r="C145" s="9" t="s">
        <v>663</v>
      </c>
      <c r="D145" s="17" t="s">
        <v>978</v>
      </c>
      <c r="E145" s="9" t="s">
        <v>979</v>
      </c>
      <c r="F145" s="9" t="s">
        <v>733</v>
      </c>
      <c r="G145" s="32" t="s">
        <v>24</v>
      </c>
      <c r="H145" s="9" t="s">
        <v>980</v>
      </c>
      <c r="I145" s="13" t="s">
        <v>692</v>
      </c>
      <c r="J145" s="19"/>
      <c r="K145" s="14"/>
      <c r="L145" s="14"/>
      <c r="M145" s="14"/>
      <c r="N145" s="22"/>
      <c r="O145" s="12" t="str">
        <f t="shared" si="2"/>
        <v>Pendiente</v>
      </c>
    </row>
    <row r="146" spans="1:15" ht="78" customHeight="1">
      <c r="A146" s="17" t="s">
        <v>666</v>
      </c>
      <c r="B146" s="9" t="s">
        <v>537</v>
      </c>
      <c r="C146" s="9" t="s">
        <v>667</v>
      </c>
      <c r="D146" s="17" t="s">
        <v>935</v>
      </c>
      <c r="E146" s="9" t="s">
        <v>936</v>
      </c>
      <c r="F146" s="9" t="s">
        <v>728</v>
      </c>
      <c r="G146" s="32" t="s">
        <v>42</v>
      </c>
      <c r="H146" s="9" t="s">
        <v>981</v>
      </c>
      <c r="I146" s="13" t="s">
        <v>692</v>
      </c>
      <c r="J146" s="19"/>
      <c r="K146" s="14"/>
      <c r="L146" s="14"/>
      <c r="M146" s="14"/>
      <c r="N146" s="22"/>
      <c r="O146" s="12" t="str">
        <f t="shared" si="2"/>
        <v>Pendiente</v>
      </c>
    </row>
    <row r="147" spans="1:15" ht="78" customHeight="1">
      <c r="A147" s="17" t="s">
        <v>668</v>
      </c>
      <c r="B147" s="9" t="s">
        <v>537</v>
      </c>
      <c r="C147" s="9" t="s">
        <v>573</v>
      </c>
      <c r="D147" s="17" t="s">
        <v>925</v>
      </c>
      <c r="E147" s="9" t="s">
        <v>926</v>
      </c>
      <c r="F147" s="9" t="s">
        <v>728</v>
      </c>
      <c r="G147" s="32" t="s">
        <v>24</v>
      </c>
      <c r="H147" s="9" t="s">
        <v>982</v>
      </c>
      <c r="I147" s="13" t="s">
        <v>692</v>
      </c>
      <c r="J147" s="19"/>
      <c r="K147" s="14"/>
      <c r="L147" s="14"/>
      <c r="M147" s="14"/>
      <c r="N147" s="22"/>
      <c r="O147" s="12" t="str">
        <f t="shared" si="2"/>
        <v>Pendiente</v>
      </c>
    </row>
    <row r="148" spans="1:15" ht="61.95" customHeight="1">
      <c r="A148" s="17" t="s">
        <v>112</v>
      </c>
      <c r="B148" s="9" t="s">
        <v>108</v>
      </c>
      <c r="C148" s="9" t="s">
        <v>113</v>
      </c>
      <c r="D148" s="17" t="s">
        <v>983</v>
      </c>
      <c r="E148" s="9" t="s">
        <v>984</v>
      </c>
      <c r="F148" s="9" t="s">
        <v>985</v>
      </c>
      <c r="G148" s="32" t="s">
        <v>42</v>
      </c>
      <c r="H148" s="9" t="s">
        <v>986</v>
      </c>
      <c r="I148" s="13" t="s">
        <v>692</v>
      </c>
      <c r="J148" s="19"/>
      <c r="K148" s="14"/>
      <c r="L148" s="14"/>
      <c r="M148" s="14"/>
      <c r="N148" s="22"/>
      <c r="O148" s="12" t="str">
        <f t="shared" si="2"/>
        <v>Pendiente</v>
      </c>
    </row>
    <row r="149" spans="1:15" ht="78" customHeight="1">
      <c r="A149" s="17" t="s">
        <v>116</v>
      </c>
      <c r="B149" s="9" t="s">
        <v>108</v>
      </c>
      <c r="C149" s="9" t="s">
        <v>117</v>
      </c>
      <c r="D149" s="17" t="s">
        <v>987</v>
      </c>
      <c r="E149" s="9" t="s">
        <v>988</v>
      </c>
      <c r="F149" s="9" t="s">
        <v>985</v>
      </c>
      <c r="G149" s="32" t="s">
        <v>42</v>
      </c>
      <c r="H149" s="9" t="s">
        <v>989</v>
      </c>
      <c r="I149" s="13" t="s">
        <v>692</v>
      </c>
      <c r="J149" s="19"/>
      <c r="K149" s="14"/>
      <c r="L149" s="14"/>
      <c r="M149" s="14"/>
      <c r="N149" s="22"/>
      <c r="O149" s="12" t="str">
        <f t="shared" si="2"/>
        <v>Pendiente</v>
      </c>
    </row>
    <row r="150" spans="1:15" ht="61.95" customHeight="1">
      <c r="A150" s="17" t="s">
        <v>124</v>
      </c>
      <c r="B150" s="9" t="s">
        <v>108</v>
      </c>
      <c r="C150" s="9" t="s">
        <v>125</v>
      </c>
      <c r="D150" s="17" t="s">
        <v>990</v>
      </c>
      <c r="E150" s="9" t="s">
        <v>991</v>
      </c>
      <c r="F150" s="9" t="s">
        <v>985</v>
      </c>
      <c r="G150" s="32" t="s">
        <v>42</v>
      </c>
      <c r="H150" s="9" t="s">
        <v>992</v>
      </c>
      <c r="I150" s="13" t="s">
        <v>692</v>
      </c>
      <c r="J150" s="19"/>
      <c r="K150" s="14"/>
      <c r="L150" s="14"/>
      <c r="M150" s="14"/>
      <c r="N150" s="22"/>
      <c r="O150" s="12" t="str">
        <f t="shared" si="2"/>
        <v>Pendiente</v>
      </c>
    </row>
    <row r="151" spans="1:15" ht="61.95" customHeight="1">
      <c r="A151" s="17" t="s">
        <v>126</v>
      </c>
      <c r="B151" s="9" t="s">
        <v>108</v>
      </c>
      <c r="C151" s="9" t="s">
        <v>127</v>
      </c>
      <c r="D151" s="17" t="s">
        <v>993</v>
      </c>
      <c r="E151" s="9" t="s">
        <v>994</v>
      </c>
      <c r="F151" s="9" t="s">
        <v>985</v>
      </c>
      <c r="G151" s="32" t="s">
        <v>42</v>
      </c>
      <c r="H151" s="9" t="s">
        <v>995</v>
      </c>
      <c r="I151" s="13" t="s">
        <v>692</v>
      </c>
      <c r="J151" s="19"/>
      <c r="K151" s="14"/>
      <c r="L151" s="14"/>
      <c r="M151" s="14"/>
      <c r="N151" s="22"/>
      <c r="O151" s="12" t="str">
        <f t="shared" si="2"/>
        <v>Pendiente</v>
      </c>
    </row>
    <row r="152" spans="1:15" ht="61.95" customHeight="1">
      <c r="A152" s="17" t="s">
        <v>136</v>
      </c>
      <c r="B152" s="9" t="s">
        <v>108</v>
      </c>
      <c r="C152" s="9" t="s">
        <v>137</v>
      </c>
      <c r="D152" s="17" t="s">
        <v>996</v>
      </c>
      <c r="E152" s="9" t="s">
        <v>997</v>
      </c>
      <c r="F152" s="9" t="s">
        <v>985</v>
      </c>
      <c r="G152" s="32" t="s">
        <v>42</v>
      </c>
      <c r="H152" s="9" t="s">
        <v>998</v>
      </c>
      <c r="I152" s="13" t="s">
        <v>692</v>
      </c>
      <c r="J152" s="19"/>
      <c r="K152" s="14"/>
      <c r="L152" s="14"/>
      <c r="M152" s="14"/>
      <c r="N152" s="22"/>
      <c r="O152" s="12" t="str">
        <f t="shared" si="2"/>
        <v>Pendiente</v>
      </c>
    </row>
    <row r="153" spans="1:15" ht="61.95" customHeight="1">
      <c r="A153" s="17" t="s">
        <v>138</v>
      </c>
      <c r="B153" s="9" t="s">
        <v>108</v>
      </c>
      <c r="C153" s="9" t="s">
        <v>139</v>
      </c>
      <c r="D153" s="17" t="s">
        <v>999</v>
      </c>
      <c r="E153" s="9" t="s">
        <v>1000</v>
      </c>
      <c r="F153" s="9" t="s">
        <v>985</v>
      </c>
      <c r="G153" s="32" t="s">
        <v>42</v>
      </c>
      <c r="H153" s="9" t="s">
        <v>1001</v>
      </c>
      <c r="I153" s="13" t="s">
        <v>692</v>
      </c>
      <c r="J153" s="19"/>
      <c r="K153" s="14"/>
      <c r="L153" s="14"/>
      <c r="M153" s="14"/>
      <c r="N153" s="22"/>
      <c r="O153" s="12" t="str">
        <f t="shared" si="2"/>
        <v>Pendiente</v>
      </c>
    </row>
    <row r="154" spans="1:15" ht="61.95" customHeight="1">
      <c r="A154" s="17" t="s">
        <v>142</v>
      </c>
      <c r="B154" s="9" t="s">
        <v>108</v>
      </c>
      <c r="C154" s="9" t="s">
        <v>143</v>
      </c>
      <c r="D154" s="17" t="s">
        <v>1002</v>
      </c>
      <c r="E154" s="9" t="s">
        <v>727</v>
      </c>
      <c r="F154" s="9" t="s">
        <v>985</v>
      </c>
      <c r="G154" s="32" t="s">
        <v>42</v>
      </c>
      <c r="H154" s="9" t="s">
        <v>1003</v>
      </c>
      <c r="I154" s="13" t="s">
        <v>692</v>
      </c>
      <c r="J154" s="19"/>
      <c r="K154" s="14"/>
      <c r="L154" s="14"/>
      <c r="M154" s="14"/>
      <c r="N154" s="22"/>
      <c r="O154" s="12" t="str">
        <f t="shared" si="2"/>
        <v>Pendiente</v>
      </c>
    </row>
    <row r="155" spans="1:15" ht="61.95" customHeight="1">
      <c r="A155" s="17" t="s">
        <v>146</v>
      </c>
      <c r="B155" s="9" t="s">
        <v>108</v>
      </c>
      <c r="C155" s="9" t="s">
        <v>147</v>
      </c>
      <c r="D155" s="17" t="s">
        <v>1004</v>
      </c>
      <c r="E155" s="9" t="s">
        <v>1005</v>
      </c>
      <c r="F155" s="9" t="s">
        <v>985</v>
      </c>
      <c r="G155" s="32" t="s">
        <v>42</v>
      </c>
      <c r="H155" s="9" t="s">
        <v>1006</v>
      </c>
      <c r="I155" s="13" t="s">
        <v>692</v>
      </c>
      <c r="J155" s="19"/>
      <c r="K155" s="14"/>
      <c r="L155" s="14"/>
      <c r="M155" s="14"/>
      <c r="N155" s="22"/>
      <c r="O155" s="12" t="str">
        <f t="shared" si="2"/>
        <v>Pendiente</v>
      </c>
    </row>
    <row r="156" spans="1:15" ht="61.95" customHeight="1">
      <c r="A156" s="17" t="s">
        <v>148</v>
      </c>
      <c r="B156" s="9" t="s">
        <v>108</v>
      </c>
      <c r="C156" s="9" t="s">
        <v>149</v>
      </c>
      <c r="D156" s="17" t="s">
        <v>1007</v>
      </c>
      <c r="E156" s="9" t="s">
        <v>1008</v>
      </c>
      <c r="F156" s="9" t="s">
        <v>985</v>
      </c>
      <c r="G156" s="32" t="s">
        <v>42</v>
      </c>
      <c r="H156" s="9" t="s">
        <v>1009</v>
      </c>
      <c r="I156" s="13" t="s">
        <v>692</v>
      </c>
      <c r="J156" s="19"/>
      <c r="K156" s="14"/>
      <c r="L156" s="14"/>
      <c r="M156" s="14"/>
      <c r="N156" s="22"/>
      <c r="O156" s="12" t="str">
        <f t="shared" si="2"/>
        <v>Pendiente</v>
      </c>
    </row>
    <row r="157" spans="1:15" ht="61.95" customHeight="1">
      <c r="A157" s="17" t="s">
        <v>150</v>
      </c>
      <c r="B157" s="9" t="s">
        <v>108</v>
      </c>
      <c r="C157" s="9" t="s">
        <v>151</v>
      </c>
      <c r="D157" s="17" t="s">
        <v>1010</v>
      </c>
      <c r="E157" s="9" t="s">
        <v>1011</v>
      </c>
      <c r="F157" s="9" t="s">
        <v>985</v>
      </c>
      <c r="G157" s="32" t="s">
        <v>42</v>
      </c>
      <c r="H157" s="9" t="s">
        <v>1012</v>
      </c>
      <c r="I157" s="13" t="s">
        <v>692</v>
      </c>
      <c r="J157" s="19"/>
      <c r="K157" s="14"/>
      <c r="L157" s="14"/>
      <c r="M157" s="14"/>
      <c r="N157" s="22"/>
      <c r="O157" s="12" t="str">
        <f t="shared" si="2"/>
        <v>Pendiente</v>
      </c>
    </row>
    <row r="158" spans="1:15" ht="61.95" customHeight="1">
      <c r="A158" s="17" t="s">
        <v>152</v>
      </c>
      <c r="B158" s="9" t="s">
        <v>108</v>
      </c>
      <c r="C158" s="9" t="s">
        <v>153</v>
      </c>
      <c r="D158" s="17" t="s">
        <v>1013</v>
      </c>
      <c r="E158" s="9" t="s">
        <v>1014</v>
      </c>
      <c r="F158" s="9" t="s">
        <v>985</v>
      </c>
      <c r="G158" s="32" t="s">
        <v>42</v>
      </c>
      <c r="H158" s="9" t="s">
        <v>1015</v>
      </c>
      <c r="I158" s="13" t="s">
        <v>692</v>
      </c>
      <c r="J158" s="19"/>
      <c r="K158" s="14"/>
      <c r="L158" s="14"/>
      <c r="M158" s="14"/>
      <c r="N158" s="22"/>
      <c r="O158" s="12" t="str">
        <f t="shared" si="2"/>
        <v>Pendiente</v>
      </c>
    </row>
    <row r="159" spans="1:15" ht="61.95" customHeight="1">
      <c r="A159" s="17" t="s">
        <v>154</v>
      </c>
      <c r="B159" s="9" t="s">
        <v>108</v>
      </c>
      <c r="C159" s="9" t="s">
        <v>155</v>
      </c>
      <c r="D159" s="17" t="s">
        <v>1016</v>
      </c>
      <c r="E159" s="9" t="s">
        <v>1017</v>
      </c>
      <c r="F159" s="9" t="s">
        <v>985</v>
      </c>
      <c r="G159" s="32" t="s">
        <v>42</v>
      </c>
      <c r="H159" s="9" t="s">
        <v>1018</v>
      </c>
      <c r="I159" s="13" t="s">
        <v>692</v>
      </c>
      <c r="J159" s="19"/>
      <c r="K159" s="14"/>
      <c r="L159" s="14"/>
      <c r="M159" s="14"/>
      <c r="N159" s="22"/>
      <c r="O159" s="12" t="str">
        <f t="shared" si="2"/>
        <v>Pendiente</v>
      </c>
    </row>
    <row r="160" spans="1:15" ht="61.95" customHeight="1">
      <c r="A160" s="17" t="s">
        <v>158</v>
      </c>
      <c r="B160" s="9" t="s">
        <v>108</v>
      </c>
      <c r="C160" s="9" t="s">
        <v>159</v>
      </c>
      <c r="D160" s="17" t="s">
        <v>1019</v>
      </c>
      <c r="E160" s="9" t="s">
        <v>1020</v>
      </c>
      <c r="F160" s="9" t="s">
        <v>985</v>
      </c>
      <c r="G160" s="32" t="s">
        <v>42</v>
      </c>
      <c r="H160" s="9" t="s">
        <v>1021</v>
      </c>
      <c r="I160" s="13" t="s">
        <v>692</v>
      </c>
      <c r="J160" s="19"/>
      <c r="K160" s="14"/>
      <c r="L160" s="14"/>
      <c r="M160" s="14"/>
      <c r="N160" s="22"/>
      <c r="O160" s="12" t="str">
        <f t="shared" si="2"/>
        <v>Pendiente</v>
      </c>
    </row>
    <row r="161" spans="1:15" ht="61.95" customHeight="1">
      <c r="A161" s="17" t="s">
        <v>160</v>
      </c>
      <c r="B161" s="9" t="s">
        <v>108</v>
      </c>
      <c r="C161" s="9" t="s">
        <v>161</v>
      </c>
      <c r="D161" s="17" t="s">
        <v>1022</v>
      </c>
      <c r="E161" s="9" t="s">
        <v>1023</v>
      </c>
      <c r="F161" s="9" t="s">
        <v>985</v>
      </c>
      <c r="G161" s="32" t="s">
        <v>42</v>
      </c>
      <c r="H161" s="9" t="s">
        <v>1024</v>
      </c>
      <c r="I161" s="13" t="s">
        <v>692</v>
      </c>
      <c r="J161" s="19"/>
      <c r="K161" s="14"/>
      <c r="L161" s="14"/>
      <c r="M161" s="14"/>
      <c r="N161" s="22"/>
      <c r="O161" s="12" t="str">
        <f t="shared" si="2"/>
        <v>Pendiente</v>
      </c>
    </row>
    <row r="162" spans="1:15" ht="61.95" customHeight="1">
      <c r="A162" s="17" t="s">
        <v>162</v>
      </c>
      <c r="B162" s="9" t="s">
        <v>108</v>
      </c>
      <c r="C162" s="9" t="s">
        <v>163</v>
      </c>
      <c r="D162" s="17" t="s">
        <v>1025</v>
      </c>
      <c r="E162" s="9" t="s">
        <v>1026</v>
      </c>
      <c r="F162" s="9" t="s">
        <v>985</v>
      </c>
      <c r="G162" s="32" t="s">
        <v>42</v>
      </c>
      <c r="H162" s="9" t="s">
        <v>1027</v>
      </c>
      <c r="I162" s="13" t="s">
        <v>692</v>
      </c>
      <c r="J162" s="19"/>
      <c r="K162" s="14"/>
      <c r="L162" s="14"/>
      <c r="M162" s="14"/>
      <c r="N162" s="22"/>
      <c r="O162" s="12" t="str">
        <f t="shared" si="2"/>
        <v>Pendiente</v>
      </c>
    </row>
    <row r="163" spans="1:15" ht="61.95" customHeight="1">
      <c r="A163" s="17" t="s">
        <v>164</v>
      </c>
      <c r="B163" s="9" t="s">
        <v>108</v>
      </c>
      <c r="C163" s="9" t="s">
        <v>165</v>
      </c>
      <c r="D163" s="17" t="s">
        <v>1028</v>
      </c>
      <c r="E163" s="9" t="s">
        <v>1029</v>
      </c>
      <c r="F163" s="9" t="s">
        <v>985</v>
      </c>
      <c r="G163" s="32" t="s">
        <v>42</v>
      </c>
      <c r="H163" s="9" t="s">
        <v>1030</v>
      </c>
      <c r="I163" s="13" t="s">
        <v>692</v>
      </c>
      <c r="J163" s="19"/>
      <c r="K163" s="14"/>
      <c r="L163" s="14"/>
      <c r="M163" s="14"/>
      <c r="N163" s="22"/>
      <c r="O163" s="12" t="str">
        <f t="shared" si="2"/>
        <v>Pendiente</v>
      </c>
    </row>
    <row r="164" spans="1:15" ht="61.95" customHeight="1">
      <c r="A164" s="17" t="s">
        <v>168</v>
      </c>
      <c r="B164" s="9" t="s">
        <v>108</v>
      </c>
      <c r="C164" s="9" t="s">
        <v>169</v>
      </c>
      <c r="D164" s="17" t="s">
        <v>1031</v>
      </c>
      <c r="E164" s="9" t="s">
        <v>1032</v>
      </c>
      <c r="F164" s="9" t="s">
        <v>985</v>
      </c>
      <c r="G164" s="32" t="s">
        <v>42</v>
      </c>
      <c r="H164" s="9" t="s">
        <v>1033</v>
      </c>
      <c r="I164" s="13" t="s">
        <v>692</v>
      </c>
      <c r="J164" s="19"/>
      <c r="K164" s="14"/>
      <c r="L164" s="14"/>
      <c r="M164" s="14"/>
      <c r="N164" s="22"/>
      <c r="O164" s="12" t="str">
        <f t="shared" si="2"/>
        <v>Pendiente</v>
      </c>
    </row>
    <row r="165" spans="1:15" ht="61.95" customHeight="1">
      <c r="A165" s="17" t="s">
        <v>170</v>
      </c>
      <c r="B165" s="9" t="s">
        <v>108</v>
      </c>
      <c r="C165" s="9" t="s">
        <v>171</v>
      </c>
      <c r="D165" s="17" t="s">
        <v>1034</v>
      </c>
      <c r="E165" s="9" t="s">
        <v>1035</v>
      </c>
      <c r="F165" s="9" t="s">
        <v>985</v>
      </c>
      <c r="G165" s="32" t="s">
        <v>42</v>
      </c>
      <c r="H165" s="9" t="s">
        <v>1036</v>
      </c>
      <c r="I165" s="13" t="s">
        <v>692</v>
      </c>
      <c r="J165" s="19"/>
      <c r="K165" s="14"/>
      <c r="L165" s="14"/>
      <c r="M165" s="14"/>
      <c r="N165" s="22"/>
      <c r="O165" s="12" t="str">
        <f t="shared" si="2"/>
        <v>Pendiente</v>
      </c>
    </row>
    <row r="166" spans="1:15" ht="61.95" customHeight="1">
      <c r="A166" s="17" t="s">
        <v>174</v>
      </c>
      <c r="B166" s="9" t="s">
        <v>108</v>
      </c>
      <c r="C166" s="9" t="s">
        <v>175</v>
      </c>
      <c r="D166" s="17" t="s">
        <v>1037</v>
      </c>
      <c r="E166" s="9" t="s">
        <v>1038</v>
      </c>
      <c r="F166" s="9" t="s">
        <v>985</v>
      </c>
      <c r="G166" s="32" t="s">
        <v>42</v>
      </c>
      <c r="H166" s="9" t="s">
        <v>1039</v>
      </c>
      <c r="I166" s="13" t="s">
        <v>692</v>
      </c>
      <c r="J166" s="19"/>
      <c r="K166" s="14"/>
      <c r="L166" s="14"/>
      <c r="M166" s="14"/>
      <c r="N166" s="22"/>
      <c r="O166" s="12" t="str">
        <f t="shared" si="2"/>
        <v>Pendiente</v>
      </c>
    </row>
    <row r="167" spans="1:15" ht="61.95" customHeight="1">
      <c r="A167" s="17" t="s">
        <v>180</v>
      </c>
      <c r="B167" s="9" t="s">
        <v>108</v>
      </c>
      <c r="C167" s="9" t="s">
        <v>181</v>
      </c>
      <c r="D167" s="17" t="s">
        <v>1040</v>
      </c>
      <c r="E167" s="9" t="s">
        <v>1041</v>
      </c>
      <c r="F167" s="9" t="s">
        <v>985</v>
      </c>
      <c r="G167" s="32" t="s">
        <v>42</v>
      </c>
      <c r="H167" s="9" t="s">
        <v>1042</v>
      </c>
      <c r="I167" s="13" t="s">
        <v>692</v>
      </c>
      <c r="J167" s="19"/>
      <c r="K167" s="14"/>
      <c r="L167" s="14"/>
      <c r="M167" s="14"/>
      <c r="N167" s="22"/>
      <c r="O167" s="12" t="str">
        <f t="shared" si="2"/>
        <v>Pendiente</v>
      </c>
    </row>
    <row r="168" spans="1:15" ht="61.95" customHeight="1">
      <c r="A168" s="17" t="s">
        <v>186</v>
      </c>
      <c r="B168" s="9" t="s">
        <v>108</v>
      </c>
      <c r="C168" s="9" t="s">
        <v>187</v>
      </c>
      <c r="D168" s="17" t="s">
        <v>1043</v>
      </c>
      <c r="E168" s="9" t="s">
        <v>1044</v>
      </c>
      <c r="F168" s="9" t="s">
        <v>985</v>
      </c>
      <c r="G168" s="32" t="s">
        <v>42</v>
      </c>
      <c r="H168" s="9" t="s">
        <v>1045</v>
      </c>
      <c r="I168" s="13" t="s">
        <v>692</v>
      </c>
      <c r="J168" s="19"/>
      <c r="K168" s="14"/>
      <c r="L168" s="14"/>
      <c r="M168" s="14"/>
      <c r="N168" s="22"/>
      <c r="O168" s="12" t="str">
        <f t="shared" si="2"/>
        <v>Pendiente</v>
      </c>
    </row>
    <row r="169" spans="1:15" ht="61.95" customHeight="1">
      <c r="A169" s="17" t="s">
        <v>188</v>
      </c>
      <c r="B169" s="9" t="s">
        <v>108</v>
      </c>
      <c r="C169" s="9" t="s">
        <v>189</v>
      </c>
      <c r="D169" s="17" t="s">
        <v>1046</v>
      </c>
      <c r="E169" s="9" t="s">
        <v>1047</v>
      </c>
      <c r="F169" s="9" t="s">
        <v>985</v>
      </c>
      <c r="G169" s="32" t="s">
        <v>42</v>
      </c>
      <c r="H169" s="9" t="s">
        <v>1048</v>
      </c>
      <c r="I169" s="13" t="s">
        <v>692</v>
      </c>
      <c r="J169" s="19"/>
      <c r="K169" s="14"/>
      <c r="L169" s="14"/>
      <c r="M169" s="14"/>
      <c r="N169" s="22"/>
      <c r="O169" s="12" t="str">
        <f t="shared" si="2"/>
        <v>Pendiente</v>
      </c>
    </row>
    <row r="170" spans="1:15" ht="61.95" customHeight="1">
      <c r="A170" s="17" t="s">
        <v>192</v>
      </c>
      <c r="B170" s="9" t="s">
        <v>108</v>
      </c>
      <c r="C170" s="9" t="s">
        <v>193</v>
      </c>
      <c r="D170" s="17" t="s">
        <v>1049</v>
      </c>
      <c r="E170" s="9" t="s">
        <v>1050</v>
      </c>
      <c r="F170" s="9" t="s">
        <v>985</v>
      </c>
      <c r="G170" s="32" t="s">
        <v>42</v>
      </c>
      <c r="H170" s="9" t="s">
        <v>1051</v>
      </c>
      <c r="I170" s="13" t="s">
        <v>692</v>
      </c>
      <c r="J170" s="19"/>
      <c r="K170" s="14"/>
      <c r="L170" s="14"/>
      <c r="M170" s="14"/>
      <c r="N170" s="22"/>
      <c r="O170" s="12" t="str">
        <f t="shared" si="2"/>
        <v>Pendiente</v>
      </c>
    </row>
    <row r="171" spans="1:15" ht="61.95" customHeight="1">
      <c r="A171" s="17" t="s">
        <v>194</v>
      </c>
      <c r="B171" s="9" t="s">
        <v>108</v>
      </c>
      <c r="C171" s="9" t="s">
        <v>195</v>
      </c>
      <c r="D171" s="17" t="s">
        <v>1052</v>
      </c>
      <c r="E171" s="9" t="s">
        <v>1053</v>
      </c>
      <c r="F171" s="9" t="s">
        <v>985</v>
      </c>
      <c r="G171" s="32" t="s">
        <v>42</v>
      </c>
      <c r="H171" s="9" t="s">
        <v>1054</v>
      </c>
      <c r="I171" s="13" t="s">
        <v>692</v>
      </c>
      <c r="J171" s="19"/>
      <c r="K171" s="14"/>
      <c r="L171" s="14"/>
      <c r="M171" s="14"/>
      <c r="N171" s="22"/>
      <c r="O171" s="12" t="str">
        <f t="shared" si="2"/>
        <v>Pendiente</v>
      </c>
    </row>
    <row r="172" spans="1:15" ht="61.95" customHeight="1">
      <c r="A172" s="17" t="s">
        <v>204</v>
      </c>
      <c r="B172" s="9" t="s">
        <v>108</v>
      </c>
      <c r="C172" s="9" t="s">
        <v>205</v>
      </c>
      <c r="D172" s="17" t="s">
        <v>1055</v>
      </c>
      <c r="E172" s="9" t="s">
        <v>1056</v>
      </c>
      <c r="F172" s="9" t="s">
        <v>985</v>
      </c>
      <c r="G172" s="32" t="s">
        <v>42</v>
      </c>
      <c r="H172" s="9" t="s">
        <v>1057</v>
      </c>
      <c r="I172" s="13" t="s">
        <v>692</v>
      </c>
      <c r="J172" s="19"/>
      <c r="K172" s="14"/>
      <c r="L172" s="14"/>
      <c r="M172" s="14"/>
      <c r="N172" s="22"/>
      <c r="O172" s="12" t="str">
        <f t="shared" si="2"/>
        <v>Pendiente</v>
      </c>
    </row>
    <row r="173" spans="1:15" ht="61.95" customHeight="1">
      <c r="A173" s="17" t="s">
        <v>206</v>
      </c>
      <c r="B173" s="9" t="s">
        <v>108</v>
      </c>
      <c r="C173" s="9" t="s">
        <v>207</v>
      </c>
      <c r="D173" s="17" t="s">
        <v>1058</v>
      </c>
      <c r="E173" s="9" t="s">
        <v>1059</v>
      </c>
      <c r="F173" s="9" t="s">
        <v>985</v>
      </c>
      <c r="G173" s="32" t="s">
        <v>42</v>
      </c>
      <c r="H173" s="9" t="s">
        <v>1060</v>
      </c>
      <c r="I173" s="13" t="s">
        <v>692</v>
      </c>
      <c r="J173" s="19"/>
      <c r="K173" s="14"/>
      <c r="L173" s="14"/>
      <c r="M173" s="14"/>
      <c r="N173" s="22"/>
      <c r="O173" s="12" t="str">
        <f t="shared" si="2"/>
        <v>Pendiente</v>
      </c>
    </row>
    <row r="174" spans="1:15" ht="61.95" customHeight="1">
      <c r="A174" s="17" t="s">
        <v>210</v>
      </c>
      <c r="B174" s="9" t="s">
        <v>108</v>
      </c>
      <c r="C174" s="9" t="s">
        <v>211</v>
      </c>
      <c r="D174" s="17" t="s">
        <v>1061</v>
      </c>
      <c r="E174" s="9" t="s">
        <v>1062</v>
      </c>
      <c r="F174" s="9" t="s">
        <v>985</v>
      </c>
      <c r="G174" s="32" t="s">
        <v>42</v>
      </c>
      <c r="H174" s="9" t="s">
        <v>1063</v>
      </c>
      <c r="I174" s="13" t="s">
        <v>692</v>
      </c>
      <c r="J174" s="19"/>
      <c r="K174" s="14"/>
      <c r="L174" s="14"/>
      <c r="M174" s="14"/>
      <c r="N174" s="22"/>
      <c r="O174" s="12" t="str">
        <f t="shared" si="2"/>
        <v>Pendiente</v>
      </c>
    </row>
    <row r="175" spans="1:15" ht="61.95" customHeight="1">
      <c r="A175" s="17" t="s">
        <v>212</v>
      </c>
      <c r="B175" s="9" t="s">
        <v>108</v>
      </c>
      <c r="C175" s="9" t="s">
        <v>213</v>
      </c>
      <c r="D175" s="17" t="s">
        <v>1064</v>
      </c>
      <c r="E175" s="9" t="s">
        <v>1065</v>
      </c>
      <c r="F175" s="9" t="s">
        <v>985</v>
      </c>
      <c r="G175" s="32" t="s">
        <v>42</v>
      </c>
      <c r="H175" s="9" t="s">
        <v>1066</v>
      </c>
      <c r="I175" s="13" t="s">
        <v>692</v>
      </c>
      <c r="J175" s="19"/>
      <c r="K175" s="14"/>
      <c r="L175" s="14"/>
      <c r="M175" s="14"/>
      <c r="N175" s="22"/>
      <c r="O175" s="12" t="str">
        <f t="shared" si="2"/>
        <v>Pendiente</v>
      </c>
    </row>
    <row r="176" spans="1:15" ht="61.95" customHeight="1">
      <c r="A176" s="17" t="s">
        <v>214</v>
      </c>
      <c r="B176" s="9" t="s">
        <v>108</v>
      </c>
      <c r="C176" s="9" t="s">
        <v>215</v>
      </c>
      <c r="D176" s="17" t="s">
        <v>1067</v>
      </c>
      <c r="E176" s="9" t="s">
        <v>1068</v>
      </c>
      <c r="F176" s="9" t="s">
        <v>985</v>
      </c>
      <c r="G176" s="32" t="s">
        <v>42</v>
      </c>
      <c r="H176" s="9" t="s">
        <v>1069</v>
      </c>
      <c r="I176" s="13" t="s">
        <v>692</v>
      </c>
      <c r="J176" s="19"/>
      <c r="K176" s="14"/>
      <c r="L176" s="14"/>
      <c r="M176" s="14"/>
      <c r="N176" s="22"/>
      <c r="O176" s="12" t="str">
        <f t="shared" si="2"/>
        <v>Pendiente</v>
      </c>
    </row>
    <row r="177" spans="1:15" ht="61.95" customHeight="1">
      <c r="A177" s="17" t="s">
        <v>216</v>
      </c>
      <c r="B177" s="9" t="s">
        <v>108</v>
      </c>
      <c r="C177" s="9" t="s">
        <v>217</v>
      </c>
      <c r="D177" s="17" t="s">
        <v>1070</v>
      </c>
      <c r="E177" s="9" t="s">
        <v>1071</v>
      </c>
      <c r="F177" s="9" t="s">
        <v>985</v>
      </c>
      <c r="G177" s="32" t="s">
        <v>42</v>
      </c>
      <c r="H177" s="9" t="s">
        <v>1072</v>
      </c>
      <c r="I177" s="13" t="s">
        <v>692</v>
      </c>
      <c r="J177" s="19"/>
      <c r="K177" s="14"/>
      <c r="L177" s="14"/>
      <c r="M177" s="14"/>
      <c r="N177" s="22"/>
      <c r="O177" s="12" t="str">
        <f t="shared" si="2"/>
        <v>Pendiente</v>
      </c>
    </row>
    <row r="178" spans="1:15" ht="61.95" customHeight="1">
      <c r="A178" s="17" t="s">
        <v>220</v>
      </c>
      <c r="B178" s="9" t="s">
        <v>108</v>
      </c>
      <c r="C178" s="9" t="s">
        <v>221</v>
      </c>
      <c r="D178" s="17" t="s">
        <v>1073</v>
      </c>
      <c r="E178" s="9" t="s">
        <v>1074</v>
      </c>
      <c r="F178" s="9" t="s">
        <v>985</v>
      </c>
      <c r="G178" s="32" t="s">
        <v>42</v>
      </c>
      <c r="H178" s="9" t="s">
        <v>1075</v>
      </c>
      <c r="I178" s="13" t="s">
        <v>692</v>
      </c>
      <c r="J178" s="19"/>
      <c r="K178" s="14"/>
      <c r="L178" s="14"/>
      <c r="M178" s="14"/>
      <c r="N178" s="22"/>
      <c r="O178" s="12" t="str">
        <f t="shared" si="2"/>
        <v>Pendiente</v>
      </c>
    </row>
    <row r="179" spans="1:15" ht="61.95" customHeight="1">
      <c r="A179" s="17" t="s">
        <v>226</v>
      </c>
      <c r="B179" s="9" t="s">
        <v>108</v>
      </c>
      <c r="C179" s="9" t="s">
        <v>227</v>
      </c>
      <c r="D179" s="17" t="s">
        <v>1076</v>
      </c>
      <c r="E179" s="9" t="s">
        <v>1077</v>
      </c>
      <c r="F179" s="9" t="s">
        <v>985</v>
      </c>
      <c r="G179" s="32" t="s">
        <v>42</v>
      </c>
      <c r="H179" s="9" t="s">
        <v>1078</v>
      </c>
      <c r="I179" s="13" t="s">
        <v>692</v>
      </c>
      <c r="J179" s="19"/>
      <c r="K179" s="14"/>
      <c r="L179" s="14"/>
      <c r="M179" s="14"/>
      <c r="N179" s="22"/>
      <c r="O179" s="12" t="str">
        <f t="shared" si="2"/>
        <v>Pendiente</v>
      </c>
    </row>
    <row r="180" spans="1:15" ht="61.95" customHeight="1">
      <c r="A180" s="17" t="s">
        <v>254</v>
      </c>
      <c r="B180" s="9" t="s">
        <v>108</v>
      </c>
      <c r="C180" s="9" t="s">
        <v>255</v>
      </c>
      <c r="D180" s="17" t="s">
        <v>1079</v>
      </c>
      <c r="E180" s="9" t="s">
        <v>1080</v>
      </c>
      <c r="F180" s="9" t="s">
        <v>985</v>
      </c>
      <c r="G180" s="32" t="s">
        <v>42</v>
      </c>
      <c r="H180" s="9" t="s">
        <v>1081</v>
      </c>
      <c r="I180" s="13" t="s">
        <v>692</v>
      </c>
      <c r="J180" s="19"/>
      <c r="K180" s="14"/>
      <c r="L180" s="14"/>
      <c r="M180" s="14"/>
      <c r="N180" s="22"/>
      <c r="O180" s="12" t="str">
        <f t="shared" si="2"/>
        <v>Pendiente</v>
      </c>
    </row>
    <row r="181" spans="1:15" ht="61.95" customHeight="1">
      <c r="A181" s="17" t="s">
        <v>260</v>
      </c>
      <c r="B181" s="9" t="s">
        <v>108</v>
      </c>
      <c r="C181" s="9" t="s">
        <v>261</v>
      </c>
      <c r="D181" s="17" t="s">
        <v>1082</v>
      </c>
      <c r="E181" s="9" t="s">
        <v>1083</v>
      </c>
      <c r="F181" s="9" t="s">
        <v>985</v>
      </c>
      <c r="G181" s="32" t="s">
        <v>42</v>
      </c>
      <c r="H181" s="9" t="s">
        <v>1084</v>
      </c>
      <c r="I181" s="13" t="s">
        <v>692</v>
      </c>
      <c r="J181" s="19"/>
      <c r="K181" s="14"/>
      <c r="L181" s="14"/>
      <c r="M181" s="14"/>
      <c r="N181" s="22"/>
      <c r="O181" s="12" t="str">
        <f t="shared" si="2"/>
        <v>Pendiente</v>
      </c>
    </row>
    <row r="182" spans="1:15" ht="61.95" customHeight="1">
      <c r="A182" s="17" t="s">
        <v>262</v>
      </c>
      <c r="B182" s="9" t="s">
        <v>108</v>
      </c>
      <c r="C182" s="9" t="s">
        <v>263</v>
      </c>
      <c r="D182" s="17" t="s">
        <v>1085</v>
      </c>
      <c r="E182" s="9" t="s">
        <v>1086</v>
      </c>
      <c r="F182" s="9" t="s">
        <v>985</v>
      </c>
      <c r="G182" s="32" t="s">
        <v>42</v>
      </c>
      <c r="H182" s="9" t="s">
        <v>1087</v>
      </c>
      <c r="I182" s="13" t="s">
        <v>692</v>
      </c>
      <c r="J182" s="19"/>
      <c r="K182" s="14"/>
      <c r="L182" s="14"/>
      <c r="M182" s="14"/>
      <c r="N182" s="22"/>
      <c r="O182" s="12" t="str">
        <f t="shared" si="2"/>
        <v>Pendiente</v>
      </c>
    </row>
    <row r="183" spans="1:15" ht="61.95" customHeight="1">
      <c r="A183" s="17" t="s">
        <v>268</v>
      </c>
      <c r="B183" s="9" t="s">
        <v>108</v>
      </c>
      <c r="C183" s="9" t="s">
        <v>269</v>
      </c>
      <c r="D183" s="17" t="s">
        <v>1088</v>
      </c>
      <c r="E183" s="9" t="s">
        <v>1089</v>
      </c>
      <c r="F183" s="9" t="s">
        <v>985</v>
      </c>
      <c r="G183" s="32" t="s">
        <v>42</v>
      </c>
      <c r="H183" s="9" t="s">
        <v>1090</v>
      </c>
      <c r="I183" s="13" t="s">
        <v>692</v>
      </c>
      <c r="J183" s="19"/>
      <c r="K183" s="14"/>
      <c r="L183" s="14"/>
      <c r="M183" s="14"/>
      <c r="N183" s="22"/>
      <c r="O183" s="12" t="str">
        <f t="shared" si="2"/>
        <v>Pendiente</v>
      </c>
    </row>
    <row r="184" spans="1:15" ht="61.95" customHeight="1">
      <c r="A184" s="17" t="s">
        <v>270</v>
      </c>
      <c r="B184" s="9" t="s">
        <v>108</v>
      </c>
      <c r="C184" s="9" t="s">
        <v>271</v>
      </c>
      <c r="D184" s="17" t="s">
        <v>1091</v>
      </c>
      <c r="E184" s="9" t="s">
        <v>1092</v>
      </c>
      <c r="F184" s="9" t="s">
        <v>985</v>
      </c>
      <c r="G184" s="32" t="s">
        <v>42</v>
      </c>
      <c r="H184" s="9" t="s">
        <v>1093</v>
      </c>
      <c r="I184" s="13" t="s">
        <v>692</v>
      </c>
      <c r="J184" s="19"/>
      <c r="K184" s="14"/>
      <c r="L184" s="14"/>
      <c r="M184" s="14"/>
      <c r="N184" s="22"/>
      <c r="O184" s="12" t="str">
        <f t="shared" si="2"/>
        <v>Pendiente</v>
      </c>
    </row>
    <row r="185" spans="1:15" ht="61.95" customHeight="1">
      <c r="A185" s="17" t="s">
        <v>272</v>
      </c>
      <c r="B185" s="9" t="s">
        <v>108</v>
      </c>
      <c r="C185" s="9" t="s">
        <v>273</v>
      </c>
      <c r="D185" s="17" t="s">
        <v>1094</v>
      </c>
      <c r="E185" s="9" t="s">
        <v>1095</v>
      </c>
      <c r="F185" s="9" t="s">
        <v>985</v>
      </c>
      <c r="G185" s="32" t="s">
        <v>42</v>
      </c>
      <c r="H185" s="9" t="s">
        <v>1096</v>
      </c>
      <c r="I185" s="13" t="s">
        <v>692</v>
      </c>
      <c r="J185" s="19"/>
      <c r="K185" s="14"/>
      <c r="L185" s="14"/>
      <c r="M185" s="14"/>
      <c r="N185" s="22"/>
      <c r="O185" s="12" t="str">
        <f t="shared" si="2"/>
        <v>Pendiente</v>
      </c>
    </row>
    <row r="186" spans="1:15" ht="61.95" customHeight="1">
      <c r="A186" s="17" t="s">
        <v>274</v>
      </c>
      <c r="B186" s="9" t="s">
        <v>108</v>
      </c>
      <c r="C186" s="9" t="s">
        <v>275</v>
      </c>
      <c r="D186" s="17" t="s">
        <v>1097</v>
      </c>
      <c r="E186" s="9" t="s">
        <v>1098</v>
      </c>
      <c r="F186" s="9" t="s">
        <v>985</v>
      </c>
      <c r="G186" s="32" t="s">
        <v>42</v>
      </c>
      <c r="H186" s="9" t="s">
        <v>1099</v>
      </c>
      <c r="I186" s="13" t="s">
        <v>692</v>
      </c>
      <c r="J186" s="19"/>
      <c r="K186" s="14"/>
      <c r="L186" s="14"/>
      <c r="M186" s="14"/>
      <c r="N186" s="22"/>
      <c r="O186" s="12" t="str">
        <f t="shared" si="2"/>
        <v>Pendiente</v>
      </c>
    </row>
    <row r="187" spans="1:15" ht="61.95" customHeight="1">
      <c r="A187" s="17" t="s">
        <v>276</v>
      </c>
      <c r="B187" s="9" t="s">
        <v>108</v>
      </c>
      <c r="C187" s="9" t="s">
        <v>277</v>
      </c>
      <c r="D187" s="17" t="s">
        <v>1100</v>
      </c>
      <c r="E187" s="9" t="s">
        <v>1101</v>
      </c>
      <c r="F187" s="9" t="s">
        <v>985</v>
      </c>
      <c r="G187" s="32" t="s">
        <v>42</v>
      </c>
      <c r="H187" s="9" t="s">
        <v>1102</v>
      </c>
      <c r="I187" s="13" t="s">
        <v>692</v>
      </c>
      <c r="J187" s="19"/>
      <c r="K187" s="14"/>
      <c r="L187" s="14"/>
      <c r="M187" s="14"/>
      <c r="N187" s="22"/>
      <c r="O187" s="12" t="str">
        <f t="shared" si="2"/>
        <v>Pendiente</v>
      </c>
    </row>
    <row r="188" spans="1:15" ht="61.95" customHeight="1">
      <c r="A188" s="17" t="s">
        <v>286</v>
      </c>
      <c r="B188" s="9" t="s">
        <v>108</v>
      </c>
      <c r="C188" s="9" t="s">
        <v>287</v>
      </c>
      <c r="D188" s="17" t="s">
        <v>1103</v>
      </c>
      <c r="E188" s="9" t="s">
        <v>1104</v>
      </c>
      <c r="F188" s="9" t="s">
        <v>985</v>
      </c>
      <c r="G188" s="32" t="s">
        <v>42</v>
      </c>
      <c r="H188" s="9" t="s">
        <v>1105</v>
      </c>
      <c r="I188" s="13" t="s">
        <v>692</v>
      </c>
      <c r="J188" s="19"/>
      <c r="K188" s="14"/>
      <c r="L188" s="14"/>
      <c r="M188" s="14"/>
      <c r="N188" s="22"/>
      <c r="O188" s="12" t="str">
        <f t="shared" si="2"/>
        <v>Pendiente</v>
      </c>
    </row>
    <row r="189" spans="1:15" ht="61.95" customHeight="1">
      <c r="A189" s="17" t="s">
        <v>290</v>
      </c>
      <c r="B189" s="9" t="s">
        <v>108</v>
      </c>
      <c r="C189" s="9" t="s">
        <v>291</v>
      </c>
      <c r="D189" s="17" t="s">
        <v>1106</v>
      </c>
      <c r="E189" s="9" t="s">
        <v>1107</v>
      </c>
      <c r="F189" s="9" t="s">
        <v>985</v>
      </c>
      <c r="G189" s="32" t="s">
        <v>42</v>
      </c>
      <c r="H189" s="9" t="s">
        <v>1108</v>
      </c>
      <c r="I189" s="13" t="s">
        <v>692</v>
      </c>
      <c r="J189" s="19"/>
      <c r="K189" s="14"/>
      <c r="L189" s="14"/>
      <c r="M189" s="14"/>
      <c r="N189" s="22"/>
      <c r="O189" s="12" t="str">
        <f t="shared" si="2"/>
        <v>Pendiente</v>
      </c>
    </row>
    <row r="190" spans="1:15" ht="61.95" customHeight="1">
      <c r="A190" s="17" t="s">
        <v>306</v>
      </c>
      <c r="B190" s="9" t="s">
        <v>108</v>
      </c>
      <c r="C190" s="9" t="s">
        <v>307</v>
      </c>
      <c r="D190" s="17" t="s">
        <v>1109</v>
      </c>
      <c r="E190" s="9" t="s">
        <v>1110</v>
      </c>
      <c r="F190" s="9" t="s">
        <v>985</v>
      </c>
      <c r="G190" s="32" t="s">
        <v>42</v>
      </c>
      <c r="H190" s="9" t="s">
        <v>1111</v>
      </c>
      <c r="I190" s="13" t="s">
        <v>692</v>
      </c>
      <c r="J190" s="19"/>
      <c r="K190" s="14"/>
      <c r="L190" s="14"/>
      <c r="M190" s="14"/>
      <c r="N190" s="22"/>
      <c r="O190" s="12" t="str">
        <f t="shared" si="2"/>
        <v>Pendiente</v>
      </c>
    </row>
    <row r="191" spans="1:15" ht="61.95" customHeight="1">
      <c r="A191" s="17" t="s">
        <v>312</v>
      </c>
      <c r="B191" s="9" t="s">
        <v>108</v>
      </c>
      <c r="C191" s="9" t="s">
        <v>313</v>
      </c>
      <c r="D191" s="17" t="s">
        <v>1112</v>
      </c>
      <c r="E191" s="9" t="s">
        <v>1113</v>
      </c>
      <c r="F191" s="9" t="s">
        <v>985</v>
      </c>
      <c r="G191" s="32" t="s">
        <v>42</v>
      </c>
      <c r="H191" s="9" t="s">
        <v>1114</v>
      </c>
      <c r="I191" s="13" t="s">
        <v>692</v>
      </c>
      <c r="J191" s="19"/>
      <c r="K191" s="14"/>
      <c r="L191" s="14"/>
      <c r="M191" s="14"/>
      <c r="N191" s="22"/>
      <c r="O191" s="12" t="str">
        <f t="shared" si="2"/>
        <v>Pendiente</v>
      </c>
    </row>
    <row r="192" spans="1:15" ht="61.95" customHeight="1">
      <c r="A192" s="17" t="s">
        <v>316</v>
      </c>
      <c r="B192" s="9" t="s">
        <v>108</v>
      </c>
      <c r="C192" s="9" t="s">
        <v>317</v>
      </c>
      <c r="D192" s="17" t="s">
        <v>1115</v>
      </c>
      <c r="E192" s="9" t="s">
        <v>1116</v>
      </c>
      <c r="F192" s="9" t="s">
        <v>985</v>
      </c>
      <c r="G192" s="32" t="s">
        <v>690</v>
      </c>
      <c r="H192" s="9" t="s">
        <v>1117</v>
      </c>
      <c r="I192" s="13" t="s">
        <v>692</v>
      </c>
      <c r="J192" s="19"/>
      <c r="K192" s="14"/>
      <c r="L192" s="14"/>
      <c r="M192" s="14"/>
      <c r="N192" s="22"/>
      <c r="O192" s="12" t="str">
        <f t="shared" si="2"/>
        <v>Pendiente</v>
      </c>
    </row>
    <row r="193" spans="1:15" ht="61.95" customHeight="1">
      <c r="A193" s="17" t="s">
        <v>318</v>
      </c>
      <c r="B193" s="9" t="s">
        <v>108</v>
      </c>
      <c r="C193" s="9" t="s">
        <v>319</v>
      </c>
      <c r="D193" s="17" t="s">
        <v>1118</v>
      </c>
      <c r="E193" s="9" t="s">
        <v>1119</v>
      </c>
      <c r="F193" s="9" t="s">
        <v>985</v>
      </c>
      <c r="G193" s="32" t="s">
        <v>42</v>
      </c>
      <c r="H193" s="9" t="s">
        <v>1120</v>
      </c>
      <c r="I193" s="13" t="s">
        <v>692</v>
      </c>
      <c r="J193" s="19"/>
      <c r="K193" s="14"/>
      <c r="L193" s="14"/>
      <c r="M193" s="14"/>
      <c r="N193" s="22"/>
      <c r="O193" s="12" t="str">
        <f t="shared" si="2"/>
        <v>Pendiente</v>
      </c>
    </row>
    <row r="194" spans="1:15" ht="61.95" customHeight="1">
      <c r="A194" s="17" t="s">
        <v>324</v>
      </c>
      <c r="B194" s="9" t="s">
        <v>108</v>
      </c>
      <c r="C194" s="9" t="s">
        <v>325</v>
      </c>
      <c r="D194" s="17" t="s">
        <v>1121</v>
      </c>
      <c r="E194" s="9" t="s">
        <v>1122</v>
      </c>
      <c r="F194" s="9" t="s">
        <v>985</v>
      </c>
      <c r="G194" s="32" t="s">
        <v>42</v>
      </c>
      <c r="H194" s="9" t="s">
        <v>1123</v>
      </c>
      <c r="I194" s="13" t="s">
        <v>692</v>
      </c>
      <c r="J194" s="19"/>
      <c r="K194" s="14"/>
      <c r="L194" s="14"/>
      <c r="M194" s="14"/>
      <c r="N194" s="22"/>
      <c r="O194" s="12" t="str">
        <f t="shared" si="2"/>
        <v>Pendiente</v>
      </c>
    </row>
    <row r="195" spans="1:15" ht="61.95" customHeight="1">
      <c r="A195" s="17" t="s">
        <v>328</v>
      </c>
      <c r="B195" s="9" t="s">
        <v>108</v>
      </c>
      <c r="C195" s="9" t="s">
        <v>329</v>
      </c>
      <c r="D195" s="17" t="s">
        <v>1124</v>
      </c>
      <c r="E195" s="9" t="s">
        <v>1125</v>
      </c>
      <c r="F195" s="9" t="s">
        <v>985</v>
      </c>
      <c r="G195" s="32" t="s">
        <v>42</v>
      </c>
      <c r="H195" s="9" t="s">
        <v>1126</v>
      </c>
      <c r="I195" s="13" t="s">
        <v>692</v>
      </c>
      <c r="J195" s="19"/>
      <c r="K195" s="14"/>
      <c r="L195" s="14"/>
      <c r="M195" s="14"/>
      <c r="N195" s="22"/>
      <c r="O195" s="12" t="str">
        <f t="shared" si="2"/>
        <v>Pendiente</v>
      </c>
    </row>
    <row r="196" spans="1:15" ht="61.95" customHeight="1">
      <c r="A196" s="17" t="s">
        <v>330</v>
      </c>
      <c r="B196" s="9" t="s">
        <v>108</v>
      </c>
      <c r="C196" s="9" t="s">
        <v>331</v>
      </c>
      <c r="D196" s="17" t="s">
        <v>1127</v>
      </c>
      <c r="E196" s="9" t="s">
        <v>1128</v>
      </c>
      <c r="F196" s="9" t="s">
        <v>985</v>
      </c>
      <c r="G196" s="32" t="s">
        <v>42</v>
      </c>
      <c r="H196" s="9" t="s">
        <v>1129</v>
      </c>
      <c r="I196" s="13" t="s">
        <v>692</v>
      </c>
      <c r="J196" s="19"/>
      <c r="K196" s="14"/>
      <c r="L196" s="14"/>
      <c r="M196" s="14"/>
      <c r="N196" s="22"/>
      <c r="O196" s="12" t="str">
        <f t="shared" si="2"/>
        <v>Pendiente</v>
      </c>
    </row>
    <row r="197" spans="1:15" ht="61.95" customHeight="1">
      <c r="A197" s="17" t="s">
        <v>334</v>
      </c>
      <c r="B197" s="9" t="s">
        <v>108</v>
      </c>
      <c r="C197" s="9" t="s">
        <v>335</v>
      </c>
      <c r="D197" s="17" t="s">
        <v>1130</v>
      </c>
      <c r="E197" s="9" t="s">
        <v>1131</v>
      </c>
      <c r="F197" s="9" t="s">
        <v>985</v>
      </c>
      <c r="G197" s="32" t="s">
        <v>42</v>
      </c>
      <c r="H197" s="9" t="s">
        <v>1132</v>
      </c>
      <c r="I197" s="13" t="s">
        <v>692</v>
      </c>
      <c r="J197" s="19"/>
      <c r="K197" s="14"/>
      <c r="L197" s="14"/>
      <c r="M197" s="14"/>
      <c r="N197" s="22"/>
      <c r="O197" s="12" t="str">
        <f t="shared" si="2"/>
        <v>Pendiente</v>
      </c>
    </row>
    <row r="198" spans="1:15" ht="61.95" customHeight="1">
      <c r="A198" s="17" t="s">
        <v>338</v>
      </c>
      <c r="B198" s="9" t="s">
        <v>108</v>
      </c>
      <c r="C198" s="9" t="s">
        <v>339</v>
      </c>
      <c r="D198" s="17" t="s">
        <v>1133</v>
      </c>
      <c r="E198" s="9" t="s">
        <v>1134</v>
      </c>
      <c r="F198" s="9" t="s">
        <v>985</v>
      </c>
      <c r="G198" s="32" t="s">
        <v>42</v>
      </c>
      <c r="H198" s="9" t="s">
        <v>1135</v>
      </c>
      <c r="I198" s="13" t="s">
        <v>692</v>
      </c>
      <c r="J198" s="19"/>
      <c r="K198" s="14"/>
      <c r="L198" s="14"/>
      <c r="M198" s="14"/>
      <c r="N198" s="22"/>
      <c r="O198" s="12" t="str">
        <f t="shared" si="2"/>
        <v>Pendiente</v>
      </c>
    </row>
    <row r="199" spans="1:15" ht="61.95" customHeight="1">
      <c r="A199" s="17" t="s">
        <v>344</v>
      </c>
      <c r="B199" s="9" t="s">
        <v>108</v>
      </c>
      <c r="C199" s="9" t="s">
        <v>345</v>
      </c>
      <c r="D199" s="17" t="s">
        <v>1136</v>
      </c>
      <c r="E199" s="9" t="s">
        <v>1137</v>
      </c>
      <c r="F199" s="9" t="s">
        <v>985</v>
      </c>
      <c r="G199" s="32" t="s">
        <v>42</v>
      </c>
      <c r="H199" s="9" t="s">
        <v>1138</v>
      </c>
      <c r="I199" s="13" t="s">
        <v>692</v>
      </c>
      <c r="J199" s="19"/>
      <c r="K199" s="14"/>
      <c r="L199" s="14"/>
      <c r="M199" s="14"/>
      <c r="N199" s="22"/>
      <c r="O199" s="12" t="str">
        <f t="shared" si="2"/>
        <v>Pendiente</v>
      </c>
    </row>
    <row r="200" spans="1:15" ht="61.95" customHeight="1">
      <c r="A200" s="17" t="s">
        <v>352</v>
      </c>
      <c r="B200" s="9" t="s">
        <v>108</v>
      </c>
      <c r="C200" s="9" t="s">
        <v>353</v>
      </c>
      <c r="D200" s="17" t="s">
        <v>1139</v>
      </c>
      <c r="E200" s="9" t="s">
        <v>1140</v>
      </c>
      <c r="F200" s="9" t="s">
        <v>985</v>
      </c>
      <c r="G200" s="32" t="s">
        <v>42</v>
      </c>
      <c r="H200" s="9" t="s">
        <v>1141</v>
      </c>
      <c r="I200" s="13" t="s">
        <v>692</v>
      </c>
      <c r="J200" s="19"/>
      <c r="K200" s="14"/>
      <c r="L200" s="14"/>
      <c r="M200" s="14"/>
      <c r="N200" s="22"/>
      <c r="O200" s="12" t="str">
        <f t="shared" ref="O200:O263" si="3">IF(I200="Pendiente","Pendiente",IF(I200="Equivalente confirmado",IF(OR(J200="",K200=""),"Falta código o nombre",IF(OR(L200="",M200=""),"Falta validación",IF(OR(NOT(ISNUMBER(N200)),N200&lt;=0),"Falta fecha","Homologado"))),IF(I200="Sin equivalente en AVAIN",IF(OR(J200&lt;&gt;"",K200&lt;&gt;""),"Quitar código y nombre",IF(OR(L200="",M200=""),"Falta validación",IF(OR(NOT(ISNUMBER(N200)),N200&lt;=0),"Falta fecha","Sin equivalente confirmado"))),"Revisar decisión")))</f>
        <v>Pendiente</v>
      </c>
    </row>
    <row r="201" spans="1:15" ht="61.95" customHeight="1">
      <c r="A201" s="17" t="s">
        <v>365</v>
      </c>
      <c r="B201" s="9" t="s">
        <v>357</v>
      </c>
      <c r="C201" s="9" t="s">
        <v>366</v>
      </c>
      <c r="D201" s="17" t="s">
        <v>1142</v>
      </c>
      <c r="E201" s="9" t="s">
        <v>1143</v>
      </c>
      <c r="F201" s="9" t="s">
        <v>985</v>
      </c>
      <c r="G201" s="32" t="s">
        <v>690</v>
      </c>
      <c r="H201" s="9" t="s">
        <v>1144</v>
      </c>
      <c r="I201" s="13" t="s">
        <v>692</v>
      </c>
      <c r="J201" s="19"/>
      <c r="K201" s="14"/>
      <c r="L201" s="14"/>
      <c r="M201" s="14"/>
      <c r="N201" s="22"/>
      <c r="O201" s="12" t="str">
        <f t="shared" si="3"/>
        <v>Pendiente</v>
      </c>
    </row>
    <row r="202" spans="1:15" ht="61.95" customHeight="1">
      <c r="A202" s="17" t="s">
        <v>375</v>
      </c>
      <c r="B202" s="9" t="s">
        <v>357</v>
      </c>
      <c r="C202" s="9" t="s">
        <v>376</v>
      </c>
      <c r="D202" s="17" t="s">
        <v>1145</v>
      </c>
      <c r="E202" s="9" t="s">
        <v>1146</v>
      </c>
      <c r="F202" s="9" t="s">
        <v>985</v>
      </c>
      <c r="G202" s="32" t="s">
        <v>42</v>
      </c>
      <c r="H202" s="9" t="s">
        <v>1147</v>
      </c>
      <c r="I202" s="13" t="s">
        <v>692</v>
      </c>
      <c r="J202" s="19"/>
      <c r="K202" s="14"/>
      <c r="L202" s="14"/>
      <c r="M202" s="14"/>
      <c r="N202" s="22"/>
      <c r="O202" s="12" t="str">
        <f t="shared" si="3"/>
        <v>Pendiente</v>
      </c>
    </row>
    <row r="203" spans="1:15" ht="61.95" customHeight="1">
      <c r="A203" s="17" t="s">
        <v>381</v>
      </c>
      <c r="B203" s="9" t="s">
        <v>357</v>
      </c>
      <c r="C203" s="9" t="s">
        <v>382</v>
      </c>
      <c r="D203" s="17" t="s">
        <v>1148</v>
      </c>
      <c r="E203" s="9" t="s">
        <v>1149</v>
      </c>
      <c r="F203" s="9" t="s">
        <v>985</v>
      </c>
      <c r="G203" s="32" t="s">
        <v>690</v>
      </c>
      <c r="H203" s="9" t="s">
        <v>1150</v>
      </c>
      <c r="I203" s="13" t="s">
        <v>692</v>
      </c>
      <c r="J203" s="19"/>
      <c r="K203" s="14"/>
      <c r="L203" s="14"/>
      <c r="M203" s="14"/>
      <c r="N203" s="22"/>
      <c r="O203" s="12" t="str">
        <f t="shared" si="3"/>
        <v>Pendiente</v>
      </c>
    </row>
    <row r="204" spans="1:15" ht="61.95" customHeight="1">
      <c r="A204" s="17" t="s">
        <v>397</v>
      </c>
      <c r="B204" s="9" t="s">
        <v>357</v>
      </c>
      <c r="C204" s="9" t="s">
        <v>398</v>
      </c>
      <c r="D204" s="17" t="s">
        <v>1151</v>
      </c>
      <c r="E204" s="9" t="s">
        <v>1152</v>
      </c>
      <c r="F204" s="9" t="s">
        <v>985</v>
      </c>
      <c r="G204" s="32" t="s">
        <v>42</v>
      </c>
      <c r="H204" s="9" t="s">
        <v>1153</v>
      </c>
      <c r="I204" s="13" t="s">
        <v>692</v>
      </c>
      <c r="J204" s="19"/>
      <c r="K204" s="14"/>
      <c r="L204" s="14"/>
      <c r="M204" s="14"/>
      <c r="N204" s="22"/>
      <c r="O204" s="12" t="str">
        <f t="shared" si="3"/>
        <v>Pendiente</v>
      </c>
    </row>
    <row r="205" spans="1:15" ht="61.95" customHeight="1">
      <c r="A205" s="17" t="s">
        <v>405</v>
      </c>
      <c r="B205" s="9" t="s">
        <v>357</v>
      </c>
      <c r="C205" s="9" t="s">
        <v>406</v>
      </c>
      <c r="D205" s="17" t="s">
        <v>1154</v>
      </c>
      <c r="E205" s="9" t="s">
        <v>1155</v>
      </c>
      <c r="F205" s="9" t="s">
        <v>985</v>
      </c>
      <c r="G205" s="32" t="s">
        <v>42</v>
      </c>
      <c r="H205" s="9" t="s">
        <v>1156</v>
      </c>
      <c r="I205" s="13" t="s">
        <v>692</v>
      </c>
      <c r="J205" s="19"/>
      <c r="K205" s="14"/>
      <c r="L205" s="14"/>
      <c r="M205" s="14"/>
      <c r="N205" s="22"/>
      <c r="O205" s="12" t="str">
        <f t="shared" si="3"/>
        <v>Pendiente</v>
      </c>
    </row>
    <row r="206" spans="1:15" ht="61.95" customHeight="1">
      <c r="A206" s="17" t="s">
        <v>411</v>
      </c>
      <c r="B206" s="9" t="s">
        <v>357</v>
      </c>
      <c r="C206" s="9" t="s">
        <v>412</v>
      </c>
      <c r="D206" s="17" t="s">
        <v>1157</v>
      </c>
      <c r="E206" s="9" t="s">
        <v>1158</v>
      </c>
      <c r="F206" s="9" t="s">
        <v>985</v>
      </c>
      <c r="G206" s="32" t="s">
        <v>690</v>
      </c>
      <c r="H206" s="9" t="s">
        <v>1159</v>
      </c>
      <c r="I206" s="13" t="s">
        <v>692</v>
      </c>
      <c r="J206" s="19"/>
      <c r="K206" s="14"/>
      <c r="L206" s="14"/>
      <c r="M206" s="14"/>
      <c r="N206" s="22"/>
      <c r="O206" s="12" t="str">
        <f t="shared" si="3"/>
        <v>Pendiente</v>
      </c>
    </row>
    <row r="207" spans="1:15" ht="61.95" customHeight="1">
      <c r="A207" s="17" t="s">
        <v>421</v>
      </c>
      <c r="B207" s="9" t="s">
        <v>357</v>
      </c>
      <c r="C207" s="9" t="s">
        <v>422</v>
      </c>
      <c r="D207" s="17" t="s">
        <v>1160</v>
      </c>
      <c r="E207" s="9" t="s">
        <v>1161</v>
      </c>
      <c r="F207" s="9" t="s">
        <v>985</v>
      </c>
      <c r="G207" s="32" t="s">
        <v>42</v>
      </c>
      <c r="H207" s="9" t="s">
        <v>1162</v>
      </c>
      <c r="I207" s="13" t="s">
        <v>692</v>
      </c>
      <c r="J207" s="19"/>
      <c r="K207" s="14"/>
      <c r="L207" s="14"/>
      <c r="M207" s="14"/>
      <c r="N207" s="22"/>
      <c r="O207" s="12" t="str">
        <f t="shared" si="3"/>
        <v>Pendiente</v>
      </c>
    </row>
    <row r="208" spans="1:15" ht="61.95" customHeight="1">
      <c r="A208" s="17" t="s">
        <v>423</v>
      </c>
      <c r="B208" s="9" t="s">
        <v>357</v>
      </c>
      <c r="C208" s="9" t="s">
        <v>424</v>
      </c>
      <c r="D208" s="17" t="s">
        <v>1163</v>
      </c>
      <c r="E208" s="9" t="s">
        <v>1164</v>
      </c>
      <c r="F208" s="9" t="s">
        <v>985</v>
      </c>
      <c r="G208" s="32" t="s">
        <v>42</v>
      </c>
      <c r="H208" s="9" t="s">
        <v>1165</v>
      </c>
      <c r="I208" s="13" t="s">
        <v>692</v>
      </c>
      <c r="J208" s="19"/>
      <c r="K208" s="14"/>
      <c r="L208" s="14"/>
      <c r="M208" s="14"/>
      <c r="N208" s="22"/>
      <c r="O208" s="12" t="str">
        <f t="shared" si="3"/>
        <v>Pendiente</v>
      </c>
    </row>
    <row r="209" spans="1:15" ht="61.95" customHeight="1">
      <c r="A209" s="17" t="s">
        <v>435</v>
      </c>
      <c r="B209" s="9" t="s">
        <v>357</v>
      </c>
      <c r="C209" s="9" t="s">
        <v>436</v>
      </c>
      <c r="D209" s="17" t="s">
        <v>1166</v>
      </c>
      <c r="E209" s="9" t="s">
        <v>1167</v>
      </c>
      <c r="F209" s="9" t="s">
        <v>985</v>
      </c>
      <c r="G209" s="32" t="s">
        <v>42</v>
      </c>
      <c r="H209" s="9" t="s">
        <v>1168</v>
      </c>
      <c r="I209" s="13" t="s">
        <v>692</v>
      </c>
      <c r="J209" s="19"/>
      <c r="K209" s="14"/>
      <c r="L209" s="14"/>
      <c r="M209" s="14"/>
      <c r="N209" s="22"/>
      <c r="O209" s="12" t="str">
        <f t="shared" si="3"/>
        <v>Pendiente</v>
      </c>
    </row>
    <row r="210" spans="1:15" ht="61.95" customHeight="1">
      <c r="A210" s="17" t="s">
        <v>470</v>
      </c>
      <c r="B210" s="9" t="s">
        <v>464</v>
      </c>
      <c r="C210" s="9" t="s">
        <v>471</v>
      </c>
      <c r="D210" s="17" t="s">
        <v>1169</v>
      </c>
      <c r="E210" s="9" t="s">
        <v>1170</v>
      </c>
      <c r="F210" s="9" t="s">
        <v>985</v>
      </c>
      <c r="G210" s="32" t="s">
        <v>42</v>
      </c>
      <c r="H210" s="9" t="s">
        <v>1171</v>
      </c>
      <c r="I210" s="13" t="s">
        <v>692</v>
      </c>
      <c r="J210" s="19"/>
      <c r="K210" s="14"/>
      <c r="L210" s="14"/>
      <c r="M210" s="14"/>
      <c r="N210" s="22"/>
      <c r="O210" s="12" t="str">
        <f t="shared" si="3"/>
        <v>Pendiente</v>
      </c>
    </row>
    <row r="211" spans="1:15" ht="61.95" customHeight="1">
      <c r="A211" s="17" t="s">
        <v>480</v>
      </c>
      <c r="B211" s="9" t="s">
        <v>464</v>
      </c>
      <c r="C211" s="9" t="s">
        <v>481</v>
      </c>
      <c r="D211" s="17" t="s">
        <v>1172</v>
      </c>
      <c r="E211" s="9" t="s">
        <v>1173</v>
      </c>
      <c r="F211" s="9" t="s">
        <v>985</v>
      </c>
      <c r="G211" s="32" t="s">
        <v>690</v>
      </c>
      <c r="H211" s="9" t="s">
        <v>1174</v>
      </c>
      <c r="I211" s="13" t="s">
        <v>692</v>
      </c>
      <c r="J211" s="19"/>
      <c r="K211" s="14"/>
      <c r="L211" s="14"/>
      <c r="M211" s="14"/>
      <c r="N211" s="22"/>
      <c r="O211" s="12" t="str">
        <f t="shared" si="3"/>
        <v>Pendiente</v>
      </c>
    </row>
    <row r="212" spans="1:15" ht="61.95" customHeight="1">
      <c r="A212" s="17" t="s">
        <v>484</v>
      </c>
      <c r="B212" s="9" t="s">
        <v>464</v>
      </c>
      <c r="C212" s="9" t="s">
        <v>485</v>
      </c>
      <c r="D212" s="17" t="s">
        <v>1175</v>
      </c>
      <c r="E212" s="9" t="s">
        <v>1176</v>
      </c>
      <c r="F212" s="9" t="s">
        <v>985</v>
      </c>
      <c r="G212" s="32" t="s">
        <v>690</v>
      </c>
      <c r="H212" s="9" t="s">
        <v>1177</v>
      </c>
      <c r="I212" s="13" t="s">
        <v>692</v>
      </c>
      <c r="J212" s="19"/>
      <c r="K212" s="14"/>
      <c r="L212" s="14"/>
      <c r="M212" s="14"/>
      <c r="N212" s="22"/>
      <c r="O212" s="12" t="str">
        <f t="shared" si="3"/>
        <v>Pendiente</v>
      </c>
    </row>
    <row r="213" spans="1:15" ht="61.95" customHeight="1">
      <c r="A213" s="17" t="s">
        <v>556</v>
      </c>
      <c r="B213" s="9" t="s">
        <v>537</v>
      </c>
      <c r="C213" s="9" t="s">
        <v>557</v>
      </c>
      <c r="D213" s="17" t="s">
        <v>1178</v>
      </c>
      <c r="E213" s="9" t="s">
        <v>1179</v>
      </c>
      <c r="F213" s="9" t="s">
        <v>985</v>
      </c>
      <c r="G213" s="32" t="s">
        <v>42</v>
      </c>
      <c r="H213" s="9" t="s">
        <v>1180</v>
      </c>
      <c r="I213" s="13" t="s">
        <v>692</v>
      </c>
      <c r="J213" s="19"/>
      <c r="K213" s="14"/>
      <c r="L213" s="14"/>
      <c r="M213" s="14"/>
      <c r="N213" s="22"/>
      <c r="O213" s="12" t="str">
        <f t="shared" si="3"/>
        <v>Pendiente</v>
      </c>
    </row>
    <row r="214" spans="1:15" ht="61.95" customHeight="1">
      <c r="A214" s="17" t="s">
        <v>560</v>
      </c>
      <c r="B214" s="9" t="s">
        <v>537</v>
      </c>
      <c r="C214" s="9" t="s">
        <v>561</v>
      </c>
      <c r="D214" s="17" t="s">
        <v>1181</v>
      </c>
      <c r="E214" s="9" t="s">
        <v>1182</v>
      </c>
      <c r="F214" s="9" t="s">
        <v>985</v>
      </c>
      <c r="G214" s="32" t="s">
        <v>42</v>
      </c>
      <c r="H214" s="9" t="s">
        <v>1183</v>
      </c>
      <c r="I214" s="13" t="s">
        <v>692</v>
      </c>
      <c r="J214" s="19"/>
      <c r="K214" s="14"/>
      <c r="L214" s="14"/>
      <c r="M214" s="14"/>
      <c r="N214" s="22"/>
      <c r="O214" s="12" t="str">
        <f t="shared" si="3"/>
        <v>Pendiente</v>
      </c>
    </row>
    <row r="215" spans="1:15" ht="61.95" customHeight="1">
      <c r="A215" s="17" t="s">
        <v>591</v>
      </c>
      <c r="B215" s="9" t="s">
        <v>537</v>
      </c>
      <c r="C215" s="9" t="s">
        <v>592</v>
      </c>
      <c r="D215" s="17" t="s">
        <v>1184</v>
      </c>
      <c r="E215" s="9" t="s">
        <v>1185</v>
      </c>
      <c r="F215" s="9" t="s">
        <v>985</v>
      </c>
      <c r="G215" s="32" t="s">
        <v>42</v>
      </c>
      <c r="H215" s="9" t="s">
        <v>1186</v>
      </c>
      <c r="I215" s="13" t="s">
        <v>692</v>
      </c>
      <c r="J215" s="19"/>
      <c r="K215" s="14"/>
      <c r="L215" s="14"/>
      <c r="M215" s="14"/>
      <c r="N215" s="22"/>
      <c r="O215" s="12" t="str">
        <f t="shared" si="3"/>
        <v>Pendiente</v>
      </c>
    </row>
    <row r="216" spans="1:15" ht="61.95" customHeight="1">
      <c r="A216" s="17" t="s">
        <v>605</v>
      </c>
      <c r="B216" s="9" t="s">
        <v>537</v>
      </c>
      <c r="C216" s="9" t="s">
        <v>606</v>
      </c>
      <c r="D216" s="17" t="s">
        <v>1187</v>
      </c>
      <c r="E216" s="9" t="s">
        <v>1188</v>
      </c>
      <c r="F216" s="9" t="s">
        <v>985</v>
      </c>
      <c r="G216" s="32" t="s">
        <v>42</v>
      </c>
      <c r="H216" s="9" t="s">
        <v>1189</v>
      </c>
      <c r="I216" s="13" t="s">
        <v>692</v>
      </c>
      <c r="J216" s="19"/>
      <c r="K216" s="14"/>
      <c r="L216" s="14"/>
      <c r="M216" s="14"/>
      <c r="N216" s="22"/>
      <c r="O216" s="12" t="str">
        <f t="shared" si="3"/>
        <v>Pendiente</v>
      </c>
    </row>
    <row r="217" spans="1:15" ht="61.95" customHeight="1">
      <c r="A217" s="17" t="s">
        <v>629</v>
      </c>
      <c r="B217" s="9" t="s">
        <v>537</v>
      </c>
      <c r="C217" s="9" t="s">
        <v>630</v>
      </c>
      <c r="D217" s="17" t="s">
        <v>1190</v>
      </c>
      <c r="E217" s="9" t="s">
        <v>1191</v>
      </c>
      <c r="F217" s="9" t="s">
        <v>985</v>
      </c>
      <c r="G217" s="32" t="s">
        <v>42</v>
      </c>
      <c r="H217" s="9" t="s">
        <v>1192</v>
      </c>
      <c r="I217" s="13" t="s">
        <v>692</v>
      </c>
      <c r="J217" s="19"/>
      <c r="K217" s="14"/>
      <c r="L217" s="14"/>
      <c r="M217" s="14"/>
      <c r="N217" s="22"/>
      <c r="O217" s="12" t="str">
        <f t="shared" si="3"/>
        <v>Pendiente</v>
      </c>
    </row>
    <row r="218" spans="1:15" ht="61.95" customHeight="1">
      <c r="A218" s="17" t="s">
        <v>652</v>
      </c>
      <c r="B218" s="9" t="s">
        <v>537</v>
      </c>
      <c r="C218" s="9" t="s">
        <v>653</v>
      </c>
      <c r="D218" s="17" t="s">
        <v>1193</v>
      </c>
      <c r="E218" s="9" t="s">
        <v>1194</v>
      </c>
      <c r="F218" s="9" t="s">
        <v>985</v>
      </c>
      <c r="G218" s="32" t="s">
        <v>42</v>
      </c>
      <c r="H218" s="9" t="s">
        <v>1195</v>
      </c>
      <c r="I218" s="13" t="s">
        <v>692</v>
      </c>
      <c r="J218" s="19"/>
      <c r="K218" s="14"/>
      <c r="L218" s="14"/>
      <c r="M218" s="14"/>
      <c r="N218" s="22"/>
      <c r="O218" s="12" t="str">
        <f t="shared" si="3"/>
        <v>Pendiente</v>
      </c>
    </row>
    <row r="219" spans="1:15" ht="61.95" customHeight="1">
      <c r="A219" s="17" t="s">
        <v>107</v>
      </c>
      <c r="B219" s="9" t="s">
        <v>108</v>
      </c>
      <c r="C219" s="9" t="s">
        <v>109</v>
      </c>
      <c r="D219" s="17" t="s">
        <v>1196</v>
      </c>
      <c r="E219" s="9" t="s">
        <v>1197</v>
      </c>
      <c r="F219" s="9" t="s">
        <v>1198</v>
      </c>
      <c r="G219" s="32" t="s">
        <v>40</v>
      </c>
      <c r="H219" s="9" t="s">
        <v>1199</v>
      </c>
      <c r="I219" s="13" t="s">
        <v>692</v>
      </c>
      <c r="J219" s="19"/>
      <c r="K219" s="14"/>
      <c r="L219" s="14"/>
      <c r="M219" s="14"/>
      <c r="N219" s="22"/>
      <c r="O219" s="12" t="str">
        <f t="shared" si="3"/>
        <v>Pendiente</v>
      </c>
    </row>
    <row r="220" spans="1:15" ht="61.95" customHeight="1">
      <c r="A220" s="17" t="s">
        <v>110</v>
      </c>
      <c r="B220" s="9" t="s">
        <v>108</v>
      </c>
      <c r="C220" s="9" t="s">
        <v>111</v>
      </c>
      <c r="D220" s="17" t="s">
        <v>1200</v>
      </c>
      <c r="E220" s="9" t="s">
        <v>1201</v>
      </c>
      <c r="F220" s="9" t="s">
        <v>1198</v>
      </c>
      <c r="G220" s="32" t="s">
        <v>40</v>
      </c>
      <c r="H220" s="9" t="s">
        <v>1202</v>
      </c>
      <c r="I220" s="13" t="s">
        <v>692</v>
      </c>
      <c r="J220" s="19"/>
      <c r="K220" s="14"/>
      <c r="L220" s="14"/>
      <c r="M220" s="14"/>
      <c r="N220" s="22"/>
      <c r="O220" s="12" t="str">
        <f t="shared" si="3"/>
        <v>Pendiente</v>
      </c>
    </row>
    <row r="221" spans="1:15" ht="61.95" customHeight="1">
      <c r="A221" s="17" t="s">
        <v>114</v>
      </c>
      <c r="B221" s="9" t="s">
        <v>108</v>
      </c>
      <c r="C221" s="9" t="s">
        <v>115</v>
      </c>
      <c r="D221" s="17" t="s">
        <v>1203</v>
      </c>
      <c r="E221" s="9" t="s">
        <v>1204</v>
      </c>
      <c r="F221" s="9" t="s">
        <v>1198</v>
      </c>
      <c r="G221" s="32" t="s">
        <v>40</v>
      </c>
      <c r="H221" s="9" t="s">
        <v>1205</v>
      </c>
      <c r="I221" s="13" t="s">
        <v>692</v>
      </c>
      <c r="J221" s="19"/>
      <c r="K221" s="14"/>
      <c r="L221" s="14"/>
      <c r="M221" s="14"/>
      <c r="N221" s="22"/>
      <c r="O221" s="12" t="str">
        <f t="shared" si="3"/>
        <v>Pendiente</v>
      </c>
    </row>
    <row r="222" spans="1:15" ht="61.95" customHeight="1">
      <c r="A222" s="17" t="s">
        <v>122</v>
      </c>
      <c r="B222" s="9" t="s">
        <v>108</v>
      </c>
      <c r="C222" s="9" t="s">
        <v>123</v>
      </c>
      <c r="D222" s="17" t="s">
        <v>1206</v>
      </c>
      <c r="E222" s="9" t="s">
        <v>1207</v>
      </c>
      <c r="F222" s="9" t="s">
        <v>1198</v>
      </c>
      <c r="G222" s="32" t="s">
        <v>40</v>
      </c>
      <c r="H222" s="9" t="s">
        <v>1208</v>
      </c>
      <c r="I222" s="13" t="s">
        <v>692</v>
      </c>
      <c r="J222" s="19"/>
      <c r="K222" s="14"/>
      <c r="L222" s="14"/>
      <c r="M222" s="14"/>
      <c r="N222" s="22"/>
      <c r="O222" s="12" t="str">
        <f t="shared" si="3"/>
        <v>Pendiente</v>
      </c>
    </row>
    <row r="223" spans="1:15" ht="61.95" customHeight="1">
      <c r="A223" s="17" t="s">
        <v>128</v>
      </c>
      <c r="B223" s="9" t="s">
        <v>108</v>
      </c>
      <c r="C223" s="9" t="s">
        <v>129</v>
      </c>
      <c r="D223" s="17" t="s">
        <v>1209</v>
      </c>
      <c r="E223" s="9" t="s">
        <v>1210</v>
      </c>
      <c r="F223" s="9" t="s">
        <v>1198</v>
      </c>
      <c r="G223" s="32" t="s">
        <v>40</v>
      </c>
      <c r="H223" s="9" t="s">
        <v>1211</v>
      </c>
      <c r="I223" s="13" t="s">
        <v>692</v>
      </c>
      <c r="J223" s="19"/>
      <c r="K223" s="14"/>
      <c r="L223" s="14"/>
      <c r="M223" s="14"/>
      <c r="N223" s="22"/>
      <c r="O223" s="12" t="str">
        <f t="shared" si="3"/>
        <v>Pendiente</v>
      </c>
    </row>
    <row r="224" spans="1:15" ht="61.95" customHeight="1">
      <c r="A224" s="17" t="s">
        <v>130</v>
      </c>
      <c r="B224" s="9" t="s">
        <v>108</v>
      </c>
      <c r="C224" s="9" t="s">
        <v>131</v>
      </c>
      <c r="D224" s="17" t="s">
        <v>1212</v>
      </c>
      <c r="E224" s="9" t="s">
        <v>1213</v>
      </c>
      <c r="F224" s="9" t="s">
        <v>1198</v>
      </c>
      <c r="G224" s="32" t="s">
        <v>40</v>
      </c>
      <c r="H224" s="9" t="s">
        <v>1214</v>
      </c>
      <c r="I224" s="13" t="s">
        <v>692</v>
      </c>
      <c r="J224" s="19"/>
      <c r="K224" s="14"/>
      <c r="L224" s="14"/>
      <c r="M224" s="14"/>
      <c r="N224" s="22"/>
      <c r="O224" s="12" t="str">
        <f t="shared" si="3"/>
        <v>Pendiente</v>
      </c>
    </row>
    <row r="225" spans="1:15" ht="61.95" customHeight="1">
      <c r="A225" s="17" t="s">
        <v>132</v>
      </c>
      <c r="B225" s="9" t="s">
        <v>108</v>
      </c>
      <c r="C225" s="9" t="s">
        <v>133</v>
      </c>
      <c r="D225" s="17" t="s">
        <v>1215</v>
      </c>
      <c r="E225" s="9" t="s">
        <v>1216</v>
      </c>
      <c r="F225" s="9" t="s">
        <v>1198</v>
      </c>
      <c r="G225" s="32" t="s">
        <v>40</v>
      </c>
      <c r="H225" s="9" t="s">
        <v>1217</v>
      </c>
      <c r="I225" s="13" t="s">
        <v>692</v>
      </c>
      <c r="J225" s="19"/>
      <c r="K225" s="14"/>
      <c r="L225" s="14"/>
      <c r="M225" s="14"/>
      <c r="N225" s="22"/>
      <c r="O225" s="12" t="str">
        <f t="shared" si="3"/>
        <v>Pendiente</v>
      </c>
    </row>
    <row r="226" spans="1:15" ht="61.95" customHeight="1">
      <c r="A226" s="17" t="s">
        <v>134</v>
      </c>
      <c r="B226" s="9" t="s">
        <v>108</v>
      </c>
      <c r="C226" s="9" t="s">
        <v>135</v>
      </c>
      <c r="D226" s="17" t="s">
        <v>1218</v>
      </c>
      <c r="E226" s="9" t="s">
        <v>1219</v>
      </c>
      <c r="F226" s="9" t="s">
        <v>1198</v>
      </c>
      <c r="G226" s="32" t="s">
        <v>40</v>
      </c>
      <c r="H226" s="9" t="s">
        <v>1220</v>
      </c>
      <c r="I226" s="13" t="s">
        <v>692</v>
      </c>
      <c r="J226" s="19"/>
      <c r="K226" s="14"/>
      <c r="L226" s="14"/>
      <c r="M226" s="14"/>
      <c r="N226" s="22"/>
      <c r="O226" s="12" t="str">
        <f t="shared" si="3"/>
        <v>Pendiente</v>
      </c>
    </row>
    <row r="227" spans="1:15" ht="61.95" customHeight="1">
      <c r="A227" s="17" t="s">
        <v>166</v>
      </c>
      <c r="B227" s="9" t="s">
        <v>108</v>
      </c>
      <c r="C227" s="9" t="s">
        <v>167</v>
      </c>
      <c r="D227" s="17" t="s">
        <v>1221</v>
      </c>
      <c r="E227" s="9" t="s">
        <v>1222</v>
      </c>
      <c r="F227" s="9" t="s">
        <v>1198</v>
      </c>
      <c r="G227" s="32" t="s">
        <v>40</v>
      </c>
      <c r="H227" s="9" t="s">
        <v>1223</v>
      </c>
      <c r="I227" s="13" t="s">
        <v>692</v>
      </c>
      <c r="J227" s="19"/>
      <c r="K227" s="14"/>
      <c r="L227" s="14"/>
      <c r="M227" s="14"/>
      <c r="N227" s="22"/>
      <c r="O227" s="12" t="str">
        <f t="shared" si="3"/>
        <v>Pendiente</v>
      </c>
    </row>
    <row r="228" spans="1:15" ht="61.95" customHeight="1">
      <c r="A228" s="17" t="s">
        <v>172</v>
      </c>
      <c r="B228" s="9" t="s">
        <v>108</v>
      </c>
      <c r="C228" s="9" t="s">
        <v>173</v>
      </c>
      <c r="D228" s="17" t="s">
        <v>1224</v>
      </c>
      <c r="E228" s="9" t="s">
        <v>1225</v>
      </c>
      <c r="F228" s="9" t="s">
        <v>1198</v>
      </c>
      <c r="G228" s="32" t="s">
        <v>40</v>
      </c>
      <c r="H228" s="9" t="s">
        <v>1226</v>
      </c>
      <c r="I228" s="13" t="s">
        <v>692</v>
      </c>
      <c r="J228" s="19"/>
      <c r="K228" s="14"/>
      <c r="L228" s="14"/>
      <c r="M228" s="14"/>
      <c r="N228" s="22"/>
      <c r="O228" s="12" t="str">
        <f t="shared" si="3"/>
        <v>Pendiente</v>
      </c>
    </row>
    <row r="229" spans="1:15" ht="61.95" customHeight="1">
      <c r="A229" s="17" t="s">
        <v>178</v>
      </c>
      <c r="B229" s="9" t="s">
        <v>108</v>
      </c>
      <c r="C229" s="9" t="s">
        <v>179</v>
      </c>
      <c r="D229" s="17" t="s">
        <v>1227</v>
      </c>
      <c r="E229" s="9" t="s">
        <v>1228</v>
      </c>
      <c r="F229" s="9" t="s">
        <v>1198</v>
      </c>
      <c r="G229" s="32" t="s">
        <v>40</v>
      </c>
      <c r="H229" s="9" t="s">
        <v>1229</v>
      </c>
      <c r="I229" s="13" t="s">
        <v>692</v>
      </c>
      <c r="J229" s="19"/>
      <c r="K229" s="14"/>
      <c r="L229" s="14"/>
      <c r="M229" s="14"/>
      <c r="N229" s="22"/>
      <c r="O229" s="12" t="str">
        <f t="shared" si="3"/>
        <v>Pendiente</v>
      </c>
    </row>
    <row r="230" spans="1:15" ht="61.95" customHeight="1">
      <c r="A230" s="17" t="s">
        <v>182</v>
      </c>
      <c r="B230" s="9" t="s">
        <v>108</v>
      </c>
      <c r="C230" s="9" t="s">
        <v>183</v>
      </c>
      <c r="D230" s="17" t="s">
        <v>1230</v>
      </c>
      <c r="E230" s="9" t="s">
        <v>1231</v>
      </c>
      <c r="F230" s="9" t="s">
        <v>1198</v>
      </c>
      <c r="G230" s="32" t="s">
        <v>40</v>
      </c>
      <c r="H230" s="9" t="s">
        <v>1232</v>
      </c>
      <c r="I230" s="13" t="s">
        <v>692</v>
      </c>
      <c r="J230" s="19"/>
      <c r="K230" s="14"/>
      <c r="L230" s="14"/>
      <c r="M230" s="14"/>
      <c r="N230" s="22"/>
      <c r="O230" s="12" t="str">
        <f t="shared" si="3"/>
        <v>Pendiente</v>
      </c>
    </row>
    <row r="231" spans="1:15" ht="61.95" customHeight="1">
      <c r="A231" s="17" t="s">
        <v>184</v>
      </c>
      <c r="B231" s="9" t="s">
        <v>108</v>
      </c>
      <c r="C231" s="9" t="s">
        <v>185</v>
      </c>
      <c r="D231" s="17" t="s">
        <v>1233</v>
      </c>
      <c r="E231" s="9" t="s">
        <v>1234</v>
      </c>
      <c r="F231" s="9" t="s">
        <v>1198</v>
      </c>
      <c r="G231" s="32" t="s">
        <v>40</v>
      </c>
      <c r="H231" s="9" t="s">
        <v>1235</v>
      </c>
      <c r="I231" s="13" t="s">
        <v>692</v>
      </c>
      <c r="J231" s="19"/>
      <c r="K231" s="14"/>
      <c r="L231" s="14"/>
      <c r="M231" s="14"/>
      <c r="N231" s="22"/>
      <c r="O231" s="12" t="str">
        <f t="shared" si="3"/>
        <v>Pendiente</v>
      </c>
    </row>
    <row r="232" spans="1:15" ht="61.95" customHeight="1">
      <c r="A232" s="17" t="s">
        <v>190</v>
      </c>
      <c r="B232" s="9" t="s">
        <v>108</v>
      </c>
      <c r="C232" s="9" t="s">
        <v>191</v>
      </c>
      <c r="D232" s="17" t="s">
        <v>1236</v>
      </c>
      <c r="E232" s="9" t="s">
        <v>1237</v>
      </c>
      <c r="F232" s="9" t="s">
        <v>1198</v>
      </c>
      <c r="G232" s="32" t="s">
        <v>40</v>
      </c>
      <c r="H232" s="9" t="s">
        <v>1238</v>
      </c>
      <c r="I232" s="13" t="s">
        <v>692</v>
      </c>
      <c r="J232" s="19"/>
      <c r="K232" s="14"/>
      <c r="L232" s="14"/>
      <c r="M232" s="14"/>
      <c r="N232" s="22"/>
      <c r="O232" s="12" t="str">
        <f t="shared" si="3"/>
        <v>Pendiente</v>
      </c>
    </row>
    <row r="233" spans="1:15" ht="61.95" customHeight="1">
      <c r="A233" s="17" t="s">
        <v>198</v>
      </c>
      <c r="B233" s="9" t="s">
        <v>108</v>
      </c>
      <c r="C233" s="9" t="s">
        <v>199</v>
      </c>
      <c r="D233" s="17" t="s">
        <v>1239</v>
      </c>
      <c r="E233" s="9" t="s">
        <v>1240</v>
      </c>
      <c r="F233" s="9" t="s">
        <v>1198</v>
      </c>
      <c r="G233" s="32" t="s">
        <v>40</v>
      </c>
      <c r="H233" s="9" t="s">
        <v>1241</v>
      </c>
      <c r="I233" s="13" t="s">
        <v>692</v>
      </c>
      <c r="J233" s="19"/>
      <c r="K233" s="14"/>
      <c r="L233" s="14"/>
      <c r="M233" s="14"/>
      <c r="N233" s="22"/>
      <c r="O233" s="12" t="str">
        <f t="shared" si="3"/>
        <v>Pendiente</v>
      </c>
    </row>
    <row r="234" spans="1:15" ht="61.95" customHeight="1">
      <c r="A234" s="17" t="s">
        <v>200</v>
      </c>
      <c r="B234" s="9" t="s">
        <v>108</v>
      </c>
      <c r="C234" s="9" t="s">
        <v>201</v>
      </c>
      <c r="D234" s="17" t="s">
        <v>1242</v>
      </c>
      <c r="E234" s="9" t="s">
        <v>1243</v>
      </c>
      <c r="F234" s="9" t="s">
        <v>1198</v>
      </c>
      <c r="G234" s="32" t="s">
        <v>40</v>
      </c>
      <c r="H234" s="9" t="s">
        <v>1244</v>
      </c>
      <c r="I234" s="13" t="s">
        <v>692</v>
      </c>
      <c r="J234" s="19"/>
      <c r="K234" s="14"/>
      <c r="L234" s="14"/>
      <c r="M234" s="14"/>
      <c r="N234" s="22"/>
      <c r="O234" s="12" t="str">
        <f t="shared" si="3"/>
        <v>Pendiente</v>
      </c>
    </row>
    <row r="235" spans="1:15" ht="61.95" customHeight="1">
      <c r="A235" s="17" t="s">
        <v>202</v>
      </c>
      <c r="B235" s="9" t="s">
        <v>108</v>
      </c>
      <c r="C235" s="9" t="s">
        <v>203</v>
      </c>
      <c r="D235" s="17" t="s">
        <v>1245</v>
      </c>
      <c r="E235" s="9" t="s">
        <v>1246</v>
      </c>
      <c r="F235" s="9" t="s">
        <v>1198</v>
      </c>
      <c r="G235" s="32" t="s">
        <v>40</v>
      </c>
      <c r="H235" s="9" t="s">
        <v>1247</v>
      </c>
      <c r="I235" s="13" t="s">
        <v>692</v>
      </c>
      <c r="J235" s="19"/>
      <c r="K235" s="14"/>
      <c r="L235" s="14"/>
      <c r="M235" s="14"/>
      <c r="N235" s="22"/>
      <c r="O235" s="12" t="str">
        <f t="shared" si="3"/>
        <v>Pendiente</v>
      </c>
    </row>
    <row r="236" spans="1:15" ht="61.95" customHeight="1">
      <c r="A236" s="17" t="s">
        <v>208</v>
      </c>
      <c r="B236" s="9" t="s">
        <v>108</v>
      </c>
      <c r="C236" s="9" t="s">
        <v>209</v>
      </c>
      <c r="D236" s="17" t="s">
        <v>1248</v>
      </c>
      <c r="E236" s="9" t="s">
        <v>1249</v>
      </c>
      <c r="F236" s="9" t="s">
        <v>1198</v>
      </c>
      <c r="G236" s="32" t="s">
        <v>40</v>
      </c>
      <c r="H236" s="9" t="s">
        <v>1250</v>
      </c>
      <c r="I236" s="13" t="s">
        <v>692</v>
      </c>
      <c r="J236" s="19"/>
      <c r="K236" s="14"/>
      <c r="L236" s="14"/>
      <c r="M236" s="14"/>
      <c r="N236" s="22"/>
      <c r="O236" s="12" t="str">
        <f t="shared" si="3"/>
        <v>Pendiente</v>
      </c>
    </row>
    <row r="237" spans="1:15" ht="61.95" customHeight="1">
      <c r="A237" s="17" t="s">
        <v>222</v>
      </c>
      <c r="B237" s="9" t="s">
        <v>108</v>
      </c>
      <c r="C237" s="9" t="s">
        <v>223</v>
      </c>
      <c r="D237" s="17" t="s">
        <v>1251</v>
      </c>
      <c r="E237" s="9" t="s">
        <v>1252</v>
      </c>
      <c r="F237" s="9" t="s">
        <v>1198</v>
      </c>
      <c r="G237" s="32" t="s">
        <v>40</v>
      </c>
      <c r="H237" s="9" t="s">
        <v>1253</v>
      </c>
      <c r="I237" s="13" t="s">
        <v>692</v>
      </c>
      <c r="J237" s="19"/>
      <c r="K237" s="14"/>
      <c r="L237" s="14"/>
      <c r="M237" s="14"/>
      <c r="N237" s="22"/>
      <c r="O237" s="12" t="str">
        <f t="shared" si="3"/>
        <v>Pendiente</v>
      </c>
    </row>
    <row r="238" spans="1:15" ht="61.95" customHeight="1">
      <c r="A238" s="17" t="s">
        <v>224</v>
      </c>
      <c r="B238" s="9" t="s">
        <v>108</v>
      </c>
      <c r="C238" s="9" t="s">
        <v>225</v>
      </c>
      <c r="D238" s="17" t="s">
        <v>1254</v>
      </c>
      <c r="E238" s="9" t="s">
        <v>1255</v>
      </c>
      <c r="F238" s="9" t="s">
        <v>1198</v>
      </c>
      <c r="G238" s="32" t="s">
        <v>40</v>
      </c>
      <c r="H238" s="9" t="s">
        <v>1256</v>
      </c>
      <c r="I238" s="13" t="s">
        <v>692</v>
      </c>
      <c r="J238" s="19"/>
      <c r="K238" s="14"/>
      <c r="L238" s="14"/>
      <c r="M238" s="14"/>
      <c r="N238" s="22"/>
      <c r="O238" s="12" t="str">
        <f t="shared" si="3"/>
        <v>Pendiente</v>
      </c>
    </row>
    <row r="239" spans="1:15" ht="61.95" customHeight="1">
      <c r="A239" s="17" t="s">
        <v>228</v>
      </c>
      <c r="B239" s="9" t="s">
        <v>108</v>
      </c>
      <c r="C239" s="9" t="s">
        <v>229</v>
      </c>
      <c r="D239" s="17" t="s">
        <v>1257</v>
      </c>
      <c r="E239" s="9" t="s">
        <v>1258</v>
      </c>
      <c r="F239" s="9" t="s">
        <v>1198</v>
      </c>
      <c r="G239" s="32" t="s">
        <v>40</v>
      </c>
      <c r="H239" s="9" t="s">
        <v>1259</v>
      </c>
      <c r="I239" s="13" t="s">
        <v>692</v>
      </c>
      <c r="J239" s="19"/>
      <c r="K239" s="14"/>
      <c r="L239" s="14"/>
      <c r="M239" s="14"/>
      <c r="N239" s="22"/>
      <c r="O239" s="12" t="str">
        <f t="shared" si="3"/>
        <v>Pendiente</v>
      </c>
    </row>
    <row r="240" spans="1:15" ht="61.95" customHeight="1">
      <c r="A240" s="17" t="s">
        <v>230</v>
      </c>
      <c r="B240" s="9" t="s">
        <v>108</v>
      </c>
      <c r="C240" s="9" t="s">
        <v>231</v>
      </c>
      <c r="D240" s="17" t="s">
        <v>1260</v>
      </c>
      <c r="E240" s="9" t="s">
        <v>1261</v>
      </c>
      <c r="F240" s="9" t="s">
        <v>1198</v>
      </c>
      <c r="G240" s="32" t="s">
        <v>40</v>
      </c>
      <c r="H240" s="9" t="s">
        <v>1262</v>
      </c>
      <c r="I240" s="13" t="s">
        <v>692</v>
      </c>
      <c r="J240" s="19"/>
      <c r="K240" s="14"/>
      <c r="L240" s="14"/>
      <c r="M240" s="14"/>
      <c r="N240" s="22"/>
      <c r="O240" s="12" t="str">
        <f t="shared" si="3"/>
        <v>Pendiente</v>
      </c>
    </row>
    <row r="241" spans="1:15" ht="61.95" customHeight="1">
      <c r="A241" s="17" t="s">
        <v>232</v>
      </c>
      <c r="B241" s="9" t="s">
        <v>108</v>
      </c>
      <c r="C241" s="9" t="s">
        <v>233</v>
      </c>
      <c r="D241" s="17" t="s">
        <v>1263</v>
      </c>
      <c r="E241" s="9" t="s">
        <v>1264</v>
      </c>
      <c r="F241" s="9" t="s">
        <v>1198</v>
      </c>
      <c r="G241" s="32" t="s">
        <v>40</v>
      </c>
      <c r="H241" s="9" t="s">
        <v>1265</v>
      </c>
      <c r="I241" s="13" t="s">
        <v>692</v>
      </c>
      <c r="J241" s="19"/>
      <c r="K241" s="14"/>
      <c r="L241" s="14"/>
      <c r="M241" s="14"/>
      <c r="N241" s="22"/>
      <c r="O241" s="12" t="str">
        <f t="shared" si="3"/>
        <v>Pendiente</v>
      </c>
    </row>
    <row r="242" spans="1:15" ht="61.95" customHeight="1">
      <c r="A242" s="17" t="s">
        <v>234</v>
      </c>
      <c r="B242" s="9" t="s">
        <v>108</v>
      </c>
      <c r="C242" s="9" t="s">
        <v>235</v>
      </c>
      <c r="D242" s="17" t="s">
        <v>1266</v>
      </c>
      <c r="E242" s="9" t="s">
        <v>1267</v>
      </c>
      <c r="F242" s="9" t="s">
        <v>1198</v>
      </c>
      <c r="G242" s="32" t="s">
        <v>40</v>
      </c>
      <c r="H242" s="9" t="s">
        <v>1268</v>
      </c>
      <c r="I242" s="13" t="s">
        <v>692</v>
      </c>
      <c r="J242" s="19"/>
      <c r="K242" s="14"/>
      <c r="L242" s="14"/>
      <c r="M242" s="14"/>
      <c r="N242" s="22"/>
      <c r="O242" s="12" t="str">
        <f t="shared" si="3"/>
        <v>Pendiente</v>
      </c>
    </row>
    <row r="243" spans="1:15" ht="61.95" customHeight="1">
      <c r="A243" s="17" t="s">
        <v>244</v>
      </c>
      <c r="B243" s="9" t="s">
        <v>108</v>
      </c>
      <c r="C243" s="9" t="s">
        <v>245</v>
      </c>
      <c r="D243" s="17" t="s">
        <v>1269</v>
      </c>
      <c r="E243" s="9" t="s">
        <v>1270</v>
      </c>
      <c r="F243" s="9" t="s">
        <v>1198</v>
      </c>
      <c r="G243" s="32" t="s">
        <v>40</v>
      </c>
      <c r="H243" s="9" t="s">
        <v>1271</v>
      </c>
      <c r="I243" s="13" t="s">
        <v>692</v>
      </c>
      <c r="J243" s="19"/>
      <c r="K243" s="14"/>
      <c r="L243" s="14"/>
      <c r="M243" s="14"/>
      <c r="N243" s="22"/>
      <c r="O243" s="12" t="str">
        <f t="shared" si="3"/>
        <v>Pendiente</v>
      </c>
    </row>
    <row r="244" spans="1:15" ht="61.95" customHeight="1">
      <c r="A244" s="17" t="s">
        <v>250</v>
      </c>
      <c r="B244" s="9" t="s">
        <v>108</v>
      </c>
      <c r="C244" s="9" t="s">
        <v>251</v>
      </c>
      <c r="D244" s="17" t="s">
        <v>1272</v>
      </c>
      <c r="E244" s="9" t="s">
        <v>1273</v>
      </c>
      <c r="F244" s="9" t="s">
        <v>1198</v>
      </c>
      <c r="G244" s="32" t="s">
        <v>40</v>
      </c>
      <c r="H244" s="9" t="s">
        <v>1274</v>
      </c>
      <c r="I244" s="13" t="s">
        <v>692</v>
      </c>
      <c r="J244" s="19"/>
      <c r="K244" s="14"/>
      <c r="L244" s="14"/>
      <c r="M244" s="14"/>
      <c r="N244" s="22"/>
      <c r="O244" s="12" t="str">
        <f t="shared" si="3"/>
        <v>Pendiente</v>
      </c>
    </row>
    <row r="245" spans="1:15" ht="61.95" customHeight="1">
      <c r="A245" s="17" t="s">
        <v>252</v>
      </c>
      <c r="B245" s="9" t="s">
        <v>108</v>
      </c>
      <c r="C245" s="9" t="s">
        <v>253</v>
      </c>
      <c r="D245" s="17" t="s">
        <v>1275</v>
      </c>
      <c r="E245" s="9" t="s">
        <v>1276</v>
      </c>
      <c r="F245" s="9" t="s">
        <v>1198</v>
      </c>
      <c r="G245" s="32" t="s">
        <v>40</v>
      </c>
      <c r="H245" s="9" t="s">
        <v>1277</v>
      </c>
      <c r="I245" s="13" t="s">
        <v>692</v>
      </c>
      <c r="J245" s="19"/>
      <c r="K245" s="14"/>
      <c r="L245" s="14"/>
      <c r="M245" s="14"/>
      <c r="N245" s="22"/>
      <c r="O245" s="12" t="str">
        <f t="shared" si="3"/>
        <v>Pendiente</v>
      </c>
    </row>
    <row r="246" spans="1:15" ht="61.95" customHeight="1">
      <c r="A246" s="17" t="s">
        <v>256</v>
      </c>
      <c r="B246" s="9" t="s">
        <v>108</v>
      </c>
      <c r="C246" s="9" t="s">
        <v>257</v>
      </c>
      <c r="D246" s="17" t="s">
        <v>1278</v>
      </c>
      <c r="E246" s="9" t="s">
        <v>1279</v>
      </c>
      <c r="F246" s="9" t="s">
        <v>1198</v>
      </c>
      <c r="G246" s="32" t="s">
        <v>40</v>
      </c>
      <c r="H246" s="9" t="s">
        <v>1280</v>
      </c>
      <c r="I246" s="13" t="s">
        <v>692</v>
      </c>
      <c r="J246" s="19"/>
      <c r="K246" s="14"/>
      <c r="L246" s="14"/>
      <c r="M246" s="14"/>
      <c r="N246" s="22"/>
      <c r="O246" s="12" t="str">
        <f t="shared" si="3"/>
        <v>Pendiente</v>
      </c>
    </row>
    <row r="247" spans="1:15" ht="61.95" customHeight="1">
      <c r="A247" s="17" t="s">
        <v>258</v>
      </c>
      <c r="B247" s="9" t="s">
        <v>108</v>
      </c>
      <c r="C247" s="9" t="s">
        <v>259</v>
      </c>
      <c r="D247" s="17" t="s">
        <v>1281</v>
      </c>
      <c r="E247" s="9" t="s">
        <v>1282</v>
      </c>
      <c r="F247" s="9" t="s">
        <v>1198</v>
      </c>
      <c r="G247" s="32" t="s">
        <v>40</v>
      </c>
      <c r="H247" s="9" t="s">
        <v>1283</v>
      </c>
      <c r="I247" s="13" t="s">
        <v>692</v>
      </c>
      <c r="J247" s="19"/>
      <c r="K247" s="14"/>
      <c r="L247" s="14"/>
      <c r="M247" s="14"/>
      <c r="N247" s="22"/>
      <c r="O247" s="12" t="str">
        <f t="shared" si="3"/>
        <v>Pendiente</v>
      </c>
    </row>
    <row r="248" spans="1:15" ht="61.95" customHeight="1">
      <c r="A248" s="17" t="s">
        <v>278</v>
      </c>
      <c r="B248" s="9" t="s">
        <v>108</v>
      </c>
      <c r="C248" s="9" t="s">
        <v>279</v>
      </c>
      <c r="D248" s="17" t="s">
        <v>1284</v>
      </c>
      <c r="E248" s="9" t="s">
        <v>1285</v>
      </c>
      <c r="F248" s="9" t="s">
        <v>1198</v>
      </c>
      <c r="G248" s="32" t="s">
        <v>40</v>
      </c>
      <c r="H248" s="9" t="s">
        <v>1286</v>
      </c>
      <c r="I248" s="13" t="s">
        <v>692</v>
      </c>
      <c r="J248" s="19"/>
      <c r="K248" s="14"/>
      <c r="L248" s="14"/>
      <c r="M248" s="14"/>
      <c r="N248" s="22"/>
      <c r="O248" s="12" t="str">
        <f t="shared" si="3"/>
        <v>Pendiente</v>
      </c>
    </row>
    <row r="249" spans="1:15" ht="61.95" customHeight="1">
      <c r="A249" s="17" t="s">
        <v>280</v>
      </c>
      <c r="B249" s="9" t="s">
        <v>108</v>
      </c>
      <c r="C249" s="9" t="s">
        <v>281</v>
      </c>
      <c r="D249" s="17" t="s">
        <v>1287</v>
      </c>
      <c r="E249" s="9" t="s">
        <v>1288</v>
      </c>
      <c r="F249" s="9" t="s">
        <v>1198</v>
      </c>
      <c r="G249" s="32" t="s">
        <v>40</v>
      </c>
      <c r="H249" s="9" t="s">
        <v>1289</v>
      </c>
      <c r="I249" s="13" t="s">
        <v>692</v>
      </c>
      <c r="J249" s="19"/>
      <c r="K249" s="14"/>
      <c r="L249" s="14"/>
      <c r="M249" s="14"/>
      <c r="N249" s="22"/>
      <c r="O249" s="12" t="str">
        <f t="shared" si="3"/>
        <v>Pendiente</v>
      </c>
    </row>
    <row r="250" spans="1:15" ht="61.95" customHeight="1">
      <c r="A250" s="17" t="s">
        <v>282</v>
      </c>
      <c r="B250" s="9" t="s">
        <v>108</v>
      </c>
      <c r="C250" s="9" t="s">
        <v>283</v>
      </c>
      <c r="D250" s="17" t="s">
        <v>1290</v>
      </c>
      <c r="E250" s="9" t="s">
        <v>1291</v>
      </c>
      <c r="F250" s="9" t="s">
        <v>1198</v>
      </c>
      <c r="G250" s="32" t="s">
        <v>40</v>
      </c>
      <c r="H250" s="9" t="s">
        <v>1292</v>
      </c>
      <c r="I250" s="13" t="s">
        <v>692</v>
      </c>
      <c r="J250" s="19"/>
      <c r="K250" s="14"/>
      <c r="L250" s="14"/>
      <c r="M250" s="14"/>
      <c r="N250" s="22"/>
      <c r="O250" s="12" t="str">
        <f t="shared" si="3"/>
        <v>Pendiente</v>
      </c>
    </row>
    <row r="251" spans="1:15" ht="61.95" customHeight="1">
      <c r="A251" s="17" t="s">
        <v>284</v>
      </c>
      <c r="B251" s="9" t="s">
        <v>108</v>
      </c>
      <c r="C251" s="9" t="s">
        <v>285</v>
      </c>
      <c r="D251" s="17" t="s">
        <v>1293</v>
      </c>
      <c r="E251" s="9" t="s">
        <v>1294</v>
      </c>
      <c r="F251" s="9" t="s">
        <v>1198</v>
      </c>
      <c r="G251" s="32" t="s">
        <v>40</v>
      </c>
      <c r="H251" s="9" t="s">
        <v>1295</v>
      </c>
      <c r="I251" s="13" t="s">
        <v>692</v>
      </c>
      <c r="J251" s="19"/>
      <c r="K251" s="14"/>
      <c r="L251" s="14"/>
      <c r="M251" s="14"/>
      <c r="N251" s="22"/>
      <c r="O251" s="12" t="str">
        <f t="shared" si="3"/>
        <v>Pendiente</v>
      </c>
    </row>
    <row r="252" spans="1:15" ht="61.95" customHeight="1">
      <c r="A252" s="17" t="s">
        <v>288</v>
      </c>
      <c r="B252" s="9" t="s">
        <v>108</v>
      </c>
      <c r="C252" s="9" t="s">
        <v>289</v>
      </c>
      <c r="D252" s="17" t="s">
        <v>1296</v>
      </c>
      <c r="E252" s="9" t="s">
        <v>1297</v>
      </c>
      <c r="F252" s="9" t="s">
        <v>1198</v>
      </c>
      <c r="G252" s="32" t="s">
        <v>40</v>
      </c>
      <c r="H252" s="9" t="s">
        <v>1298</v>
      </c>
      <c r="I252" s="13" t="s">
        <v>692</v>
      </c>
      <c r="J252" s="19"/>
      <c r="K252" s="14"/>
      <c r="L252" s="14"/>
      <c r="M252" s="14"/>
      <c r="N252" s="22"/>
      <c r="O252" s="12" t="str">
        <f t="shared" si="3"/>
        <v>Pendiente</v>
      </c>
    </row>
    <row r="253" spans="1:15" ht="61.95" customHeight="1">
      <c r="A253" s="17" t="s">
        <v>292</v>
      </c>
      <c r="B253" s="9" t="s">
        <v>108</v>
      </c>
      <c r="C253" s="9" t="s">
        <v>293</v>
      </c>
      <c r="D253" s="17" t="s">
        <v>1299</v>
      </c>
      <c r="E253" s="9" t="s">
        <v>1300</v>
      </c>
      <c r="F253" s="9" t="s">
        <v>1198</v>
      </c>
      <c r="G253" s="32" t="s">
        <v>40</v>
      </c>
      <c r="H253" s="9" t="s">
        <v>1301</v>
      </c>
      <c r="I253" s="13" t="s">
        <v>692</v>
      </c>
      <c r="J253" s="19"/>
      <c r="K253" s="14"/>
      <c r="L253" s="14"/>
      <c r="M253" s="14"/>
      <c r="N253" s="22"/>
      <c r="O253" s="12" t="str">
        <f t="shared" si="3"/>
        <v>Pendiente</v>
      </c>
    </row>
    <row r="254" spans="1:15" ht="61.95" customHeight="1">
      <c r="A254" s="17" t="s">
        <v>294</v>
      </c>
      <c r="B254" s="9" t="s">
        <v>108</v>
      </c>
      <c r="C254" s="9" t="s">
        <v>295</v>
      </c>
      <c r="D254" s="17" t="s">
        <v>1302</v>
      </c>
      <c r="E254" s="9" t="s">
        <v>1303</v>
      </c>
      <c r="F254" s="9" t="s">
        <v>1198</v>
      </c>
      <c r="G254" s="32" t="s">
        <v>40</v>
      </c>
      <c r="H254" s="9" t="s">
        <v>1304</v>
      </c>
      <c r="I254" s="13" t="s">
        <v>692</v>
      </c>
      <c r="J254" s="19"/>
      <c r="K254" s="14"/>
      <c r="L254" s="14"/>
      <c r="M254" s="14"/>
      <c r="N254" s="22"/>
      <c r="O254" s="12" t="str">
        <f t="shared" si="3"/>
        <v>Pendiente</v>
      </c>
    </row>
    <row r="255" spans="1:15" ht="61.95" customHeight="1">
      <c r="A255" s="17" t="s">
        <v>298</v>
      </c>
      <c r="B255" s="9" t="s">
        <v>108</v>
      </c>
      <c r="C255" s="9" t="s">
        <v>299</v>
      </c>
      <c r="D255" s="17" t="s">
        <v>1305</v>
      </c>
      <c r="E255" s="9" t="s">
        <v>1306</v>
      </c>
      <c r="F255" s="9" t="s">
        <v>1198</v>
      </c>
      <c r="G255" s="32" t="s">
        <v>40</v>
      </c>
      <c r="H255" s="9" t="s">
        <v>1307</v>
      </c>
      <c r="I255" s="13" t="s">
        <v>692</v>
      </c>
      <c r="J255" s="19"/>
      <c r="K255" s="14"/>
      <c r="L255" s="14"/>
      <c r="M255" s="14"/>
      <c r="N255" s="22"/>
      <c r="O255" s="12" t="str">
        <f t="shared" si="3"/>
        <v>Pendiente</v>
      </c>
    </row>
    <row r="256" spans="1:15" ht="61.95" customHeight="1">
      <c r="A256" s="17" t="s">
        <v>302</v>
      </c>
      <c r="B256" s="9" t="s">
        <v>108</v>
      </c>
      <c r="C256" s="9" t="s">
        <v>303</v>
      </c>
      <c r="D256" s="17" t="s">
        <v>1308</v>
      </c>
      <c r="E256" s="9" t="s">
        <v>1309</v>
      </c>
      <c r="F256" s="9" t="s">
        <v>1198</v>
      </c>
      <c r="G256" s="32" t="s">
        <v>40</v>
      </c>
      <c r="H256" s="9" t="s">
        <v>1310</v>
      </c>
      <c r="I256" s="13" t="s">
        <v>692</v>
      </c>
      <c r="J256" s="19"/>
      <c r="K256" s="14"/>
      <c r="L256" s="14"/>
      <c r="M256" s="14"/>
      <c r="N256" s="22"/>
      <c r="O256" s="12" t="str">
        <f t="shared" si="3"/>
        <v>Pendiente</v>
      </c>
    </row>
    <row r="257" spans="1:15" ht="61.95" customHeight="1">
      <c r="A257" s="17" t="s">
        <v>308</v>
      </c>
      <c r="B257" s="9" t="s">
        <v>108</v>
      </c>
      <c r="C257" s="9" t="s">
        <v>309</v>
      </c>
      <c r="D257" s="17" t="s">
        <v>1311</v>
      </c>
      <c r="E257" s="9" t="s">
        <v>1312</v>
      </c>
      <c r="F257" s="9" t="s">
        <v>1198</v>
      </c>
      <c r="G257" s="32" t="s">
        <v>40</v>
      </c>
      <c r="H257" s="9" t="s">
        <v>1313</v>
      </c>
      <c r="I257" s="13" t="s">
        <v>692</v>
      </c>
      <c r="J257" s="19"/>
      <c r="K257" s="14"/>
      <c r="L257" s="14"/>
      <c r="M257" s="14"/>
      <c r="N257" s="22"/>
      <c r="O257" s="12" t="str">
        <f t="shared" si="3"/>
        <v>Pendiente</v>
      </c>
    </row>
    <row r="258" spans="1:15" ht="61.95" customHeight="1">
      <c r="A258" s="17" t="s">
        <v>336</v>
      </c>
      <c r="B258" s="9" t="s">
        <v>108</v>
      </c>
      <c r="C258" s="9" t="s">
        <v>337</v>
      </c>
      <c r="D258" s="17" t="s">
        <v>1314</v>
      </c>
      <c r="E258" s="9" t="s">
        <v>1315</v>
      </c>
      <c r="F258" s="9" t="s">
        <v>1198</v>
      </c>
      <c r="G258" s="32" t="s">
        <v>40</v>
      </c>
      <c r="H258" s="9" t="s">
        <v>1316</v>
      </c>
      <c r="I258" s="13" t="s">
        <v>692</v>
      </c>
      <c r="J258" s="19"/>
      <c r="K258" s="14"/>
      <c r="L258" s="14"/>
      <c r="M258" s="14"/>
      <c r="N258" s="22"/>
      <c r="O258" s="12" t="str">
        <f t="shared" si="3"/>
        <v>Pendiente</v>
      </c>
    </row>
    <row r="259" spans="1:15" ht="61.95" customHeight="1">
      <c r="A259" s="17" t="s">
        <v>340</v>
      </c>
      <c r="B259" s="9" t="s">
        <v>108</v>
      </c>
      <c r="C259" s="9" t="s">
        <v>341</v>
      </c>
      <c r="D259" s="17" t="s">
        <v>1317</v>
      </c>
      <c r="E259" s="9" t="s">
        <v>1318</v>
      </c>
      <c r="F259" s="9" t="s">
        <v>1198</v>
      </c>
      <c r="G259" s="32" t="s">
        <v>40</v>
      </c>
      <c r="H259" s="9" t="s">
        <v>1319</v>
      </c>
      <c r="I259" s="13" t="s">
        <v>692</v>
      </c>
      <c r="J259" s="19"/>
      <c r="K259" s="14"/>
      <c r="L259" s="14"/>
      <c r="M259" s="14"/>
      <c r="N259" s="22"/>
      <c r="O259" s="12" t="str">
        <f t="shared" si="3"/>
        <v>Pendiente</v>
      </c>
    </row>
    <row r="260" spans="1:15" ht="61.95" customHeight="1">
      <c r="A260" s="17" t="s">
        <v>346</v>
      </c>
      <c r="B260" s="9" t="s">
        <v>108</v>
      </c>
      <c r="C260" s="9" t="s">
        <v>347</v>
      </c>
      <c r="D260" s="17" t="s">
        <v>1320</v>
      </c>
      <c r="E260" s="9" t="s">
        <v>1321</v>
      </c>
      <c r="F260" s="9" t="s">
        <v>1198</v>
      </c>
      <c r="G260" s="32" t="s">
        <v>40</v>
      </c>
      <c r="H260" s="9" t="s">
        <v>1322</v>
      </c>
      <c r="I260" s="13" t="s">
        <v>692</v>
      </c>
      <c r="J260" s="19"/>
      <c r="K260" s="14"/>
      <c r="L260" s="14"/>
      <c r="M260" s="14"/>
      <c r="N260" s="22"/>
      <c r="O260" s="12" t="str">
        <f t="shared" si="3"/>
        <v>Pendiente</v>
      </c>
    </row>
    <row r="261" spans="1:15" ht="61.95" customHeight="1">
      <c r="A261" s="17" t="s">
        <v>348</v>
      </c>
      <c r="B261" s="9" t="s">
        <v>108</v>
      </c>
      <c r="C261" s="9" t="s">
        <v>349</v>
      </c>
      <c r="D261" s="17" t="s">
        <v>1323</v>
      </c>
      <c r="E261" s="9" t="s">
        <v>1324</v>
      </c>
      <c r="F261" s="9" t="s">
        <v>1198</v>
      </c>
      <c r="G261" s="32" t="s">
        <v>40</v>
      </c>
      <c r="H261" s="9" t="s">
        <v>1325</v>
      </c>
      <c r="I261" s="13" t="s">
        <v>692</v>
      </c>
      <c r="J261" s="19"/>
      <c r="K261" s="14"/>
      <c r="L261" s="14"/>
      <c r="M261" s="14"/>
      <c r="N261" s="22"/>
      <c r="O261" s="12" t="str">
        <f t="shared" si="3"/>
        <v>Pendiente</v>
      </c>
    </row>
    <row r="262" spans="1:15" ht="61.95" customHeight="1">
      <c r="A262" s="17" t="s">
        <v>350</v>
      </c>
      <c r="B262" s="9" t="s">
        <v>108</v>
      </c>
      <c r="C262" s="9" t="s">
        <v>351</v>
      </c>
      <c r="D262" s="17" t="s">
        <v>1326</v>
      </c>
      <c r="E262" s="9" t="s">
        <v>1327</v>
      </c>
      <c r="F262" s="9" t="s">
        <v>1198</v>
      </c>
      <c r="G262" s="32" t="s">
        <v>40</v>
      </c>
      <c r="H262" s="9" t="s">
        <v>1328</v>
      </c>
      <c r="I262" s="13" t="s">
        <v>692</v>
      </c>
      <c r="J262" s="19"/>
      <c r="K262" s="14"/>
      <c r="L262" s="14"/>
      <c r="M262" s="14"/>
      <c r="N262" s="22"/>
      <c r="O262" s="12" t="str">
        <f t="shared" si="3"/>
        <v>Pendiente</v>
      </c>
    </row>
    <row r="263" spans="1:15" ht="61.95" customHeight="1">
      <c r="A263" s="17" t="s">
        <v>354</v>
      </c>
      <c r="B263" s="9" t="s">
        <v>108</v>
      </c>
      <c r="C263" s="9" t="s">
        <v>355</v>
      </c>
      <c r="D263" s="17" t="s">
        <v>1329</v>
      </c>
      <c r="E263" s="9" t="s">
        <v>1330</v>
      </c>
      <c r="F263" s="9" t="s">
        <v>1198</v>
      </c>
      <c r="G263" s="32" t="s">
        <v>40</v>
      </c>
      <c r="H263" s="9" t="s">
        <v>1331</v>
      </c>
      <c r="I263" s="13" t="s">
        <v>692</v>
      </c>
      <c r="J263" s="19"/>
      <c r="K263" s="14"/>
      <c r="L263" s="14"/>
      <c r="M263" s="14"/>
      <c r="N263" s="22"/>
      <c r="O263" s="12" t="str">
        <f t="shared" si="3"/>
        <v>Pendiente</v>
      </c>
    </row>
    <row r="264" spans="1:15" ht="61.95" customHeight="1">
      <c r="A264" s="17" t="s">
        <v>356</v>
      </c>
      <c r="B264" s="9" t="s">
        <v>357</v>
      </c>
      <c r="C264" s="9" t="s">
        <v>358</v>
      </c>
      <c r="D264" s="17" t="s">
        <v>1332</v>
      </c>
      <c r="E264" s="9" t="s">
        <v>1333</v>
      </c>
      <c r="F264" s="9" t="s">
        <v>1198</v>
      </c>
      <c r="G264" s="32" t="s">
        <v>40</v>
      </c>
      <c r="H264" s="9" t="s">
        <v>1334</v>
      </c>
      <c r="I264" s="13" t="s">
        <v>692</v>
      </c>
      <c r="J264" s="19"/>
      <c r="K264" s="14"/>
      <c r="L264" s="14"/>
      <c r="M264" s="14"/>
      <c r="N264" s="22"/>
      <c r="O264" s="12" t="str">
        <f t="shared" ref="O264:O291" si="4">IF(I264="Pendiente","Pendiente",IF(I264="Equivalente confirmado",IF(OR(J264="",K264=""),"Falta código o nombre",IF(OR(L264="",M264=""),"Falta validación",IF(OR(NOT(ISNUMBER(N264)),N264&lt;=0),"Falta fecha","Homologado"))),IF(I264="Sin equivalente en AVAIN",IF(OR(J264&lt;&gt;"",K264&lt;&gt;""),"Quitar código y nombre",IF(OR(L264="",M264=""),"Falta validación",IF(OR(NOT(ISNUMBER(N264)),N264&lt;=0),"Falta fecha","Sin equivalente confirmado"))),"Revisar decisión")))</f>
        <v>Pendiente</v>
      </c>
    </row>
    <row r="265" spans="1:15" ht="61.95" customHeight="1">
      <c r="A265" s="17" t="s">
        <v>359</v>
      </c>
      <c r="B265" s="9" t="s">
        <v>357</v>
      </c>
      <c r="C265" s="9" t="s">
        <v>360</v>
      </c>
      <c r="D265" s="17" t="s">
        <v>1335</v>
      </c>
      <c r="E265" s="9" t="s">
        <v>1336</v>
      </c>
      <c r="F265" s="9" t="s">
        <v>1198</v>
      </c>
      <c r="G265" s="32" t="s">
        <v>40</v>
      </c>
      <c r="H265" s="9" t="s">
        <v>1337</v>
      </c>
      <c r="I265" s="13" t="s">
        <v>692</v>
      </c>
      <c r="J265" s="19"/>
      <c r="K265" s="14"/>
      <c r="L265" s="14"/>
      <c r="M265" s="14"/>
      <c r="N265" s="22"/>
      <c r="O265" s="12" t="str">
        <f t="shared" si="4"/>
        <v>Pendiente</v>
      </c>
    </row>
    <row r="266" spans="1:15" ht="61.95" customHeight="1">
      <c r="A266" s="17" t="s">
        <v>361</v>
      </c>
      <c r="B266" s="9" t="s">
        <v>357</v>
      </c>
      <c r="C266" s="9" t="s">
        <v>362</v>
      </c>
      <c r="D266" s="17" t="s">
        <v>1338</v>
      </c>
      <c r="E266" s="9" t="s">
        <v>1339</v>
      </c>
      <c r="F266" s="9" t="s">
        <v>1198</v>
      </c>
      <c r="G266" s="32" t="s">
        <v>40</v>
      </c>
      <c r="H266" s="9" t="s">
        <v>1340</v>
      </c>
      <c r="I266" s="13" t="s">
        <v>692</v>
      </c>
      <c r="J266" s="19"/>
      <c r="K266" s="14"/>
      <c r="L266" s="14"/>
      <c r="M266" s="14"/>
      <c r="N266" s="22"/>
      <c r="O266" s="12" t="str">
        <f t="shared" si="4"/>
        <v>Pendiente</v>
      </c>
    </row>
    <row r="267" spans="1:15" ht="61.95" customHeight="1">
      <c r="A267" s="17" t="s">
        <v>363</v>
      </c>
      <c r="B267" s="9" t="s">
        <v>357</v>
      </c>
      <c r="C267" s="9" t="s">
        <v>364</v>
      </c>
      <c r="D267" s="17" t="s">
        <v>1341</v>
      </c>
      <c r="E267" s="9" t="s">
        <v>1342</v>
      </c>
      <c r="F267" s="9" t="s">
        <v>1198</v>
      </c>
      <c r="G267" s="32" t="s">
        <v>40</v>
      </c>
      <c r="H267" s="9" t="s">
        <v>1343</v>
      </c>
      <c r="I267" s="13" t="s">
        <v>692</v>
      </c>
      <c r="J267" s="19"/>
      <c r="K267" s="14"/>
      <c r="L267" s="14"/>
      <c r="M267" s="14"/>
      <c r="N267" s="22"/>
      <c r="O267" s="12" t="str">
        <f t="shared" si="4"/>
        <v>Pendiente</v>
      </c>
    </row>
    <row r="268" spans="1:15" ht="61.95" customHeight="1">
      <c r="A268" s="17" t="s">
        <v>377</v>
      </c>
      <c r="B268" s="9" t="s">
        <v>357</v>
      </c>
      <c r="C268" s="9" t="s">
        <v>378</v>
      </c>
      <c r="D268" s="17" t="s">
        <v>1344</v>
      </c>
      <c r="E268" s="9" t="s">
        <v>1345</v>
      </c>
      <c r="F268" s="9" t="s">
        <v>1198</v>
      </c>
      <c r="G268" s="32" t="s">
        <v>40</v>
      </c>
      <c r="H268" s="9" t="s">
        <v>1346</v>
      </c>
      <c r="I268" s="13" t="s">
        <v>692</v>
      </c>
      <c r="J268" s="19"/>
      <c r="K268" s="14"/>
      <c r="L268" s="14"/>
      <c r="M268" s="14"/>
      <c r="N268" s="22"/>
      <c r="O268" s="12" t="str">
        <f t="shared" si="4"/>
        <v>Pendiente</v>
      </c>
    </row>
    <row r="269" spans="1:15" ht="61.95" customHeight="1">
      <c r="A269" s="17" t="s">
        <v>379</v>
      </c>
      <c r="B269" s="9" t="s">
        <v>357</v>
      </c>
      <c r="C269" s="9" t="s">
        <v>380</v>
      </c>
      <c r="D269" s="17" t="s">
        <v>1347</v>
      </c>
      <c r="E269" s="9" t="s">
        <v>1348</v>
      </c>
      <c r="F269" s="9" t="s">
        <v>1198</v>
      </c>
      <c r="G269" s="32" t="s">
        <v>40</v>
      </c>
      <c r="H269" s="9" t="s">
        <v>1349</v>
      </c>
      <c r="I269" s="13" t="s">
        <v>692</v>
      </c>
      <c r="J269" s="19"/>
      <c r="K269" s="14"/>
      <c r="L269" s="14"/>
      <c r="M269" s="14"/>
      <c r="N269" s="22"/>
      <c r="O269" s="12" t="str">
        <f t="shared" si="4"/>
        <v>Pendiente</v>
      </c>
    </row>
    <row r="270" spans="1:15" ht="61.95" customHeight="1">
      <c r="A270" s="17" t="s">
        <v>383</v>
      </c>
      <c r="B270" s="9" t="s">
        <v>357</v>
      </c>
      <c r="C270" s="9" t="s">
        <v>384</v>
      </c>
      <c r="D270" s="17" t="s">
        <v>1350</v>
      </c>
      <c r="E270" s="9" t="s">
        <v>1351</v>
      </c>
      <c r="F270" s="9" t="s">
        <v>1198</v>
      </c>
      <c r="G270" s="32" t="s">
        <v>40</v>
      </c>
      <c r="H270" s="9" t="s">
        <v>1352</v>
      </c>
      <c r="I270" s="13" t="s">
        <v>692</v>
      </c>
      <c r="J270" s="19"/>
      <c r="K270" s="14"/>
      <c r="L270" s="14"/>
      <c r="M270" s="14"/>
      <c r="N270" s="22"/>
      <c r="O270" s="12" t="str">
        <f t="shared" si="4"/>
        <v>Pendiente</v>
      </c>
    </row>
    <row r="271" spans="1:15" ht="61.95" customHeight="1">
      <c r="A271" s="17" t="s">
        <v>385</v>
      </c>
      <c r="B271" s="9" t="s">
        <v>357</v>
      </c>
      <c r="C271" s="9" t="s">
        <v>386</v>
      </c>
      <c r="D271" s="17" t="s">
        <v>1353</v>
      </c>
      <c r="E271" s="9" t="s">
        <v>1354</v>
      </c>
      <c r="F271" s="9" t="s">
        <v>1198</v>
      </c>
      <c r="G271" s="32" t="s">
        <v>40</v>
      </c>
      <c r="H271" s="9" t="s">
        <v>1355</v>
      </c>
      <c r="I271" s="13" t="s">
        <v>692</v>
      </c>
      <c r="J271" s="19"/>
      <c r="K271" s="14"/>
      <c r="L271" s="14"/>
      <c r="M271" s="14"/>
      <c r="N271" s="22"/>
      <c r="O271" s="12" t="str">
        <f t="shared" si="4"/>
        <v>Pendiente</v>
      </c>
    </row>
    <row r="272" spans="1:15" ht="61.95" customHeight="1">
      <c r="A272" s="17" t="s">
        <v>387</v>
      </c>
      <c r="B272" s="9" t="s">
        <v>357</v>
      </c>
      <c r="C272" s="9" t="s">
        <v>388</v>
      </c>
      <c r="D272" s="17" t="s">
        <v>1356</v>
      </c>
      <c r="E272" s="9" t="s">
        <v>1357</v>
      </c>
      <c r="F272" s="9" t="s">
        <v>1198</v>
      </c>
      <c r="G272" s="32" t="s">
        <v>40</v>
      </c>
      <c r="H272" s="9" t="s">
        <v>1358</v>
      </c>
      <c r="I272" s="13" t="s">
        <v>692</v>
      </c>
      <c r="J272" s="19"/>
      <c r="K272" s="14"/>
      <c r="L272" s="14"/>
      <c r="M272" s="14"/>
      <c r="N272" s="22"/>
      <c r="O272" s="12" t="str">
        <f t="shared" si="4"/>
        <v>Pendiente</v>
      </c>
    </row>
    <row r="273" spans="1:15" ht="61.95" customHeight="1">
      <c r="A273" s="17" t="s">
        <v>399</v>
      </c>
      <c r="B273" s="9" t="s">
        <v>357</v>
      </c>
      <c r="C273" s="9" t="s">
        <v>400</v>
      </c>
      <c r="D273" s="17" t="s">
        <v>1359</v>
      </c>
      <c r="E273" s="9" t="s">
        <v>1360</v>
      </c>
      <c r="F273" s="9" t="s">
        <v>1198</v>
      </c>
      <c r="G273" s="32" t="s">
        <v>40</v>
      </c>
      <c r="H273" s="9" t="s">
        <v>1361</v>
      </c>
      <c r="I273" s="13" t="s">
        <v>692</v>
      </c>
      <c r="J273" s="19"/>
      <c r="K273" s="14"/>
      <c r="L273" s="14"/>
      <c r="M273" s="14"/>
      <c r="N273" s="22"/>
      <c r="O273" s="12" t="str">
        <f t="shared" si="4"/>
        <v>Pendiente</v>
      </c>
    </row>
    <row r="274" spans="1:15" ht="61.95" customHeight="1">
      <c r="A274" s="17" t="s">
        <v>413</v>
      </c>
      <c r="B274" s="9" t="s">
        <v>357</v>
      </c>
      <c r="C274" s="9" t="s">
        <v>414</v>
      </c>
      <c r="D274" s="17" t="s">
        <v>1362</v>
      </c>
      <c r="E274" s="9" t="s">
        <v>1363</v>
      </c>
      <c r="F274" s="9" t="s">
        <v>1198</v>
      </c>
      <c r="G274" s="32" t="s">
        <v>40</v>
      </c>
      <c r="H274" s="9" t="s">
        <v>1364</v>
      </c>
      <c r="I274" s="13" t="s">
        <v>692</v>
      </c>
      <c r="J274" s="19"/>
      <c r="K274" s="14"/>
      <c r="L274" s="14"/>
      <c r="M274" s="14"/>
      <c r="N274" s="22"/>
      <c r="O274" s="12" t="str">
        <f t="shared" si="4"/>
        <v>Pendiente</v>
      </c>
    </row>
    <row r="275" spans="1:15" ht="61.95" customHeight="1">
      <c r="A275" s="17" t="s">
        <v>415</v>
      </c>
      <c r="B275" s="9" t="s">
        <v>357</v>
      </c>
      <c r="C275" s="9" t="s">
        <v>416</v>
      </c>
      <c r="D275" s="17" t="s">
        <v>1365</v>
      </c>
      <c r="E275" s="9" t="s">
        <v>1366</v>
      </c>
      <c r="F275" s="9" t="s">
        <v>1198</v>
      </c>
      <c r="G275" s="32" t="s">
        <v>40</v>
      </c>
      <c r="H275" s="9" t="s">
        <v>1367</v>
      </c>
      <c r="I275" s="13" t="s">
        <v>692</v>
      </c>
      <c r="J275" s="19"/>
      <c r="K275" s="14"/>
      <c r="L275" s="14"/>
      <c r="M275" s="14"/>
      <c r="N275" s="22"/>
      <c r="O275" s="12" t="str">
        <f t="shared" si="4"/>
        <v>Pendiente</v>
      </c>
    </row>
    <row r="276" spans="1:15" ht="61.95" customHeight="1">
      <c r="A276" s="17" t="s">
        <v>431</v>
      </c>
      <c r="B276" s="9" t="s">
        <v>357</v>
      </c>
      <c r="C276" s="9" t="s">
        <v>432</v>
      </c>
      <c r="D276" s="17" t="s">
        <v>1368</v>
      </c>
      <c r="E276" s="9" t="s">
        <v>1369</v>
      </c>
      <c r="F276" s="9" t="s">
        <v>1198</v>
      </c>
      <c r="G276" s="32" t="s">
        <v>40</v>
      </c>
      <c r="H276" s="9" t="s">
        <v>1370</v>
      </c>
      <c r="I276" s="13" t="s">
        <v>692</v>
      </c>
      <c r="J276" s="19"/>
      <c r="K276" s="14"/>
      <c r="L276" s="14"/>
      <c r="M276" s="14"/>
      <c r="N276" s="22"/>
      <c r="O276" s="12" t="str">
        <f t="shared" si="4"/>
        <v>Pendiente</v>
      </c>
    </row>
    <row r="277" spans="1:15" ht="61.95" customHeight="1">
      <c r="A277" s="17" t="s">
        <v>437</v>
      </c>
      <c r="B277" s="9" t="s">
        <v>357</v>
      </c>
      <c r="C277" s="9" t="s">
        <v>438</v>
      </c>
      <c r="D277" s="17" t="s">
        <v>1371</v>
      </c>
      <c r="E277" s="9" t="s">
        <v>1372</v>
      </c>
      <c r="F277" s="9" t="s">
        <v>1198</v>
      </c>
      <c r="G277" s="32" t="s">
        <v>40</v>
      </c>
      <c r="H277" s="9" t="s">
        <v>1373</v>
      </c>
      <c r="I277" s="13" t="s">
        <v>692</v>
      </c>
      <c r="J277" s="19"/>
      <c r="K277" s="14"/>
      <c r="L277" s="14"/>
      <c r="M277" s="14"/>
      <c r="N277" s="22"/>
      <c r="O277" s="12" t="str">
        <f t="shared" si="4"/>
        <v>Pendiente</v>
      </c>
    </row>
    <row r="278" spans="1:15" ht="61.95" customHeight="1">
      <c r="A278" s="17" t="s">
        <v>447</v>
      </c>
      <c r="B278" s="9" t="s">
        <v>357</v>
      </c>
      <c r="C278" s="9" t="s">
        <v>448</v>
      </c>
      <c r="D278" s="17" t="s">
        <v>1374</v>
      </c>
      <c r="E278" s="9" t="s">
        <v>1375</v>
      </c>
      <c r="F278" s="9" t="s">
        <v>1198</v>
      </c>
      <c r="G278" s="32" t="s">
        <v>40</v>
      </c>
      <c r="H278" s="9" t="s">
        <v>1376</v>
      </c>
      <c r="I278" s="13" t="s">
        <v>692</v>
      </c>
      <c r="J278" s="19"/>
      <c r="K278" s="14"/>
      <c r="L278" s="14"/>
      <c r="M278" s="14"/>
      <c r="N278" s="22"/>
      <c r="O278" s="12" t="str">
        <f t="shared" si="4"/>
        <v>Pendiente</v>
      </c>
    </row>
    <row r="279" spans="1:15" ht="61.95" customHeight="1">
      <c r="A279" s="17" t="s">
        <v>455</v>
      </c>
      <c r="B279" s="9" t="s">
        <v>357</v>
      </c>
      <c r="C279" s="9" t="s">
        <v>456</v>
      </c>
      <c r="D279" s="17" t="s">
        <v>1377</v>
      </c>
      <c r="E279" s="9" t="s">
        <v>1378</v>
      </c>
      <c r="F279" s="9" t="s">
        <v>1198</v>
      </c>
      <c r="G279" s="32" t="s">
        <v>40</v>
      </c>
      <c r="H279" s="9" t="s">
        <v>1379</v>
      </c>
      <c r="I279" s="13" t="s">
        <v>692</v>
      </c>
      <c r="J279" s="19"/>
      <c r="K279" s="14"/>
      <c r="L279" s="14"/>
      <c r="M279" s="14"/>
      <c r="N279" s="22"/>
      <c r="O279" s="12" t="str">
        <f t="shared" si="4"/>
        <v>Pendiente</v>
      </c>
    </row>
    <row r="280" spans="1:15" ht="61.95" customHeight="1">
      <c r="A280" s="17" t="s">
        <v>457</v>
      </c>
      <c r="B280" s="9" t="s">
        <v>357</v>
      </c>
      <c r="C280" s="9" t="s">
        <v>458</v>
      </c>
      <c r="D280" s="17" t="s">
        <v>1380</v>
      </c>
      <c r="E280" s="9" t="s">
        <v>1381</v>
      </c>
      <c r="F280" s="9" t="s">
        <v>1198</v>
      </c>
      <c r="G280" s="32" t="s">
        <v>40</v>
      </c>
      <c r="H280" s="9" t="s">
        <v>1382</v>
      </c>
      <c r="I280" s="13" t="s">
        <v>692</v>
      </c>
      <c r="J280" s="19"/>
      <c r="K280" s="14"/>
      <c r="L280" s="14"/>
      <c r="M280" s="14"/>
      <c r="N280" s="22"/>
      <c r="O280" s="12" t="str">
        <f t="shared" si="4"/>
        <v>Pendiente</v>
      </c>
    </row>
    <row r="281" spans="1:15" ht="61.95" customHeight="1">
      <c r="A281" s="17" t="s">
        <v>459</v>
      </c>
      <c r="B281" s="9" t="s">
        <v>357</v>
      </c>
      <c r="C281" s="9" t="s">
        <v>460</v>
      </c>
      <c r="D281" s="17" t="s">
        <v>1383</v>
      </c>
      <c r="E281" s="9" t="s">
        <v>1384</v>
      </c>
      <c r="F281" s="9" t="s">
        <v>1198</v>
      </c>
      <c r="G281" s="32" t="s">
        <v>40</v>
      </c>
      <c r="H281" s="9" t="s">
        <v>1385</v>
      </c>
      <c r="I281" s="13" t="s">
        <v>692</v>
      </c>
      <c r="J281" s="19"/>
      <c r="K281" s="14"/>
      <c r="L281" s="14"/>
      <c r="M281" s="14"/>
      <c r="N281" s="22"/>
      <c r="O281" s="12" t="str">
        <f t="shared" si="4"/>
        <v>Pendiente</v>
      </c>
    </row>
    <row r="282" spans="1:15" ht="61.95" customHeight="1">
      <c r="A282" s="17" t="s">
        <v>468</v>
      </c>
      <c r="B282" s="9" t="s">
        <v>464</v>
      </c>
      <c r="C282" s="9" t="s">
        <v>469</v>
      </c>
      <c r="D282" s="17" t="s">
        <v>1386</v>
      </c>
      <c r="E282" s="9" t="s">
        <v>1387</v>
      </c>
      <c r="F282" s="9" t="s">
        <v>1198</v>
      </c>
      <c r="G282" s="32" t="s">
        <v>40</v>
      </c>
      <c r="H282" s="9" t="s">
        <v>1388</v>
      </c>
      <c r="I282" s="13" t="s">
        <v>692</v>
      </c>
      <c r="J282" s="19"/>
      <c r="K282" s="14"/>
      <c r="L282" s="14"/>
      <c r="M282" s="14"/>
      <c r="N282" s="22"/>
      <c r="O282" s="12" t="str">
        <f t="shared" si="4"/>
        <v>Pendiente</v>
      </c>
    </row>
    <row r="283" spans="1:15" ht="61.95" customHeight="1">
      <c r="A283" s="17" t="s">
        <v>472</v>
      </c>
      <c r="B283" s="9" t="s">
        <v>464</v>
      </c>
      <c r="C283" s="9" t="s">
        <v>473</v>
      </c>
      <c r="D283" s="17" t="s">
        <v>1389</v>
      </c>
      <c r="E283" s="9" t="s">
        <v>1390</v>
      </c>
      <c r="F283" s="9" t="s">
        <v>1198</v>
      </c>
      <c r="G283" s="32" t="s">
        <v>40</v>
      </c>
      <c r="H283" s="9" t="s">
        <v>1391</v>
      </c>
      <c r="I283" s="13" t="s">
        <v>692</v>
      </c>
      <c r="J283" s="19"/>
      <c r="K283" s="14"/>
      <c r="L283" s="14"/>
      <c r="M283" s="14"/>
      <c r="N283" s="22"/>
      <c r="O283" s="12" t="str">
        <f t="shared" si="4"/>
        <v>Pendiente</v>
      </c>
    </row>
    <row r="284" spans="1:15" ht="61.95" customHeight="1">
      <c r="A284" s="17" t="s">
        <v>490</v>
      </c>
      <c r="B284" s="9" t="s">
        <v>464</v>
      </c>
      <c r="C284" s="9" t="s">
        <v>491</v>
      </c>
      <c r="D284" s="17" t="s">
        <v>1392</v>
      </c>
      <c r="E284" s="9" t="s">
        <v>1393</v>
      </c>
      <c r="F284" s="9" t="s">
        <v>1198</v>
      </c>
      <c r="G284" s="32" t="s">
        <v>40</v>
      </c>
      <c r="H284" s="9" t="s">
        <v>1394</v>
      </c>
      <c r="I284" s="13" t="s">
        <v>692</v>
      </c>
      <c r="J284" s="19"/>
      <c r="K284" s="14"/>
      <c r="L284" s="14"/>
      <c r="M284" s="14"/>
      <c r="N284" s="22"/>
      <c r="O284" s="12" t="str">
        <f t="shared" si="4"/>
        <v>Pendiente</v>
      </c>
    </row>
    <row r="285" spans="1:15" ht="61.95" customHeight="1">
      <c r="A285" s="17" t="s">
        <v>504</v>
      </c>
      <c r="B285" s="9" t="s">
        <v>464</v>
      </c>
      <c r="C285" s="9" t="s">
        <v>505</v>
      </c>
      <c r="D285" s="17" t="s">
        <v>1395</v>
      </c>
      <c r="E285" s="9" t="s">
        <v>1396</v>
      </c>
      <c r="F285" s="9" t="s">
        <v>1198</v>
      </c>
      <c r="G285" s="32" t="s">
        <v>40</v>
      </c>
      <c r="H285" s="9" t="s">
        <v>1397</v>
      </c>
      <c r="I285" s="13" t="s">
        <v>692</v>
      </c>
      <c r="J285" s="19"/>
      <c r="K285" s="14"/>
      <c r="L285" s="14"/>
      <c r="M285" s="14"/>
      <c r="N285" s="22"/>
      <c r="O285" s="12" t="str">
        <f t="shared" si="4"/>
        <v>Pendiente</v>
      </c>
    </row>
    <row r="286" spans="1:15" ht="61.95" customHeight="1">
      <c r="A286" s="17" t="s">
        <v>524</v>
      </c>
      <c r="B286" s="9" t="s">
        <v>464</v>
      </c>
      <c r="C286" s="9" t="s">
        <v>525</v>
      </c>
      <c r="D286" s="17" t="s">
        <v>1398</v>
      </c>
      <c r="E286" s="9" t="s">
        <v>1399</v>
      </c>
      <c r="F286" s="9" t="s">
        <v>1198</v>
      </c>
      <c r="G286" s="32" t="s">
        <v>40</v>
      </c>
      <c r="H286" s="9" t="s">
        <v>1400</v>
      </c>
      <c r="I286" s="13" t="s">
        <v>692</v>
      </c>
      <c r="J286" s="19"/>
      <c r="K286" s="14"/>
      <c r="L286" s="14"/>
      <c r="M286" s="14"/>
      <c r="N286" s="22"/>
      <c r="O286" s="12" t="str">
        <f t="shared" si="4"/>
        <v>Pendiente</v>
      </c>
    </row>
    <row r="287" spans="1:15" ht="61.95" customHeight="1">
      <c r="A287" s="17" t="s">
        <v>526</v>
      </c>
      <c r="B287" s="9" t="s">
        <v>464</v>
      </c>
      <c r="C287" s="9" t="s">
        <v>527</v>
      </c>
      <c r="D287" s="17" t="s">
        <v>1401</v>
      </c>
      <c r="E287" s="9" t="s">
        <v>1402</v>
      </c>
      <c r="F287" s="9" t="s">
        <v>1198</v>
      </c>
      <c r="G287" s="32" t="s">
        <v>40</v>
      </c>
      <c r="H287" s="9" t="s">
        <v>1403</v>
      </c>
      <c r="I287" s="13" t="s">
        <v>692</v>
      </c>
      <c r="J287" s="19"/>
      <c r="K287" s="14"/>
      <c r="L287" s="14"/>
      <c r="M287" s="14"/>
      <c r="N287" s="22"/>
      <c r="O287" s="12" t="str">
        <f t="shared" si="4"/>
        <v>Pendiente</v>
      </c>
    </row>
    <row r="288" spans="1:15" ht="61.95" customHeight="1">
      <c r="A288" s="17" t="s">
        <v>530</v>
      </c>
      <c r="B288" s="9" t="s">
        <v>464</v>
      </c>
      <c r="C288" s="9" t="s">
        <v>531</v>
      </c>
      <c r="D288" s="17" t="s">
        <v>1404</v>
      </c>
      <c r="E288" s="9" t="s">
        <v>1405</v>
      </c>
      <c r="F288" s="9" t="s">
        <v>1198</v>
      </c>
      <c r="G288" s="32" t="s">
        <v>40</v>
      </c>
      <c r="H288" s="9" t="s">
        <v>1406</v>
      </c>
      <c r="I288" s="13" t="s">
        <v>692</v>
      </c>
      <c r="J288" s="19"/>
      <c r="K288" s="14"/>
      <c r="L288" s="14"/>
      <c r="M288" s="14"/>
      <c r="N288" s="22"/>
      <c r="O288" s="12" t="str">
        <f t="shared" si="4"/>
        <v>Pendiente</v>
      </c>
    </row>
    <row r="289" spans="1:15" ht="61.95" customHeight="1">
      <c r="A289" s="17" t="s">
        <v>623</v>
      </c>
      <c r="B289" s="9" t="s">
        <v>537</v>
      </c>
      <c r="C289" s="9" t="s">
        <v>624</v>
      </c>
      <c r="D289" s="17" t="s">
        <v>1407</v>
      </c>
      <c r="E289" s="9" t="s">
        <v>1408</v>
      </c>
      <c r="F289" s="9" t="s">
        <v>1198</v>
      </c>
      <c r="G289" s="32" t="s">
        <v>40</v>
      </c>
      <c r="H289" s="9" t="s">
        <v>1409</v>
      </c>
      <c r="I289" s="13" t="s">
        <v>692</v>
      </c>
      <c r="J289" s="19"/>
      <c r="K289" s="14"/>
      <c r="L289" s="14"/>
      <c r="M289" s="14"/>
      <c r="N289" s="22"/>
      <c r="O289" s="12" t="str">
        <f t="shared" si="4"/>
        <v>Pendiente</v>
      </c>
    </row>
    <row r="290" spans="1:15" ht="61.95" customHeight="1">
      <c r="A290" s="17" t="s">
        <v>660</v>
      </c>
      <c r="B290" s="9" t="s">
        <v>537</v>
      </c>
      <c r="C290" s="9" t="s">
        <v>661</v>
      </c>
      <c r="D290" s="17" t="s">
        <v>1410</v>
      </c>
      <c r="E290" s="9" t="s">
        <v>1411</v>
      </c>
      <c r="F290" s="9" t="s">
        <v>1198</v>
      </c>
      <c r="G290" s="32" t="s">
        <v>40</v>
      </c>
      <c r="H290" s="9" t="s">
        <v>1412</v>
      </c>
      <c r="I290" s="13" t="s">
        <v>692</v>
      </c>
      <c r="J290" s="19"/>
      <c r="K290" s="14"/>
      <c r="L290" s="14"/>
      <c r="M290" s="14"/>
      <c r="N290" s="22"/>
      <c r="O290" s="12" t="str">
        <f t="shared" si="4"/>
        <v>Pendiente</v>
      </c>
    </row>
    <row r="291" spans="1:15" ht="61.95" customHeight="1">
      <c r="A291" s="17" t="s">
        <v>664</v>
      </c>
      <c r="B291" s="9" t="s">
        <v>537</v>
      </c>
      <c r="C291" s="9" t="s">
        <v>665</v>
      </c>
      <c r="D291" s="17" t="s">
        <v>1413</v>
      </c>
      <c r="E291" s="9" t="s">
        <v>1414</v>
      </c>
      <c r="F291" s="9" t="s">
        <v>1198</v>
      </c>
      <c r="G291" s="32" t="s">
        <v>40</v>
      </c>
      <c r="H291" s="9" t="s">
        <v>1415</v>
      </c>
      <c r="I291" s="15" t="s">
        <v>692</v>
      </c>
      <c r="J291" s="20"/>
      <c r="K291" s="16"/>
      <c r="L291" s="16"/>
      <c r="M291" s="16"/>
      <c r="N291" s="23"/>
      <c r="O291" s="12" t="str">
        <f t="shared" si="4"/>
        <v>Pendiente</v>
      </c>
    </row>
  </sheetData>
  <conditionalFormatting sqref="F8:F291">
    <cfRule type="expression" dxfId="27" priority="4">
      <formula>$F8="Producto distinto"</formula>
    </cfRule>
    <cfRule type="expression" dxfId="26" priority="5">
      <formula>$F8="Variante distinta"</formula>
    </cfRule>
    <cfRule type="expression" dxfId="25" priority="6">
      <formula>$F8="Equipo distinto"</formula>
    </cfRule>
    <cfRule type="expression" dxfId="24" priority="7">
      <formula>$F8="Revisar presentación"</formula>
    </cfRule>
  </conditionalFormatting>
  <conditionalFormatting sqref="O8:O291">
    <cfRule type="expression" dxfId="23" priority="1">
      <formula>$O8="Homologado"</formula>
    </cfRule>
    <cfRule type="expression" dxfId="22" priority="2">
      <formula>$O8="Sin equivalente confirmado"</formula>
    </cfRule>
    <cfRule type="expression" dxfId="21" priority="3">
      <formula>LEFT($O8,5)="Falta"</formula>
    </cfRule>
  </conditionalFormatting>
  <dataValidations disablePrompts="1" count="1">
    <dataValidation type="list" sqref="I8:I291" xr:uid="{00000000-0002-0000-0200-000000000000}">
      <formula1>"Pendiente,Equivalente confirmado,Sin equivalente en AVAIN"</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26785"/>
  </sheetPr>
  <dimension ref="A2:O291"/>
  <sheetViews>
    <sheetView showGridLines="0" zoomScale="70" zoomScaleNormal="70" workbookViewId="0">
      <pane xSplit="3" ySplit="7" topLeftCell="E17" activePane="bottomRight" state="frozen"/>
      <selection pane="topRight"/>
      <selection pane="bottomLeft"/>
      <selection pane="bottomRight" activeCell="E7" sqref="E7"/>
    </sheetView>
  </sheetViews>
  <sheetFormatPr baseColWidth="10" defaultColWidth="8.796875" defaultRowHeight="13.8"/>
  <cols>
    <col min="1" max="1" width="14" customWidth="1"/>
    <col min="2" max="2" width="18" customWidth="1"/>
    <col min="3" max="3" width="39" customWidth="1"/>
    <col min="4" max="4" width="17" customWidth="1"/>
    <col min="5" max="5" width="43" customWidth="1"/>
    <col min="6" max="6" width="25" customWidth="1"/>
    <col min="7" max="7" width="19" customWidth="1"/>
    <col min="8" max="8" width="64" customWidth="1"/>
    <col min="9" max="9" width="27" customWidth="1"/>
    <col min="10" max="10" width="18" customWidth="1"/>
    <col min="11" max="11" width="39" customWidth="1"/>
    <col min="12" max="12" width="24" customWidth="1"/>
    <col min="13" max="13" width="25" customWidth="1"/>
    <col min="14" max="14" width="17" customWidth="1"/>
    <col min="15" max="15" width="30" customWidth="1"/>
  </cols>
  <sheetData>
    <row r="2" spans="1:15" ht="31.05" customHeight="1">
      <c r="A2" s="2" t="s">
        <v>1416</v>
      </c>
      <c r="B2" s="1"/>
      <c r="C2" s="1"/>
      <c r="D2" s="1"/>
      <c r="E2" s="1"/>
      <c r="F2" s="1"/>
      <c r="G2" s="1"/>
      <c r="H2" s="1"/>
      <c r="I2" s="1"/>
      <c r="J2" s="1"/>
      <c r="K2" s="1"/>
      <c r="L2" s="1"/>
      <c r="M2" s="1"/>
      <c r="N2" s="1"/>
      <c r="O2" s="1"/>
    </row>
    <row r="3" spans="1:15" ht="22.05" customHeight="1">
      <c r="A3" s="3" t="s">
        <v>1417</v>
      </c>
      <c r="B3" s="1"/>
      <c r="C3" s="1"/>
      <c r="D3" s="1"/>
      <c r="E3" s="1"/>
      <c r="F3" s="1"/>
      <c r="G3" s="1"/>
      <c r="H3" s="1"/>
      <c r="I3" s="1"/>
      <c r="J3" s="1"/>
      <c r="K3" s="1"/>
      <c r="L3" s="1"/>
      <c r="M3" s="1"/>
      <c r="N3" s="1"/>
      <c r="O3" s="1"/>
    </row>
    <row r="4" spans="1:15" ht="22.05" customHeight="1">
      <c r="A4" s="3" t="s">
        <v>671</v>
      </c>
      <c r="B4" s="1"/>
      <c r="C4" s="1"/>
      <c r="D4" s="1"/>
      <c r="E4" s="1"/>
      <c r="F4" s="1"/>
      <c r="G4" s="1"/>
      <c r="H4" s="1"/>
      <c r="I4" s="1"/>
      <c r="J4" s="1"/>
      <c r="K4" s="1"/>
      <c r="L4" s="1"/>
      <c r="M4" s="1"/>
      <c r="N4" s="1"/>
      <c r="O4" s="1"/>
    </row>
    <row r="5" spans="1:15" ht="22.05" customHeight="1">
      <c r="A5" s="3" t="s">
        <v>672</v>
      </c>
      <c r="B5" s="1"/>
      <c r="C5" s="1"/>
      <c r="D5" s="1"/>
      <c r="E5" s="1"/>
      <c r="F5" s="1"/>
      <c r="G5" s="1"/>
      <c r="H5" s="1"/>
      <c r="I5" s="1"/>
      <c r="J5" s="1"/>
      <c r="K5" s="1"/>
      <c r="L5" s="1"/>
      <c r="M5" s="1"/>
      <c r="N5" s="1"/>
      <c r="O5" s="1"/>
    </row>
    <row r="6" spans="1:15">
      <c r="A6" s="4" t="s">
        <v>673</v>
      </c>
      <c r="B6" s="4"/>
      <c r="C6" s="4"/>
      <c r="D6" s="4"/>
      <c r="E6" s="4"/>
      <c r="F6" s="4"/>
      <c r="G6" s="4"/>
      <c r="H6" s="4"/>
      <c r="I6" s="5" t="s">
        <v>674</v>
      </c>
      <c r="J6" s="5"/>
      <c r="K6" s="5"/>
      <c r="L6" s="5"/>
      <c r="M6" s="5"/>
      <c r="N6" s="5"/>
      <c r="O6" s="6" t="s">
        <v>675</v>
      </c>
    </row>
    <row r="7" spans="1:15" ht="43.05" customHeight="1">
      <c r="A7" s="7" t="s">
        <v>676</v>
      </c>
      <c r="B7" s="7" t="s">
        <v>85</v>
      </c>
      <c r="C7" s="7" t="s">
        <v>677</v>
      </c>
      <c r="D7" s="7" t="s">
        <v>91</v>
      </c>
      <c r="E7" s="7" t="s">
        <v>92</v>
      </c>
      <c r="F7" s="7" t="s">
        <v>678</v>
      </c>
      <c r="G7" s="7" t="s">
        <v>679</v>
      </c>
      <c r="H7" s="7" t="s">
        <v>680</v>
      </c>
      <c r="I7" s="7" t="s">
        <v>681</v>
      </c>
      <c r="J7" s="7" t="s">
        <v>682</v>
      </c>
      <c r="K7" s="7" t="s">
        <v>683</v>
      </c>
      <c r="L7" s="7" t="s">
        <v>684</v>
      </c>
      <c r="M7" s="7" t="s">
        <v>685</v>
      </c>
      <c r="N7" s="7" t="s">
        <v>686</v>
      </c>
      <c r="O7" s="7" t="s">
        <v>687</v>
      </c>
    </row>
    <row r="8" spans="1:15" ht="78" customHeight="1">
      <c r="A8" s="17" t="s">
        <v>122</v>
      </c>
      <c r="B8" s="9" t="s">
        <v>108</v>
      </c>
      <c r="C8" s="9" t="s">
        <v>123</v>
      </c>
      <c r="D8" s="17" t="s">
        <v>1418</v>
      </c>
      <c r="E8" s="9" t="s">
        <v>1419</v>
      </c>
      <c r="F8" s="9" t="s">
        <v>18</v>
      </c>
      <c r="G8" s="9" t="s">
        <v>690</v>
      </c>
      <c r="H8" s="9" t="s">
        <v>1420</v>
      </c>
      <c r="I8" s="10" t="s">
        <v>692</v>
      </c>
      <c r="J8" s="18"/>
      <c r="K8" s="11"/>
      <c r="L8" s="11"/>
      <c r="M8" s="11"/>
      <c r="N8" s="21"/>
      <c r="O8" s="12" t="str">
        <f t="shared" ref="O8:O71" si="0">IF(I8="Pendiente","Pendiente",IF(I8="Equivalente confirmado",IF(OR(J8="",K8=""),"Falta código o nombre",IF(OR(L8="",M8=""),"Falta validación",IF(OR(NOT(ISNUMBER(N8)),N8&lt;=0),"Falta fecha","Homologado"))),IF(I8="Sin equivalente en AVAIN",IF(OR(J8&lt;&gt;"",K8&lt;&gt;""),"Quitar código y nombre",IF(OR(L8="",M8=""),"Falta validación",IF(OR(NOT(ISNUMBER(N8)),N8&lt;=0),"Falta fecha","Sin equivalente confirmado"))),"Revisar decisión")))</f>
        <v>Pendiente</v>
      </c>
    </row>
    <row r="9" spans="1:15" ht="94.05" customHeight="1">
      <c r="A9" s="17" t="s">
        <v>128</v>
      </c>
      <c r="B9" s="9" t="s">
        <v>108</v>
      </c>
      <c r="C9" s="9" t="s">
        <v>129</v>
      </c>
      <c r="D9" s="17" t="s">
        <v>1421</v>
      </c>
      <c r="E9" s="9" t="s">
        <v>1422</v>
      </c>
      <c r="F9" s="9" t="s">
        <v>18</v>
      </c>
      <c r="G9" s="9" t="s">
        <v>690</v>
      </c>
      <c r="H9" s="9" t="s">
        <v>1423</v>
      </c>
      <c r="I9" s="13" t="s">
        <v>692</v>
      </c>
      <c r="J9" s="19"/>
      <c r="K9" s="14"/>
      <c r="L9" s="14"/>
      <c r="M9" s="14"/>
      <c r="N9" s="22"/>
      <c r="O9" s="12" t="str">
        <f t="shared" si="0"/>
        <v>Pendiente</v>
      </c>
    </row>
    <row r="10" spans="1:15" ht="61.95" customHeight="1">
      <c r="A10" s="17" t="s">
        <v>140</v>
      </c>
      <c r="B10" s="9" t="s">
        <v>108</v>
      </c>
      <c r="C10" s="9" t="s">
        <v>141</v>
      </c>
      <c r="D10" s="17" t="s">
        <v>1424</v>
      </c>
      <c r="E10" s="9" t="s">
        <v>1425</v>
      </c>
      <c r="F10" s="9" t="s">
        <v>698</v>
      </c>
      <c r="G10" s="9" t="s">
        <v>690</v>
      </c>
      <c r="H10" s="9" t="s">
        <v>1426</v>
      </c>
      <c r="I10" s="13" t="s">
        <v>692</v>
      </c>
      <c r="J10" s="19"/>
      <c r="K10" s="14"/>
      <c r="L10" s="14"/>
      <c r="M10" s="14"/>
      <c r="N10" s="22"/>
      <c r="O10" s="12" t="str">
        <f t="shared" si="0"/>
        <v>Pendiente</v>
      </c>
    </row>
    <row r="11" spans="1:15" ht="78" customHeight="1">
      <c r="A11" s="17" t="s">
        <v>226</v>
      </c>
      <c r="B11" s="9" t="s">
        <v>108</v>
      </c>
      <c r="C11" s="9" t="s">
        <v>227</v>
      </c>
      <c r="D11" s="17" t="s">
        <v>1427</v>
      </c>
      <c r="E11" s="9" t="s">
        <v>1428</v>
      </c>
      <c r="F11" s="9" t="s">
        <v>698</v>
      </c>
      <c r="G11" s="9" t="s">
        <v>690</v>
      </c>
      <c r="H11" s="9" t="s">
        <v>1429</v>
      </c>
      <c r="I11" s="13" t="s">
        <v>692</v>
      </c>
      <c r="J11" s="19"/>
      <c r="K11" s="14"/>
      <c r="L11" s="14"/>
      <c r="M11" s="14"/>
      <c r="N11" s="22"/>
      <c r="O11" s="12" t="str">
        <f t="shared" si="0"/>
        <v>Pendiente</v>
      </c>
    </row>
    <row r="12" spans="1:15" ht="61.95" customHeight="1">
      <c r="A12" s="17" t="s">
        <v>242</v>
      </c>
      <c r="B12" s="9" t="s">
        <v>108</v>
      </c>
      <c r="C12" s="9" t="s">
        <v>243</v>
      </c>
      <c r="D12" s="17" t="s">
        <v>1430</v>
      </c>
      <c r="E12" s="9" t="s">
        <v>1431</v>
      </c>
      <c r="F12" s="9" t="s">
        <v>18</v>
      </c>
      <c r="G12" s="9" t="s">
        <v>690</v>
      </c>
      <c r="H12" s="9" t="s">
        <v>1432</v>
      </c>
      <c r="I12" s="13" t="s">
        <v>692</v>
      </c>
      <c r="J12" s="19"/>
      <c r="K12" s="14"/>
      <c r="L12" s="14"/>
      <c r="M12" s="14"/>
      <c r="N12" s="22"/>
      <c r="O12" s="12" t="str">
        <f t="shared" si="0"/>
        <v>Pendiente</v>
      </c>
    </row>
    <row r="13" spans="1:15" ht="61.95" customHeight="1">
      <c r="A13" s="17" t="s">
        <v>310</v>
      </c>
      <c r="B13" s="9" t="s">
        <v>108</v>
      </c>
      <c r="C13" s="9" t="s">
        <v>311</v>
      </c>
      <c r="D13" s="17" t="s">
        <v>1433</v>
      </c>
      <c r="E13" s="9" t="s">
        <v>1434</v>
      </c>
      <c r="F13" s="9" t="s">
        <v>18</v>
      </c>
      <c r="G13" s="9" t="s">
        <v>690</v>
      </c>
      <c r="H13" s="9" t="s">
        <v>1435</v>
      </c>
      <c r="I13" s="13" t="s">
        <v>692</v>
      </c>
      <c r="J13" s="19"/>
      <c r="K13" s="14"/>
      <c r="L13" s="14"/>
      <c r="M13" s="14"/>
      <c r="N13" s="22"/>
      <c r="O13" s="12" t="str">
        <f t="shared" si="0"/>
        <v>Pendiente</v>
      </c>
    </row>
    <row r="14" spans="1:15" ht="78" customHeight="1">
      <c r="A14" s="17" t="s">
        <v>320</v>
      </c>
      <c r="B14" s="9" t="s">
        <v>108</v>
      </c>
      <c r="C14" s="9" t="s">
        <v>321</v>
      </c>
      <c r="D14" s="17" t="s">
        <v>1436</v>
      </c>
      <c r="E14" s="9" t="s">
        <v>1437</v>
      </c>
      <c r="F14" s="9" t="s">
        <v>18</v>
      </c>
      <c r="G14" s="9" t="s">
        <v>690</v>
      </c>
      <c r="H14" s="9" t="s">
        <v>1438</v>
      </c>
      <c r="I14" s="13" t="s">
        <v>692</v>
      </c>
      <c r="J14" s="19"/>
      <c r="K14" s="14"/>
      <c r="L14" s="14"/>
      <c r="M14" s="14"/>
      <c r="N14" s="22"/>
      <c r="O14" s="12" t="str">
        <f t="shared" si="0"/>
        <v>Pendiente</v>
      </c>
    </row>
    <row r="15" spans="1:15" ht="78" customHeight="1">
      <c r="A15" s="17" t="s">
        <v>371</v>
      </c>
      <c r="B15" s="9" t="s">
        <v>357</v>
      </c>
      <c r="C15" s="9" t="s">
        <v>372</v>
      </c>
      <c r="D15" s="17" t="s">
        <v>1439</v>
      </c>
      <c r="E15" s="9" t="s">
        <v>1440</v>
      </c>
      <c r="F15" s="9" t="s">
        <v>714</v>
      </c>
      <c r="G15" s="9" t="s">
        <v>690</v>
      </c>
      <c r="H15" s="9" t="s">
        <v>1441</v>
      </c>
      <c r="I15" s="13" t="s">
        <v>692</v>
      </c>
      <c r="J15" s="19"/>
      <c r="K15" s="14"/>
      <c r="L15" s="14"/>
      <c r="M15" s="14"/>
      <c r="N15" s="22"/>
      <c r="O15" s="12" t="str">
        <f t="shared" si="0"/>
        <v>Pendiente</v>
      </c>
    </row>
    <row r="16" spans="1:15" ht="61.95" customHeight="1">
      <c r="A16" s="17" t="s">
        <v>457</v>
      </c>
      <c r="B16" s="9" t="s">
        <v>357</v>
      </c>
      <c r="C16" s="9" t="s">
        <v>458</v>
      </c>
      <c r="D16" s="17" t="s">
        <v>1442</v>
      </c>
      <c r="E16" s="9" t="s">
        <v>1443</v>
      </c>
      <c r="F16" s="9" t="s">
        <v>18</v>
      </c>
      <c r="G16" s="9" t="s">
        <v>690</v>
      </c>
      <c r="H16" s="9" t="s">
        <v>1444</v>
      </c>
      <c r="I16" s="13" t="s">
        <v>692</v>
      </c>
      <c r="J16" s="19"/>
      <c r="K16" s="14"/>
      <c r="L16" s="14"/>
      <c r="M16" s="14"/>
      <c r="N16" s="22"/>
      <c r="O16" s="12" t="str">
        <f t="shared" si="0"/>
        <v>Pendiente</v>
      </c>
    </row>
    <row r="17" spans="1:15" ht="49.95" customHeight="1">
      <c r="A17" s="17" t="s">
        <v>459</v>
      </c>
      <c r="B17" s="9" t="s">
        <v>357</v>
      </c>
      <c r="C17" s="9" t="s">
        <v>460</v>
      </c>
      <c r="D17" s="17" t="s">
        <v>1445</v>
      </c>
      <c r="E17" s="9" t="s">
        <v>1446</v>
      </c>
      <c r="F17" s="9" t="s">
        <v>18</v>
      </c>
      <c r="G17" s="9" t="s">
        <v>690</v>
      </c>
      <c r="H17" s="9" t="s">
        <v>1447</v>
      </c>
      <c r="I17" s="13" t="s">
        <v>692</v>
      </c>
      <c r="J17" s="19"/>
      <c r="K17" s="14"/>
      <c r="L17" s="14"/>
      <c r="M17" s="14"/>
      <c r="N17" s="22"/>
      <c r="O17" s="12" t="str">
        <f t="shared" si="0"/>
        <v>Pendiente</v>
      </c>
    </row>
    <row r="18" spans="1:15" ht="94.05" customHeight="1">
      <c r="A18" s="17" t="s">
        <v>240</v>
      </c>
      <c r="B18" s="9" t="s">
        <v>108</v>
      </c>
      <c r="C18" s="9" t="s">
        <v>241</v>
      </c>
      <c r="D18" s="17" t="s">
        <v>1430</v>
      </c>
      <c r="E18" s="9" t="s">
        <v>1431</v>
      </c>
      <c r="F18" s="9" t="s">
        <v>728</v>
      </c>
      <c r="G18" s="9" t="s">
        <v>42</v>
      </c>
      <c r="H18" s="9" t="s">
        <v>1448</v>
      </c>
      <c r="I18" s="13" t="s">
        <v>692</v>
      </c>
      <c r="J18" s="19"/>
      <c r="K18" s="14"/>
      <c r="L18" s="14"/>
      <c r="M18" s="14"/>
      <c r="N18" s="22"/>
      <c r="O18" s="12" t="str">
        <f t="shared" si="0"/>
        <v>Pendiente</v>
      </c>
    </row>
    <row r="19" spans="1:15" ht="78" customHeight="1">
      <c r="A19" s="17" t="s">
        <v>244</v>
      </c>
      <c r="B19" s="9" t="s">
        <v>108</v>
      </c>
      <c r="C19" s="9" t="s">
        <v>245</v>
      </c>
      <c r="D19" s="17" t="s">
        <v>1430</v>
      </c>
      <c r="E19" s="9" t="s">
        <v>1431</v>
      </c>
      <c r="F19" s="9" t="s">
        <v>728</v>
      </c>
      <c r="G19" s="9" t="s">
        <v>42</v>
      </c>
      <c r="H19" s="9" t="s">
        <v>1449</v>
      </c>
      <c r="I19" s="13" t="s">
        <v>692</v>
      </c>
      <c r="J19" s="19"/>
      <c r="K19" s="14"/>
      <c r="L19" s="14"/>
      <c r="M19" s="14"/>
      <c r="N19" s="22"/>
      <c r="O19" s="12" t="str">
        <f t="shared" si="0"/>
        <v>Pendiente</v>
      </c>
    </row>
    <row r="20" spans="1:15" ht="78" customHeight="1">
      <c r="A20" s="17" t="s">
        <v>280</v>
      </c>
      <c r="B20" s="9" t="s">
        <v>108</v>
      </c>
      <c r="C20" s="9" t="s">
        <v>281</v>
      </c>
      <c r="D20" s="17" t="s">
        <v>1450</v>
      </c>
      <c r="E20" s="9" t="s">
        <v>1451</v>
      </c>
      <c r="F20" s="9" t="s">
        <v>1452</v>
      </c>
      <c r="G20" s="9" t="s">
        <v>42</v>
      </c>
      <c r="H20" s="9" t="s">
        <v>1453</v>
      </c>
      <c r="I20" s="13" t="s">
        <v>692</v>
      </c>
      <c r="J20" s="19"/>
      <c r="K20" s="14"/>
      <c r="L20" s="14"/>
      <c r="M20" s="14"/>
      <c r="N20" s="22"/>
      <c r="O20" s="12" t="str">
        <f t="shared" si="0"/>
        <v>Pendiente</v>
      </c>
    </row>
    <row r="21" spans="1:15" ht="94.05" customHeight="1">
      <c r="A21" s="17" t="s">
        <v>314</v>
      </c>
      <c r="B21" s="9" t="s">
        <v>108</v>
      </c>
      <c r="C21" s="9" t="s">
        <v>315</v>
      </c>
      <c r="D21" s="17" t="s">
        <v>1454</v>
      </c>
      <c r="E21" s="9" t="s">
        <v>1455</v>
      </c>
      <c r="F21" s="9" t="s">
        <v>728</v>
      </c>
      <c r="G21" s="9" t="s">
        <v>42</v>
      </c>
      <c r="H21" s="9" t="s">
        <v>1456</v>
      </c>
      <c r="I21" s="13" t="s">
        <v>692</v>
      </c>
      <c r="J21" s="19"/>
      <c r="K21" s="14"/>
      <c r="L21" s="14"/>
      <c r="M21" s="14"/>
      <c r="N21" s="22"/>
      <c r="O21" s="12" t="str">
        <f t="shared" si="0"/>
        <v>Pendiente</v>
      </c>
    </row>
    <row r="22" spans="1:15" ht="94.05" customHeight="1">
      <c r="A22" s="17" t="s">
        <v>316</v>
      </c>
      <c r="B22" s="9" t="s">
        <v>108</v>
      </c>
      <c r="C22" s="9" t="s">
        <v>317</v>
      </c>
      <c r="D22" s="17" t="s">
        <v>1436</v>
      </c>
      <c r="E22" s="9" t="s">
        <v>1437</v>
      </c>
      <c r="F22" s="9" t="s">
        <v>728</v>
      </c>
      <c r="G22" s="9" t="s">
        <v>42</v>
      </c>
      <c r="H22" s="9" t="s">
        <v>1457</v>
      </c>
      <c r="I22" s="13" t="s">
        <v>692</v>
      </c>
      <c r="J22" s="19"/>
      <c r="K22" s="14"/>
      <c r="L22" s="14"/>
      <c r="M22" s="14"/>
      <c r="N22" s="22"/>
      <c r="O22" s="12" t="str">
        <f t="shared" si="0"/>
        <v>Pendiente</v>
      </c>
    </row>
    <row r="23" spans="1:15" ht="94.05" customHeight="1">
      <c r="A23" s="17" t="s">
        <v>365</v>
      </c>
      <c r="B23" s="9" t="s">
        <v>357</v>
      </c>
      <c r="C23" s="9" t="s">
        <v>366</v>
      </c>
      <c r="D23" s="17" t="s">
        <v>1458</v>
      </c>
      <c r="E23" s="9" t="s">
        <v>366</v>
      </c>
      <c r="F23" s="9" t="s">
        <v>728</v>
      </c>
      <c r="G23" s="9" t="s">
        <v>42</v>
      </c>
      <c r="H23" s="9" t="s">
        <v>1459</v>
      </c>
      <c r="I23" s="13" t="s">
        <v>692</v>
      </c>
      <c r="J23" s="19"/>
      <c r="K23" s="14"/>
      <c r="L23" s="14"/>
      <c r="M23" s="14"/>
      <c r="N23" s="22"/>
      <c r="O23" s="12" t="str">
        <f t="shared" si="0"/>
        <v>Pendiente</v>
      </c>
    </row>
    <row r="24" spans="1:15" ht="94.05" customHeight="1">
      <c r="A24" s="17" t="s">
        <v>369</v>
      </c>
      <c r="B24" s="9" t="s">
        <v>357</v>
      </c>
      <c r="C24" s="9" t="s">
        <v>370</v>
      </c>
      <c r="D24" s="17" t="s">
        <v>1439</v>
      </c>
      <c r="E24" s="9" t="s">
        <v>1440</v>
      </c>
      <c r="F24" s="9" t="s">
        <v>728</v>
      </c>
      <c r="G24" s="9" t="s">
        <v>42</v>
      </c>
      <c r="H24" s="9" t="s">
        <v>775</v>
      </c>
      <c r="I24" s="13" t="s">
        <v>692</v>
      </c>
      <c r="J24" s="19"/>
      <c r="K24" s="14"/>
      <c r="L24" s="14"/>
      <c r="M24" s="14"/>
      <c r="N24" s="22"/>
      <c r="O24" s="12" t="str">
        <f t="shared" si="0"/>
        <v>Pendiente</v>
      </c>
    </row>
    <row r="25" spans="1:15" ht="94.05" customHeight="1">
      <c r="A25" s="17" t="s">
        <v>389</v>
      </c>
      <c r="B25" s="9" t="s">
        <v>357</v>
      </c>
      <c r="C25" s="9" t="s">
        <v>390</v>
      </c>
      <c r="D25" s="17" t="s">
        <v>1460</v>
      </c>
      <c r="E25" s="9" t="s">
        <v>1461</v>
      </c>
      <c r="F25" s="9" t="s">
        <v>728</v>
      </c>
      <c r="G25" s="9" t="s">
        <v>42</v>
      </c>
      <c r="H25" s="9" t="s">
        <v>1462</v>
      </c>
      <c r="I25" s="13" t="s">
        <v>692</v>
      </c>
      <c r="J25" s="19"/>
      <c r="K25" s="14"/>
      <c r="L25" s="14"/>
      <c r="M25" s="14"/>
      <c r="N25" s="22"/>
      <c r="O25" s="12" t="str">
        <f t="shared" si="0"/>
        <v>Pendiente</v>
      </c>
    </row>
    <row r="26" spans="1:15" ht="94.05" customHeight="1">
      <c r="A26" s="17" t="s">
        <v>391</v>
      </c>
      <c r="B26" s="9" t="s">
        <v>357</v>
      </c>
      <c r="C26" s="9" t="s">
        <v>392</v>
      </c>
      <c r="D26" s="17" t="s">
        <v>1463</v>
      </c>
      <c r="E26" s="9" t="s">
        <v>1464</v>
      </c>
      <c r="F26" s="9" t="s">
        <v>728</v>
      </c>
      <c r="G26" s="9" t="s">
        <v>42</v>
      </c>
      <c r="H26" s="9" t="s">
        <v>781</v>
      </c>
      <c r="I26" s="13" t="s">
        <v>692</v>
      </c>
      <c r="J26" s="19"/>
      <c r="K26" s="14"/>
      <c r="L26" s="14"/>
      <c r="M26" s="14"/>
      <c r="N26" s="22"/>
      <c r="O26" s="12" t="str">
        <f t="shared" si="0"/>
        <v>Pendiente</v>
      </c>
    </row>
    <row r="27" spans="1:15" ht="78" customHeight="1">
      <c r="A27" s="17" t="s">
        <v>393</v>
      </c>
      <c r="B27" s="9" t="s">
        <v>357</v>
      </c>
      <c r="C27" s="9" t="s">
        <v>394</v>
      </c>
      <c r="D27" s="17" t="s">
        <v>1465</v>
      </c>
      <c r="E27" s="9" t="s">
        <v>1466</v>
      </c>
      <c r="F27" s="9" t="s">
        <v>728</v>
      </c>
      <c r="G27" s="9" t="s">
        <v>690</v>
      </c>
      <c r="H27" s="9" t="s">
        <v>1467</v>
      </c>
      <c r="I27" s="13" t="s">
        <v>692</v>
      </c>
      <c r="J27" s="19"/>
      <c r="K27" s="14"/>
      <c r="L27" s="14"/>
      <c r="M27" s="14"/>
      <c r="N27" s="22"/>
      <c r="O27" s="12" t="str">
        <f t="shared" si="0"/>
        <v>Pendiente</v>
      </c>
    </row>
    <row r="28" spans="1:15" ht="78" customHeight="1">
      <c r="A28" s="17" t="s">
        <v>395</v>
      </c>
      <c r="B28" s="9" t="s">
        <v>357</v>
      </c>
      <c r="C28" s="9" t="s">
        <v>396</v>
      </c>
      <c r="D28" s="17" t="s">
        <v>1465</v>
      </c>
      <c r="E28" s="9" t="s">
        <v>1466</v>
      </c>
      <c r="F28" s="9" t="s">
        <v>728</v>
      </c>
      <c r="G28" s="9" t="s">
        <v>690</v>
      </c>
      <c r="H28" s="9" t="s">
        <v>1468</v>
      </c>
      <c r="I28" s="13" t="s">
        <v>692</v>
      </c>
      <c r="J28" s="19"/>
      <c r="K28" s="14"/>
      <c r="L28" s="14"/>
      <c r="M28" s="14"/>
      <c r="N28" s="22"/>
      <c r="O28" s="12" t="str">
        <f t="shared" si="0"/>
        <v>Pendiente</v>
      </c>
    </row>
    <row r="29" spans="1:15" ht="78" customHeight="1">
      <c r="A29" s="17" t="s">
        <v>411</v>
      </c>
      <c r="B29" s="9" t="s">
        <v>357</v>
      </c>
      <c r="C29" s="9" t="s">
        <v>412</v>
      </c>
      <c r="D29" s="17" t="s">
        <v>1469</v>
      </c>
      <c r="E29" s="9" t="s">
        <v>1470</v>
      </c>
      <c r="F29" s="9" t="s">
        <v>728</v>
      </c>
      <c r="G29" s="9" t="s">
        <v>42</v>
      </c>
      <c r="H29" s="9" t="s">
        <v>1471</v>
      </c>
      <c r="I29" s="13" t="s">
        <v>692</v>
      </c>
      <c r="J29" s="19"/>
      <c r="K29" s="14"/>
      <c r="L29" s="14"/>
      <c r="M29" s="14"/>
      <c r="N29" s="22"/>
      <c r="O29" s="12" t="str">
        <f t="shared" si="0"/>
        <v>Pendiente</v>
      </c>
    </row>
    <row r="30" spans="1:15" ht="94.05" customHeight="1">
      <c r="A30" s="17" t="s">
        <v>419</v>
      </c>
      <c r="B30" s="9" t="s">
        <v>357</v>
      </c>
      <c r="C30" s="9" t="s">
        <v>420</v>
      </c>
      <c r="D30" s="17" t="s">
        <v>1472</v>
      </c>
      <c r="E30" s="9" t="s">
        <v>1473</v>
      </c>
      <c r="F30" s="9" t="s">
        <v>728</v>
      </c>
      <c r="G30" s="9" t="s">
        <v>42</v>
      </c>
      <c r="H30" s="9" t="s">
        <v>1474</v>
      </c>
      <c r="I30" s="13" t="s">
        <v>692</v>
      </c>
      <c r="J30" s="19"/>
      <c r="K30" s="14"/>
      <c r="L30" s="14"/>
      <c r="M30" s="14"/>
      <c r="N30" s="22"/>
      <c r="O30" s="12" t="str">
        <f t="shared" si="0"/>
        <v>Pendiente</v>
      </c>
    </row>
    <row r="31" spans="1:15" ht="94.05" customHeight="1">
      <c r="A31" s="17" t="s">
        <v>425</v>
      </c>
      <c r="B31" s="9" t="s">
        <v>357</v>
      </c>
      <c r="C31" s="9" t="s">
        <v>426</v>
      </c>
      <c r="D31" s="17" t="s">
        <v>1475</v>
      </c>
      <c r="E31" s="9" t="s">
        <v>1476</v>
      </c>
      <c r="F31" s="9" t="s">
        <v>728</v>
      </c>
      <c r="G31" s="9" t="s">
        <v>42</v>
      </c>
      <c r="H31" s="9" t="s">
        <v>804</v>
      </c>
      <c r="I31" s="13" t="s">
        <v>692</v>
      </c>
      <c r="J31" s="19"/>
      <c r="K31" s="14"/>
      <c r="L31" s="14"/>
      <c r="M31" s="14"/>
      <c r="N31" s="22"/>
      <c r="O31" s="12" t="str">
        <f t="shared" si="0"/>
        <v>Pendiente</v>
      </c>
    </row>
    <row r="32" spans="1:15" ht="94.05" customHeight="1">
      <c r="A32" s="17" t="s">
        <v>427</v>
      </c>
      <c r="B32" s="9" t="s">
        <v>357</v>
      </c>
      <c r="C32" s="9" t="s">
        <v>428</v>
      </c>
      <c r="D32" s="17" t="s">
        <v>1477</v>
      </c>
      <c r="E32" s="9" t="s">
        <v>1478</v>
      </c>
      <c r="F32" s="9" t="s">
        <v>728</v>
      </c>
      <c r="G32" s="9" t="s">
        <v>42</v>
      </c>
      <c r="H32" s="9" t="s">
        <v>807</v>
      </c>
      <c r="I32" s="13" t="s">
        <v>692</v>
      </c>
      <c r="J32" s="19"/>
      <c r="K32" s="14"/>
      <c r="L32" s="14"/>
      <c r="M32" s="14"/>
      <c r="N32" s="22"/>
      <c r="O32" s="12" t="str">
        <f t="shared" si="0"/>
        <v>Pendiente</v>
      </c>
    </row>
    <row r="33" spans="1:15" ht="94.05" customHeight="1">
      <c r="A33" s="17" t="s">
        <v>429</v>
      </c>
      <c r="B33" s="9" t="s">
        <v>357</v>
      </c>
      <c r="C33" s="9" t="s">
        <v>430</v>
      </c>
      <c r="D33" s="17" t="s">
        <v>1479</v>
      </c>
      <c r="E33" s="9" t="s">
        <v>1480</v>
      </c>
      <c r="F33" s="9" t="s">
        <v>728</v>
      </c>
      <c r="G33" s="9" t="s">
        <v>42</v>
      </c>
      <c r="H33" s="9" t="s">
        <v>1481</v>
      </c>
      <c r="I33" s="13" t="s">
        <v>692</v>
      </c>
      <c r="J33" s="19"/>
      <c r="K33" s="14"/>
      <c r="L33" s="14"/>
      <c r="M33" s="14"/>
      <c r="N33" s="22"/>
      <c r="O33" s="12" t="str">
        <f t="shared" si="0"/>
        <v>Pendiente</v>
      </c>
    </row>
    <row r="34" spans="1:15" ht="78" customHeight="1">
      <c r="A34" s="17" t="s">
        <v>431</v>
      </c>
      <c r="B34" s="9" t="s">
        <v>357</v>
      </c>
      <c r="C34" s="9" t="s">
        <v>432</v>
      </c>
      <c r="D34" s="17" t="s">
        <v>1482</v>
      </c>
      <c r="E34" s="9" t="s">
        <v>1483</v>
      </c>
      <c r="F34" s="9" t="s">
        <v>728</v>
      </c>
      <c r="G34" s="9" t="s">
        <v>42</v>
      </c>
      <c r="H34" s="9" t="s">
        <v>1484</v>
      </c>
      <c r="I34" s="13" t="s">
        <v>692</v>
      </c>
      <c r="J34" s="19"/>
      <c r="K34" s="14"/>
      <c r="L34" s="14"/>
      <c r="M34" s="14"/>
      <c r="N34" s="22"/>
      <c r="O34" s="12" t="str">
        <f t="shared" si="0"/>
        <v>Pendiente</v>
      </c>
    </row>
    <row r="35" spans="1:15" ht="78" customHeight="1">
      <c r="A35" s="17" t="s">
        <v>439</v>
      </c>
      <c r="B35" s="9" t="s">
        <v>357</v>
      </c>
      <c r="C35" s="9" t="s">
        <v>440</v>
      </c>
      <c r="D35" s="17" t="s">
        <v>1485</v>
      </c>
      <c r="E35" s="9" t="s">
        <v>1486</v>
      </c>
      <c r="F35" s="9" t="s">
        <v>728</v>
      </c>
      <c r="G35" s="9" t="s">
        <v>42</v>
      </c>
      <c r="H35" s="9" t="s">
        <v>816</v>
      </c>
      <c r="I35" s="13" t="s">
        <v>692</v>
      </c>
      <c r="J35" s="19"/>
      <c r="K35" s="14"/>
      <c r="L35" s="14"/>
      <c r="M35" s="14"/>
      <c r="N35" s="22"/>
      <c r="O35" s="12" t="str">
        <f t="shared" si="0"/>
        <v>Pendiente</v>
      </c>
    </row>
    <row r="36" spans="1:15" ht="94.05" customHeight="1">
      <c r="A36" s="17" t="s">
        <v>461</v>
      </c>
      <c r="B36" s="9" t="s">
        <v>357</v>
      </c>
      <c r="C36" s="9" t="s">
        <v>462</v>
      </c>
      <c r="D36" s="17" t="s">
        <v>1454</v>
      </c>
      <c r="E36" s="9" t="s">
        <v>1455</v>
      </c>
      <c r="F36" s="9" t="s">
        <v>728</v>
      </c>
      <c r="G36" s="9" t="s">
        <v>42</v>
      </c>
      <c r="H36" s="9" t="s">
        <v>1487</v>
      </c>
      <c r="I36" s="13" t="s">
        <v>692</v>
      </c>
      <c r="J36" s="19"/>
      <c r="K36" s="14"/>
      <c r="L36" s="14"/>
      <c r="M36" s="14"/>
      <c r="N36" s="22"/>
      <c r="O36" s="12" t="str">
        <f t="shared" si="0"/>
        <v>Pendiente</v>
      </c>
    </row>
    <row r="37" spans="1:15" ht="94.05" customHeight="1">
      <c r="A37" s="17" t="s">
        <v>474</v>
      </c>
      <c r="B37" s="9" t="s">
        <v>464</v>
      </c>
      <c r="C37" s="9" t="s">
        <v>475</v>
      </c>
      <c r="D37" s="17" t="s">
        <v>1488</v>
      </c>
      <c r="E37" s="9" t="s">
        <v>1489</v>
      </c>
      <c r="F37" s="9" t="s">
        <v>728</v>
      </c>
      <c r="G37" s="9" t="s">
        <v>42</v>
      </c>
      <c r="H37" s="9" t="s">
        <v>1490</v>
      </c>
      <c r="I37" s="13" t="s">
        <v>692</v>
      </c>
      <c r="J37" s="19"/>
      <c r="K37" s="14"/>
      <c r="L37" s="14"/>
      <c r="M37" s="14"/>
      <c r="N37" s="22"/>
      <c r="O37" s="12" t="str">
        <f t="shared" si="0"/>
        <v>Pendiente</v>
      </c>
    </row>
    <row r="38" spans="1:15" ht="94.05" customHeight="1">
      <c r="A38" s="17" t="s">
        <v>522</v>
      </c>
      <c r="B38" s="9" t="s">
        <v>464</v>
      </c>
      <c r="C38" s="9" t="s">
        <v>523</v>
      </c>
      <c r="D38" s="17" t="s">
        <v>1491</v>
      </c>
      <c r="E38" s="9" t="s">
        <v>1492</v>
      </c>
      <c r="F38" s="9" t="s">
        <v>728</v>
      </c>
      <c r="G38" s="9" t="s">
        <v>42</v>
      </c>
      <c r="H38" s="9" t="s">
        <v>1493</v>
      </c>
      <c r="I38" s="13" t="s">
        <v>692</v>
      </c>
      <c r="J38" s="19"/>
      <c r="K38" s="14"/>
      <c r="L38" s="14"/>
      <c r="M38" s="14"/>
      <c r="N38" s="22"/>
      <c r="O38" s="12" t="str">
        <f t="shared" si="0"/>
        <v>Pendiente</v>
      </c>
    </row>
    <row r="39" spans="1:15" ht="94.05" customHeight="1">
      <c r="A39" s="17" t="s">
        <v>539</v>
      </c>
      <c r="B39" s="9" t="s">
        <v>537</v>
      </c>
      <c r="C39" s="9" t="s">
        <v>540</v>
      </c>
      <c r="D39" s="17" t="s">
        <v>1475</v>
      </c>
      <c r="E39" s="9" t="s">
        <v>1476</v>
      </c>
      <c r="F39" s="9" t="s">
        <v>728</v>
      </c>
      <c r="G39" s="9" t="s">
        <v>42</v>
      </c>
      <c r="H39" s="9" t="s">
        <v>904</v>
      </c>
      <c r="I39" s="13" t="s">
        <v>692</v>
      </c>
      <c r="J39" s="19"/>
      <c r="K39" s="14"/>
      <c r="L39" s="14"/>
      <c r="M39" s="14"/>
      <c r="N39" s="22"/>
      <c r="O39" s="12" t="str">
        <f t="shared" si="0"/>
        <v>Pendiente</v>
      </c>
    </row>
    <row r="40" spans="1:15" ht="94.05" customHeight="1">
      <c r="A40" s="17" t="s">
        <v>541</v>
      </c>
      <c r="B40" s="9" t="s">
        <v>537</v>
      </c>
      <c r="C40" s="9" t="s">
        <v>542</v>
      </c>
      <c r="D40" s="17" t="s">
        <v>1477</v>
      </c>
      <c r="E40" s="9" t="s">
        <v>1478</v>
      </c>
      <c r="F40" s="9" t="s">
        <v>728</v>
      </c>
      <c r="G40" s="9" t="s">
        <v>42</v>
      </c>
      <c r="H40" s="9" t="s">
        <v>1494</v>
      </c>
      <c r="I40" s="13" t="s">
        <v>692</v>
      </c>
      <c r="J40" s="19"/>
      <c r="K40" s="14"/>
      <c r="L40" s="14"/>
      <c r="M40" s="14"/>
      <c r="N40" s="22"/>
      <c r="O40" s="12" t="str">
        <f t="shared" si="0"/>
        <v>Pendiente</v>
      </c>
    </row>
    <row r="41" spans="1:15" ht="78" customHeight="1">
      <c r="A41" s="17" t="s">
        <v>546</v>
      </c>
      <c r="B41" s="9" t="s">
        <v>537</v>
      </c>
      <c r="C41" s="9" t="s">
        <v>547</v>
      </c>
      <c r="D41" s="17" t="s">
        <v>1485</v>
      </c>
      <c r="E41" s="9" t="s">
        <v>1486</v>
      </c>
      <c r="F41" s="9" t="s">
        <v>728</v>
      </c>
      <c r="G41" s="9" t="s">
        <v>42</v>
      </c>
      <c r="H41" s="9" t="s">
        <v>908</v>
      </c>
      <c r="I41" s="13" t="s">
        <v>692</v>
      </c>
      <c r="J41" s="19"/>
      <c r="K41" s="14"/>
      <c r="L41" s="14"/>
      <c r="M41" s="14"/>
      <c r="N41" s="22"/>
      <c r="O41" s="12" t="str">
        <f t="shared" si="0"/>
        <v>Pendiente</v>
      </c>
    </row>
    <row r="42" spans="1:15" ht="78" customHeight="1">
      <c r="A42" s="17" t="s">
        <v>556</v>
      </c>
      <c r="B42" s="9" t="s">
        <v>537</v>
      </c>
      <c r="C42" s="9" t="s">
        <v>557</v>
      </c>
      <c r="D42" s="17" t="s">
        <v>1482</v>
      </c>
      <c r="E42" s="9" t="s">
        <v>1483</v>
      </c>
      <c r="F42" s="9" t="s">
        <v>728</v>
      </c>
      <c r="G42" s="9" t="s">
        <v>42</v>
      </c>
      <c r="H42" s="9" t="s">
        <v>1495</v>
      </c>
      <c r="I42" s="13" t="s">
        <v>692</v>
      </c>
      <c r="J42" s="19"/>
      <c r="K42" s="14"/>
      <c r="L42" s="14"/>
      <c r="M42" s="14"/>
      <c r="N42" s="22"/>
      <c r="O42" s="12" t="str">
        <f t="shared" si="0"/>
        <v>Pendiente</v>
      </c>
    </row>
    <row r="43" spans="1:15" ht="94.05" customHeight="1">
      <c r="A43" s="17" t="s">
        <v>560</v>
      </c>
      <c r="B43" s="9" t="s">
        <v>537</v>
      </c>
      <c r="C43" s="9" t="s">
        <v>561</v>
      </c>
      <c r="D43" s="17" t="s">
        <v>1479</v>
      </c>
      <c r="E43" s="9" t="s">
        <v>1480</v>
      </c>
      <c r="F43" s="9" t="s">
        <v>728</v>
      </c>
      <c r="G43" s="9" t="s">
        <v>42</v>
      </c>
      <c r="H43" s="9" t="s">
        <v>1496</v>
      </c>
      <c r="I43" s="13" t="s">
        <v>692</v>
      </c>
      <c r="J43" s="19"/>
      <c r="K43" s="14"/>
      <c r="L43" s="14"/>
      <c r="M43" s="14"/>
      <c r="N43" s="22"/>
      <c r="O43" s="12" t="str">
        <f t="shared" si="0"/>
        <v>Pendiente</v>
      </c>
    </row>
    <row r="44" spans="1:15" ht="94.05" customHeight="1">
      <c r="A44" s="17" t="s">
        <v>564</v>
      </c>
      <c r="B44" s="9" t="s">
        <v>537</v>
      </c>
      <c r="C44" s="9" t="s">
        <v>565</v>
      </c>
      <c r="D44" s="17" t="s">
        <v>1488</v>
      </c>
      <c r="E44" s="9" t="s">
        <v>1489</v>
      </c>
      <c r="F44" s="9" t="s">
        <v>728</v>
      </c>
      <c r="G44" s="9" t="s">
        <v>42</v>
      </c>
      <c r="H44" s="9" t="s">
        <v>1497</v>
      </c>
      <c r="I44" s="13" t="s">
        <v>692</v>
      </c>
      <c r="J44" s="19"/>
      <c r="K44" s="14"/>
      <c r="L44" s="14"/>
      <c r="M44" s="14"/>
      <c r="N44" s="22"/>
      <c r="O44" s="12" t="str">
        <f t="shared" si="0"/>
        <v>Pendiente</v>
      </c>
    </row>
    <row r="45" spans="1:15" ht="78" customHeight="1">
      <c r="A45" s="17" t="s">
        <v>570</v>
      </c>
      <c r="B45" s="9" t="s">
        <v>537</v>
      </c>
      <c r="C45" s="9" t="s">
        <v>571</v>
      </c>
      <c r="D45" s="17" t="s">
        <v>1498</v>
      </c>
      <c r="E45" s="9" t="s">
        <v>1499</v>
      </c>
      <c r="F45" s="9" t="s">
        <v>728</v>
      </c>
      <c r="G45" s="9" t="s">
        <v>42</v>
      </c>
      <c r="H45" s="9" t="s">
        <v>924</v>
      </c>
      <c r="I45" s="13" t="s">
        <v>692</v>
      </c>
      <c r="J45" s="19"/>
      <c r="K45" s="14"/>
      <c r="L45" s="14"/>
      <c r="M45" s="14"/>
      <c r="N45" s="22"/>
      <c r="O45" s="12" t="str">
        <f t="shared" si="0"/>
        <v>Pendiente</v>
      </c>
    </row>
    <row r="46" spans="1:15" ht="94.05" customHeight="1">
      <c r="A46" s="17" t="s">
        <v>574</v>
      </c>
      <c r="B46" s="9" t="s">
        <v>537</v>
      </c>
      <c r="C46" s="9" t="s">
        <v>575</v>
      </c>
      <c r="D46" s="17" t="s">
        <v>1463</v>
      </c>
      <c r="E46" s="9" t="s">
        <v>1464</v>
      </c>
      <c r="F46" s="9" t="s">
        <v>728</v>
      </c>
      <c r="G46" s="9" t="s">
        <v>42</v>
      </c>
      <c r="H46" s="9" t="s">
        <v>928</v>
      </c>
      <c r="I46" s="13" t="s">
        <v>692</v>
      </c>
      <c r="J46" s="19"/>
      <c r="K46" s="14"/>
      <c r="L46" s="14"/>
      <c r="M46" s="14"/>
      <c r="N46" s="22"/>
      <c r="O46" s="12" t="str">
        <f t="shared" si="0"/>
        <v>Pendiente</v>
      </c>
    </row>
    <row r="47" spans="1:15" ht="78" customHeight="1">
      <c r="A47" s="17" t="s">
        <v>581</v>
      </c>
      <c r="B47" s="9" t="s">
        <v>537</v>
      </c>
      <c r="C47" s="9" t="s">
        <v>394</v>
      </c>
      <c r="D47" s="17" t="s">
        <v>1465</v>
      </c>
      <c r="E47" s="9" t="s">
        <v>1466</v>
      </c>
      <c r="F47" s="9" t="s">
        <v>728</v>
      </c>
      <c r="G47" s="9" t="s">
        <v>690</v>
      </c>
      <c r="H47" s="9" t="s">
        <v>1500</v>
      </c>
      <c r="I47" s="13" t="s">
        <v>692</v>
      </c>
      <c r="J47" s="19"/>
      <c r="K47" s="14"/>
      <c r="L47" s="14"/>
      <c r="M47" s="14"/>
      <c r="N47" s="22"/>
      <c r="O47" s="12" t="str">
        <f t="shared" si="0"/>
        <v>Pendiente</v>
      </c>
    </row>
    <row r="48" spans="1:15" ht="78" customHeight="1">
      <c r="A48" s="17" t="s">
        <v>582</v>
      </c>
      <c r="B48" s="9" t="s">
        <v>537</v>
      </c>
      <c r="C48" s="9" t="s">
        <v>396</v>
      </c>
      <c r="D48" s="17" t="s">
        <v>1465</v>
      </c>
      <c r="E48" s="9" t="s">
        <v>1466</v>
      </c>
      <c r="F48" s="9" t="s">
        <v>728</v>
      </c>
      <c r="G48" s="9" t="s">
        <v>690</v>
      </c>
      <c r="H48" s="9" t="s">
        <v>1501</v>
      </c>
      <c r="I48" s="13" t="s">
        <v>692</v>
      </c>
      <c r="J48" s="19"/>
      <c r="K48" s="14"/>
      <c r="L48" s="14"/>
      <c r="M48" s="14"/>
      <c r="N48" s="22"/>
      <c r="O48" s="12" t="str">
        <f t="shared" si="0"/>
        <v>Pendiente</v>
      </c>
    </row>
    <row r="49" spans="1:15" ht="94.05" customHeight="1">
      <c r="A49" s="17" t="s">
        <v>585</v>
      </c>
      <c r="B49" s="9" t="s">
        <v>537</v>
      </c>
      <c r="C49" s="9" t="s">
        <v>586</v>
      </c>
      <c r="D49" s="17" t="s">
        <v>1460</v>
      </c>
      <c r="E49" s="9" t="s">
        <v>1461</v>
      </c>
      <c r="F49" s="9" t="s">
        <v>728</v>
      </c>
      <c r="G49" s="9" t="s">
        <v>42</v>
      </c>
      <c r="H49" s="9" t="s">
        <v>1502</v>
      </c>
      <c r="I49" s="13" t="s">
        <v>692</v>
      </c>
      <c r="J49" s="19"/>
      <c r="K49" s="14"/>
      <c r="L49" s="14"/>
      <c r="M49" s="14"/>
      <c r="N49" s="22"/>
      <c r="O49" s="12" t="str">
        <f t="shared" si="0"/>
        <v>Pendiente</v>
      </c>
    </row>
    <row r="50" spans="1:15" ht="94.05" customHeight="1">
      <c r="A50" s="17" t="s">
        <v>587</v>
      </c>
      <c r="B50" s="9" t="s">
        <v>537</v>
      </c>
      <c r="C50" s="9" t="s">
        <v>588</v>
      </c>
      <c r="D50" s="17" t="s">
        <v>1503</v>
      </c>
      <c r="E50" s="9" t="s">
        <v>1504</v>
      </c>
      <c r="F50" s="9" t="s">
        <v>728</v>
      </c>
      <c r="G50" s="9" t="s">
        <v>42</v>
      </c>
      <c r="H50" s="9" t="s">
        <v>1505</v>
      </c>
      <c r="I50" s="13" t="s">
        <v>692</v>
      </c>
      <c r="J50" s="19"/>
      <c r="K50" s="14"/>
      <c r="L50" s="14"/>
      <c r="M50" s="14"/>
      <c r="N50" s="22"/>
      <c r="O50" s="12" t="str">
        <f t="shared" si="0"/>
        <v>Pendiente</v>
      </c>
    </row>
    <row r="51" spans="1:15" ht="78" customHeight="1">
      <c r="A51" s="17" t="s">
        <v>607</v>
      </c>
      <c r="B51" s="9" t="s">
        <v>537</v>
      </c>
      <c r="C51" s="9" t="s">
        <v>608</v>
      </c>
      <c r="D51" s="17" t="s">
        <v>1475</v>
      </c>
      <c r="E51" s="9" t="s">
        <v>1476</v>
      </c>
      <c r="F51" s="9" t="s">
        <v>728</v>
      </c>
      <c r="G51" s="9" t="s">
        <v>42</v>
      </c>
      <c r="H51" s="9" t="s">
        <v>950</v>
      </c>
      <c r="I51" s="13" t="s">
        <v>692</v>
      </c>
      <c r="J51" s="19"/>
      <c r="K51" s="14"/>
      <c r="L51" s="14"/>
      <c r="M51" s="14"/>
      <c r="N51" s="22"/>
      <c r="O51" s="12" t="str">
        <f t="shared" si="0"/>
        <v>Pendiente</v>
      </c>
    </row>
    <row r="52" spans="1:15" ht="78" customHeight="1">
      <c r="A52" s="17" t="s">
        <v>609</v>
      </c>
      <c r="B52" s="9" t="s">
        <v>537</v>
      </c>
      <c r="C52" s="9" t="s">
        <v>610</v>
      </c>
      <c r="D52" s="17" t="s">
        <v>1477</v>
      </c>
      <c r="E52" s="9" t="s">
        <v>1478</v>
      </c>
      <c r="F52" s="9" t="s">
        <v>728</v>
      </c>
      <c r="G52" s="9" t="s">
        <v>42</v>
      </c>
      <c r="H52" s="9" t="s">
        <v>1506</v>
      </c>
      <c r="I52" s="13" t="s">
        <v>692</v>
      </c>
      <c r="J52" s="19"/>
      <c r="K52" s="14"/>
      <c r="L52" s="14"/>
      <c r="M52" s="14"/>
      <c r="N52" s="22"/>
      <c r="O52" s="12" t="str">
        <f t="shared" si="0"/>
        <v>Pendiente</v>
      </c>
    </row>
    <row r="53" spans="1:15" ht="78" customHeight="1">
      <c r="A53" s="17" t="s">
        <v>619</v>
      </c>
      <c r="B53" s="9" t="s">
        <v>537</v>
      </c>
      <c r="C53" s="9" t="s">
        <v>620</v>
      </c>
      <c r="D53" s="17" t="s">
        <v>1491</v>
      </c>
      <c r="E53" s="9" t="s">
        <v>1492</v>
      </c>
      <c r="F53" s="9" t="s">
        <v>728</v>
      </c>
      <c r="G53" s="9" t="s">
        <v>42</v>
      </c>
      <c r="H53" s="9" t="s">
        <v>1507</v>
      </c>
      <c r="I53" s="13" t="s">
        <v>692</v>
      </c>
      <c r="J53" s="19"/>
      <c r="K53" s="14"/>
      <c r="L53" s="14"/>
      <c r="M53" s="14"/>
      <c r="N53" s="22"/>
      <c r="O53" s="12" t="str">
        <f t="shared" si="0"/>
        <v>Pendiente</v>
      </c>
    </row>
    <row r="54" spans="1:15" ht="94.05" customHeight="1">
      <c r="A54" s="17" t="s">
        <v>623</v>
      </c>
      <c r="B54" s="9" t="s">
        <v>537</v>
      </c>
      <c r="C54" s="9" t="s">
        <v>624</v>
      </c>
      <c r="D54" s="17" t="s">
        <v>1458</v>
      </c>
      <c r="E54" s="9" t="s">
        <v>366</v>
      </c>
      <c r="F54" s="9" t="s">
        <v>728</v>
      </c>
      <c r="G54" s="9" t="s">
        <v>42</v>
      </c>
      <c r="H54" s="9" t="s">
        <v>1508</v>
      </c>
      <c r="I54" s="13" t="s">
        <v>692</v>
      </c>
      <c r="J54" s="19"/>
      <c r="K54" s="14"/>
      <c r="L54" s="14"/>
      <c r="M54" s="14"/>
      <c r="N54" s="22"/>
      <c r="O54" s="12" t="str">
        <f t="shared" si="0"/>
        <v>Pendiente</v>
      </c>
    </row>
    <row r="55" spans="1:15" ht="94.05" customHeight="1">
      <c r="A55" s="17" t="s">
        <v>631</v>
      </c>
      <c r="B55" s="9" t="s">
        <v>537</v>
      </c>
      <c r="C55" s="9" t="s">
        <v>392</v>
      </c>
      <c r="D55" s="17" t="s">
        <v>1463</v>
      </c>
      <c r="E55" s="9" t="s">
        <v>1464</v>
      </c>
      <c r="F55" s="9" t="s">
        <v>728</v>
      </c>
      <c r="G55" s="9" t="s">
        <v>42</v>
      </c>
      <c r="H55" s="9" t="s">
        <v>963</v>
      </c>
      <c r="I55" s="13" t="s">
        <v>692</v>
      </c>
      <c r="J55" s="19"/>
      <c r="K55" s="14"/>
      <c r="L55" s="14"/>
      <c r="M55" s="14"/>
      <c r="N55" s="22"/>
      <c r="O55" s="12" t="str">
        <f t="shared" si="0"/>
        <v>Pendiente</v>
      </c>
    </row>
    <row r="56" spans="1:15" ht="78" customHeight="1">
      <c r="A56" s="17" t="s">
        <v>633</v>
      </c>
      <c r="B56" s="9" t="s">
        <v>537</v>
      </c>
      <c r="C56" s="9" t="s">
        <v>634</v>
      </c>
      <c r="D56" s="17" t="s">
        <v>1465</v>
      </c>
      <c r="E56" s="9" t="s">
        <v>1466</v>
      </c>
      <c r="F56" s="9" t="s">
        <v>728</v>
      </c>
      <c r="G56" s="9" t="s">
        <v>42</v>
      </c>
      <c r="H56" s="9" t="s">
        <v>1509</v>
      </c>
      <c r="I56" s="13" t="s">
        <v>692</v>
      </c>
      <c r="J56" s="19"/>
      <c r="K56" s="14"/>
      <c r="L56" s="14"/>
      <c r="M56" s="14"/>
      <c r="N56" s="22"/>
      <c r="O56" s="12" t="str">
        <f t="shared" si="0"/>
        <v>Pendiente</v>
      </c>
    </row>
    <row r="57" spans="1:15" ht="94.05" customHeight="1">
      <c r="A57" s="17" t="s">
        <v>635</v>
      </c>
      <c r="B57" s="9" t="s">
        <v>537</v>
      </c>
      <c r="C57" s="9" t="s">
        <v>636</v>
      </c>
      <c r="D57" s="17" t="s">
        <v>1454</v>
      </c>
      <c r="E57" s="9" t="s">
        <v>1455</v>
      </c>
      <c r="F57" s="9" t="s">
        <v>728</v>
      </c>
      <c r="G57" s="9" t="s">
        <v>42</v>
      </c>
      <c r="H57" s="9" t="s">
        <v>1510</v>
      </c>
      <c r="I57" s="13" t="s">
        <v>692</v>
      </c>
      <c r="J57" s="19"/>
      <c r="K57" s="14"/>
      <c r="L57" s="14"/>
      <c r="M57" s="14"/>
      <c r="N57" s="22"/>
      <c r="O57" s="12" t="str">
        <f t="shared" si="0"/>
        <v>Pendiente</v>
      </c>
    </row>
    <row r="58" spans="1:15" ht="94.05" customHeight="1">
      <c r="A58" s="17" t="s">
        <v>637</v>
      </c>
      <c r="B58" s="9" t="s">
        <v>537</v>
      </c>
      <c r="C58" s="9" t="s">
        <v>588</v>
      </c>
      <c r="D58" s="17" t="s">
        <v>1503</v>
      </c>
      <c r="E58" s="9" t="s">
        <v>1504</v>
      </c>
      <c r="F58" s="9" t="s">
        <v>728</v>
      </c>
      <c r="G58" s="9" t="s">
        <v>42</v>
      </c>
      <c r="H58" s="9" t="s">
        <v>1511</v>
      </c>
      <c r="I58" s="13" t="s">
        <v>692</v>
      </c>
      <c r="J58" s="19"/>
      <c r="K58" s="14"/>
      <c r="L58" s="14"/>
      <c r="M58" s="14"/>
      <c r="N58" s="22"/>
      <c r="O58" s="12" t="str">
        <f t="shared" si="0"/>
        <v>Pendiente</v>
      </c>
    </row>
    <row r="59" spans="1:15" ht="78" customHeight="1">
      <c r="A59" s="17" t="s">
        <v>638</v>
      </c>
      <c r="B59" s="9" t="s">
        <v>537</v>
      </c>
      <c r="C59" s="9" t="s">
        <v>639</v>
      </c>
      <c r="D59" s="17" t="s">
        <v>1488</v>
      </c>
      <c r="E59" s="9" t="s">
        <v>1489</v>
      </c>
      <c r="F59" s="9" t="s">
        <v>728</v>
      </c>
      <c r="G59" s="9" t="s">
        <v>42</v>
      </c>
      <c r="H59" s="9" t="s">
        <v>1512</v>
      </c>
      <c r="I59" s="13" t="s">
        <v>692</v>
      </c>
      <c r="J59" s="19"/>
      <c r="K59" s="14"/>
      <c r="L59" s="14"/>
      <c r="M59" s="14"/>
      <c r="N59" s="22"/>
      <c r="O59" s="12" t="str">
        <f t="shared" si="0"/>
        <v>Pendiente</v>
      </c>
    </row>
    <row r="60" spans="1:15" ht="78" customHeight="1">
      <c r="A60" s="17" t="s">
        <v>646</v>
      </c>
      <c r="B60" s="9" t="s">
        <v>537</v>
      </c>
      <c r="C60" s="9" t="s">
        <v>647</v>
      </c>
      <c r="D60" s="17" t="s">
        <v>1463</v>
      </c>
      <c r="E60" s="9" t="s">
        <v>1464</v>
      </c>
      <c r="F60" s="9" t="s">
        <v>728</v>
      </c>
      <c r="G60" s="9" t="s">
        <v>690</v>
      </c>
      <c r="H60" s="9" t="s">
        <v>972</v>
      </c>
      <c r="I60" s="13" t="s">
        <v>692</v>
      </c>
      <c r="J60" s="19"/>
      <c r="K60" s="14"/>
      <c r="L60" s="14"/>
      <c r="M60" s="14"/>
      <c r="N60" s="22"/>
      <c r="O60" s="12" t="str">
        <f t="shared" si="0"/>
        <v>Pendiente</v>
      </c>
    </row>
    <row r="61" spans="1:15" ht="78" customHeight="1">
      <c r="A61" s="17" t="s">
        <v>652</v>
      </c>
      <c r="B61" s="9" t="s">
        <v>537</v>
      </c>
      <c r="C61" s="9" t="s">
        <v>653</v>
      </c>
      <c r="D61" s="17" t="s">
        <v>1469</v>
      </c>
      <c r="E61" s="9" t="s">
        <v>1470</v>
      </c>
      <c r="F61" s="9" t="s">
        <v>728</v>
      </c>
      <c r="G61" s="9" t="s">
        <v>690</v>
      </c>
      <c r="H61" s="9" t="s">
        <v>1513</v>
      </c>
      <c r="I61" s="13" t="s">
        <v>692</v>
      </c>
      <c r="J61" s="19"/>
      <c r="K61" s="14"/>
      <c r="L61" s="14"/>
      <c r="M61" s="14"/>
      <c r="N61" s="22"/>
      <c r="O61" s="12" t="str">
        <f t="shared" si="0"/>
        <v>Pendiente</v>
      </c>
    </row>
    <row r="62" spans="1:15" ht="78" customHeight="1">
      <c r="A62" s="17" t="s">
        <v>656</v>
      </c>
      <c r="B62" s="9" t="s">
        <v>537</v>
      </c>
      <c r="C62" s="9" t="s">
        <v>657</v>
      </c>
      <c r="D62" s="17" t="s">
        <v>1498</v>
      </c>
      <c r="E62" s="9" t="s">
        <v>1499</v>
      </c>
      <c r="F62" s="9" t="s">
        <v>728</v>
      </c>
      <c r="G62" s="9" t="s">
        <v>42</v>
      </c>
      <c r="H62" s="9" t="s">
        <v>976</v>
      </c>
      <c r="I62" s="13" t="s">
        <v>692</v>
      </c>
      <c r="J62" s="19"/>
      <c r="K62" s="14"/>
      <c r="L62" s="14"/>
      <c r="M62" s="14"/>
      <c r="N62" s="22"/>
      <c r="O62" s="12" t="str">
        <f t="shared" si="0"/>
        <v>Pendiente</v>
      </c>
    </row>
    <row r="63" spans="1:15" ht="78" customHeight="1">
      <c r="A63" s="17" t="s">
        <v>658</v>
      </c>
      <c r="B63" s="9" t="s">
        <v>537</v>
      </c>
      <c r="C63" s="9" t="s">
        <v>659</v>
      </c>
      <c r="D63" s="17" t="s">
        <v>1472</v>
      </c>
      <c r="E63" s="9" t="s">
        <v>1473</v>
      </c>
      <c r="F63" s="9" t="s">
        <v>728</v>
      </c>
      <c r="G63" s="9" t="s">
        <v>42</v>
      </c>
      <c r="H63" s="9" t="s">
        <v>1514</v>
      </c>
      <c r="I63" s="13" t="s">
        <v>692</v>
      </c>
      <c r="J63" s="19"/>
      <c r="K63" s="14"/>
      <c r="L63" s="14"/>
      <c r="M63" s="14"/>
      <c r="N63" s="22"/>
      <c r="O63" s="12" t="str">
        <f t="shared" si="0"/>
        <v>Pendiente</v>
      </c>
    </row>
    <row r="64" spans="1:15" ht="78" customHeight="1">
      <c r="A64" s="17" t="s">
        <v>666</v>
      </c>
      <c r="B64" s="9" t="s">
        <v>537</v>
      </c>
      <c r="C64" s="9" t="s">
        <v>667</v>
      </c>
      <c r="D64" s="17" t="s">
        <v>1460</v>
      </c>
      <c r="E64" s="9" t="s">
        <v>1461</v>
      </c>
      <c r="F64" s="9" t="s">
        <v>728</v>
      </c>
      <c r="G64" s="9" t="s">
        <v>42</v>
      </c>
      <c r="H64" s="9" t="s">
        <v>1515</v>
      </c>
      <c r="I64" s="13" t="s">
        <v>692</v>
      </c>
      <c r="J64" s="19"/>
      <c r="K64" s="14"/>
      <c r="L64" s="14"/>
      <c r="M64" s="14"/>
      <c r="N64" s="22"/>
      <c r="O64" s="12" t="str">
        <f t="shared" si="0"/>
        <v>Pendiente</v>
      </c>
    </row>
    <row r="65" spans="1:15" ht="78" customHeight="1">
      <c r="A65" s="17" t="s">
        <v>124</v>
      </c>
      <c r="B65" s="9" t="s">
        <v>108</v>
      </c>
      <c r="C65" s="9" t="s">
        <v>125</v>
      </c>
      <c r="D65" s="17"/>
      <c r="E65" s="9"/>
      <c r="F65" s="9" t="s">
        <v>1516</v>
      </c>
      <c r="G65" s="9" t="s">
        <v>24</v>
      </c>
      <c r="H65" s="9" t="s">
        <v>1517</v>
      </c>
      <c r="I65" s="13" t="s">
        <v>692</v>
      </c>
      <c r="J65" s="19"/>
      <c r="K65" s="14"/>
      <c r="L65" s="14"/>
      <c r="M65" s="14"/>
      <c r="N65" s="22"/>
      <c r="O65" s="12" t="str">
        <f t="shared" si="0"/>
        <v>Pendiente</v>
      </c>
    </row>
    <row r="66" spans="1:15" ht="78" customHeight="1">
      <c r="A66" s="17" t="s">
        <v>126</v>
      </c>
      <c r="B66" s="9" t="s">
        <v>108</v>
      </c>
      <c r="C66" s="9" t="s">
        <v>127</v>
      </c>
      <c r="D66" s="17"/>
      <c r="E66" s="9"/>
      <c r="F66" s="9" t="s">
        <v>1516</v>
      </c>
      <c r="G66" s="9" t="s">
        <v>24</v>
      </c>
      <c r="H66" s="9" t="s">
        <v>1518</v>
      </c>
      <c r="I66" s="13" t="s">
        <v>692</v>
      </c>
      <c r="J66" s="19"/>
      <c r="K66" s="14"/>
      <c r="L66" s="14"/>
      <c r="M66" s="14"/>
      <c r="N66" s="22"/>
      <c r="O66" s="12" t="str">
        <f t="shared" si="0"/>
        <v>Pendiente</v>
      </c>
    </row>
    <row r="67" spans="1:15" ht="78" customHeight="1">
      <c r="A67" s="17" t="s">
        <v>130</v>
      </c>
      <c r="B67" s="9" t="s">
        <v>108</v>
      </c>
      <c r="C67" s="9" t="s">
        <v>131</v>
      </c>
      <c r="D67" s="17"/>
      <c r="E67" s="9"/>
      <c r="F67" s="9" t="s">
        <v>1516</v>
      </c>
      <c r="G67" s="9" t="s">
        <v>24</v>
      </c>
      <c r="H67" s="9" t="s">
        <v>1519</v>
      </c>
      <c r="I67" s="13" t="s">
        <v>692</v>
      </c>
      <c r="J67" s="19"/>
      <c r="K67" s="14"/>
      <c r="L67" s="14"/>
      <c r="M67" s="14"/>
      <c r="N67" s="22"/>
      <c r="O67" s="12" t="str">
        <f t="shared" si="0"/>
        <v>Pendiente</v>
      </c>
    </row>
    <row r="68" spans="1:15" ht="78" customHeight="1">
      <c r="A68" s="17" t="s">
        <v>132</v>
      </c>
      <c r="B68" s="9" t="s">
        <v>108</v>
      </c>
      <c r="C68" s="9" t="s">
        <v>133</v>
      </c>
      <c r="D68" s="17"/>
      <c r="E68" s="9"/>
      <c r="F68" s="9" t="s">
        <v>1516</v>
      </c>
      <c r="G68" s="9" t="s">
        <v>24</v>
      </c>
      <c r="H68" s="9" t="s">
        <v>1520</v>
      </c>
      <c r="I68" s="13" t="s">
        <v>692</v>
      </c>
      <c r="J68" s="19"/>
      <c r="K68" s="14"/>
      <c r="L68" s="14"/>
      <c r="M68" s="14"/>
      <c r="N68" s="22"/>
      <c r="O68" s="12" t="str">
        <f t="shared" si="0"/>
        <v>Pendiente</v>
      </c>
    </row>
    <row r="69" spans="1:15" ht="78" customHeight="1">
      <c r="A69" s="17" t="s">
        <v>134</v>
      </c>
      <c r="B69" s="9" t="s">
        <v>108</v>
      </c>
      <c r="C69" s="9" t="s">
        <v>135</v>
      </c>
      <c r="D69" s="17"/>
      <c r="E69" s="9"/>
      <c r="F69" s="9" t="s">
        <v>1516</v>
      </c>
      <c r="G69" s="9" t="s">
        <v>24</v>
      </c>
      <c r="H69" s="9" t="s">
        <v>1521</v>
      </c>
      <c r="I69" s="13" t="s">
        <v>692</v>
      </c>
      <c r="J69" s="19"/>
      <c r="K69" s="14"/>
      <c r="L69" s="14"/>
      <c r="M69" s="14"/>
      <c r="N69" s="22"/>
      <c r="O69" s="12" t="str">
        <f t="shared" si="0"/>
        <v>Pendiente</v>
      </c>
    </row>
    <row r="70" spans="1:15" ht="78" customHeight="1">
      <c r="A70" s="17" t="s">
        <v>136</v>
      </c>
      <c r="B70" s="9" t="s">
        <v>108</v>
      </c>
      <c r="C70" s="9" t="s">
        <v>137</v>
      </c>
      <c r="D70" s="17"/>
      <c r="E70" s="9"/>
      <c r="F70" s="9" t="s">
        <v>1516</v>
      </c>
      <c r="G70" s="9" t="s">
        <v>24</v>
      </c>
      <c r="H70" s="9" t="s">
        <v>1522</v>
      </c>
      <c r="I70" s="13" t="s">
        <v>692</v>
      </c>
      <c r="J70" s="19"/>
      <c r="K70" s="14"/>
      <c r="L70" s="14"/>
      <c r="M70" s="14"/>
      <c r="N70" s="22"/>
      <c r="O70" s="12" t="str">
        <f t="shared" si="0"/>
        <v>Pendiente</v>
      </c>
    </row>
    <row r="71" spans="1:15" ht="78" customHeight="1">
      <c r="A71" s="17" t="s">
        <v>138</v>
      </c>
      <c r="B71" s="9" t="s">
        <v>108</v>
      </c>
      <c r="C71" s="9" t="s">
        <v>139</v>
      </c>
      <c r="D71" s="17"/>
      <c r="E71" s="9"/>
      <c r="F71" s="9" t="s">
        <v>1516</v>
      </c>
      <c r="G71" s="9" t="s">
        <v>24</v>
      </c>
      <c r="H71" s="9" t="s">
        <v>1523</v>
      </c>
      <c r="I71" s="13" t="s">
        <v>692</v>
      </c>
      <c r="J71" s="19"/>
      <c r="K71" s="14"/>
      <c r="L71" s="14"/>
      <c r="M71" s="14"/>
      <c r="N71" s="22"/>
      <c r="O71" s="12" t="str">
        <f t="shared" si="0"/>
        <v>Pendiente</v>
      </c>
    </row>
    <row r="72" spans="1:15" ht="78" customHeight="1">
      <c r="A72" s="17" t="s">
        <v>146</v>
      </c>
      <c r="B72" s="9" t="s">
        <v>108</v>
      </c>
      <c r="C72" s="9" t="s">
        <v>147</v>
      </c>
      <c r="D72" s="17"/>
      <c r="E72" s="9"/>
      <c r="F72" s="9" t="s">
        <v>1516</v>
      </c>
      <c r="G72" s="9" t="s">
        <v>24</v>
      </c>
      <c r="H72" s="9" t="s">
        <v>1524</v>
      </c>
      <c r="I72" s="13" t="s">
        <v>692</v>
      </c>
      <c r="J72" s="19"/>
      <c r="K72" s="14"/>
      <c r="L72" s="14"/>
      <c r="M72" s="14"/>
      <c r="N72" s="22"/>
      <c r="O72" s="12" t="str">
        <f t="shared" ref="O72:O135" si="1">IF(I72="Pendiente","Pendiente",IF(I72="Equivalente confirmado",IF(OR(J72="",K72=""),"Falta código o nombre",IF(OR(L72="",M72=""),"Falta validación",IF(OR(NOT(ISNUMBER(N72)),N72&lt;=0),"Falta fecha","Homologado"))),IF(I72="Sin equivalente en AVAIN",IF(OR(J72&lt;&gt;"",K72&lt;&gt;""),"Quitar código y nombre",IF(OR(L72="",M72=""),"Falta validación",IF(OR(NOT(ISNUMBER(N72)),N72&lt;=0),"Falta fecha","Sin equivalente confirmado"))),"Revisar decisión")))</f>
        <v>Pendiente</v>
      </c>
    </row>
    <row r="73" spans="1:15" ht="78" customHeight="1">
      <c r="A73" s="17" t="s">
        <v>148</v>
      </c>
      <c r="B73" s="9" t="s">
        <v>108</v>
      </c>
      <c r="C73" s="9" t="s">
        <v>149</v>
      </c>
      <c r="D73" s="17"/>
      <c r="E73" s="9"/>
      <c r="F73" s="9" t="s">
        <v>1516</v>
      </c>
      <c r="G73" s="9" t="s">
        <v>24</v>
      </c>
      <c r="H73" s="9" t="s">
        <v>1525</v>
      </c>
      <c r="I73" s="13" t="s">
        <v>692</v>
      </c>
      <c r="J73" s="19"/>
      <c r="K73" s="14"/>
      <c r="L73" s="14"/>
      <c r="M73" s="14"/>
      <c r="N73" s="22"/>
      <c r="O73" s="12" t="str">
        <f t="shared" si="1"/>
        <v>Pendiente</v>
      </c>
    </row>
    <row r="74" spans="1:15" ht="78" customHeight="1">
      <c r="A74" s="17" t="s">
        <v>150</v>
      </c>
      <c r="B74" s="9" t="s">
        <v>108</v>
      </c>
      <c r="C74" s="9" t="s">
        <v>151</v>
      </c>
      <c r="D74" s="17"/>
      <c r="E74" s="9"/>
      <c r="F74" s="9" t="s">
        <v>1516</v>
      </c>
      <c r="G74" s="9" t="s">
        <v>24</v>
      </c>
      <c r="H74" s="9" t="s">
        <v>1526</v>
      </c>
      <c r="I74" s="13" t="s">
        <v>692</v>
      </c>
      <c r="J74" s="19"/>
      <c r="K74" s="14"/>
      <c r="L74" s="14"/>
      <c r="M74" s="14"/>
      <c r="N74" s="22"/>
      <c r="O74" s="12" t="str">
        <f t="shared" si="1"/>
        <v>Pendiente</v>
      </c>
    </row>
    <row r="75" spans="1:15" ht="78" customHeight="1">
      <c r="A75" s="17" t="s">
        <v>152</v>
      </c>
      <c r="B75" s="9" t="s">
        <v>108</v>
      </c>
      <c r="C75" s="9" t="s">
        <v>153</v>
      </c>
      <c r="D75" s="17"/>
      <c r="E75" s="9"/>
      <c r="F75" s="9" t="s">
        <v>1516</v>
      </c>
      <c r="G75" s="9" t="s">
        <v>24</v>
      </c>
      <c r="H75" s="9" t="s">
        <v>1527</v>
      </c>
      <c r="I75" s="13" t="s">
        <v>692</v>
      </c>
      <c r="J75" s="19"/>
      <c r="K75" s="14"/>
      <c r="L75" s="14"/>
      <c r="M75" s="14"/>
      <c r="N75" s="22"/>
      <c r="O75" s="12" t="str">
        <f t="shared" si="1"/>
        <v>Pendiente</v>
      </c>
    </row>
    <row r="76" spans="1:15" ht="78" customHeight="1">
      <c r="A76" s="17" t="s">
        <v>154</v>
      </c>
      <c r="B76" s="9" t="s">
        <v>108</v>
      </c>
      <c r="C76" s="9" t="s">
        <v>155</v>
      </c>
      <c r="D76" s="17"/>
      <c r="E76" s="9"/>
      <c r="F76" s="9" t="s">
        <v>1516</v>
      </c>
      <c r="G76" s="9" t="s">
        <v>24</v>
      </c>
      <c r="H76" s="9" t="s">
        <v>1528</v>
      </c>
      <c r="I76" s="13" t="s">
        <v>692</v>
      </c>
      <c r="J76" s="19"/>
      <c r="K76" s="14"/>
      <c r="L76" s="14"/>
      <c r="M76" s="14"/>
      <c r="N76" s="22"/>
      <c r="O76" s="12" t="str">
        <f t="shared" si="1"/>
        <v>Pendiente</v>
      </c>
    </row>
    <row r="77" spans="1:15" ht="78" customHeight="1">
      <c r="A77" s="17" t="s">
        <v>156</v>
      </c>
      <c r="B77" s="9" t="s">
        <v>108</v>
      </c>
      <c r="C77" s="9" t="s">
        <v>157</v>
      </c>
      <c r="D77" s="17"/>
      <c r="E77" s="9"/>
      <c r="F77" s="9" t="s">
        <v>1516</v>
      </c>
      <c r="G77" s="9" t="s">
        <v>24</v>
      </c>
      <c r="H77" s="9" t="s">
        <v>1529</v>
      </c>
      <c r="I77" s="13" t="s">
        <v>692</v>
      </c>
      <c r="J77" s="19"/>
      <c r="K77" s="14"/>
      <c r="L77" s="14"/>
      <c r="M77" s="14"/>
      <c r="N77" s="22"/>
      <c r="O77" s="12" t="str">
        <f t="shared" si="1"/>
        <v>Pendiente</v>
      </c>
    </row>
    <row r="78" spans="1:15" ht="61.95" customHeight="1">
      <c r="A78" s="17" t="s">
        <v>166</v>
      </c>
      <c r="B78" s="9" t="s">
        <v>108</v>
      </c>
      <c r="C78" s="9" t="s">
        <v>167</v>
      </c>
      <c r="D78" s="17" t="s">
        <v>1530</v>
      </c>
      <c r="E78" s="9" t="s">
        <v>1531</v>
      </c>
      <c r="F78" s="9" t="s">
        <v>985</v>
      </c>
      <c r="G78" s="9" t="s">
        <v>42</v>
      </c>
      <c r="H78" s="9" t="s">
        <v>1532</v>
      </c>
      <c r="I78" s="13" t="s">
        <v>692</v>
      </c>
      <c r="J78" s="19"/>
      <c r="K78" s="14"/>
      <c r="L78" s="14"/>
      <c r="M78" s="14"/>
      <c r="N78" s="22"/>
      <c r="O78" s="12" t="str">
        <f t="shared" si="1"/>
        <v>Pendiente</v>
      </c>
    </row>
    <row r="79" spans="1:15" ht="78" customHeight="1">
      <c r="A79" s="17" t="s">
        <v>168</v>
      </c>
      <c r="B79" s="9" t="s">
        <v>108</v>
      </c>
      <c r="C79" s="9" t="s">
        <v>169</v>
      </c>
      <c r="D79" s="17"/>
      <c r="E79" s="9"/>
      <c r="F79" s="9" t="s">
        <v>1516</v>
      </c>
      <c r="G79" s="9" t="s">
        <v>24</v>
      </c>
      <c r="H79" s="9" t="s">
        <v>1533</v>
      </c>
      <c r="I79" s="13" t="s">
        <v>692</v>
      </c>
      <c r="J79" s="19"/>
      <c r="K79" s="14"/>
      <c r="L79" s="14"/>
      <c r="M79" s="14"/>
      <c r="N79" s="22"/>
      <c r="O79" s="12" t="str">
        <f t="shared" si="1"/>
        <v>Pendiente</v>
      </c>
    </row>
    <row r="80" spans="1:15" ht="78" customHeight="1">
      <c r="A80" s="17" t="s">
        <v>170</v>
      </c>
      <c r="B80" s="9" t="s">
        <v>108</v>
      </c>
      <c r="C80" s="9" t="s">
        <v>171</v>
      </c>
      <c r="D80" s="17"/>
      <c r="E80" s="9"/>
      <c r="F80" s="9" t="s">
        <v>1516</v>
      </c>
      <c r="G80" s="9" t="s">
        <v>24</v>
      </c>
      <c r="H80" s="9" t="s">
        <v>1534</v>
      </c>
      <c r="I80" s="13" t="s">
        <v>692</v>
      </c>
      <c r="J80" s="19"/>
      <c r="K80" s="14"/>
      <c r="L80" s="14"/>
      <c r="M80" s="14"/>
      <c r="N80" s="22"/>
      <c r="O80" s="12" t="str">
        <f t="shared" si="1"/>
        <v>Pendiente</v>
      </c>
    </row>
    <row r="81" spans="1:15" ht="78" customHeight="1">
      <c r="A81" s="17" t="s">
        <v>172</v>
      </c>
      <c r="B81" s="9" t="s">
        <v>108</v>
      </c>
      <c r="C81" s="9" t="s">
        <v>173</v>
      </c>
      <c r="D81" s="17"/>
      <c r="E81" s="9"/>
      <c r="F81" s="9" t="s">
        <v>1516</v>
      </c>
      <c r="G81" s="9" t="s">
        <v>24</v>
      </c>
      <c r="H81" s="9" t="s">
        <v>1535</v>
      </c>
      <c r="I81" s="13" t="s">
        <v>692</v>
      </c>
      <c r="J81" s="19"/>
      <c r="K81" s="14"/>
      <c r="L81" s="14"/>
      <c r="M81" s="14"/>
      <c r="N81" s="22"/>
      <c r="O81" s="12" t="str">
        <f t="shared" si="1"/>
        <v>Pendiente</v>
      </c>
    </row>
    <row r="82" spans="1:15" ht="78" customHeight="1">
      <c r="A82" s="17" t="s">
        <v>174</v>
      </c>
      <c r="B82" s="9" t="s">
        <v>108</v>
      </c>
      <c r="C82" s="9" t="s">
        <v>175</v>
      </c>
      <c r="D82" s="17"/>
      <c r="E82" s="9"/>
      <c r="F82" s="9" t="s">
        <v>1516</v>
      </c>
      <c r="G82" s="9" t="s">
        <v>24</v>
      </c>
      <c r="H82" s="9" t="s">
        <v>1536</v>
      </c>
      <c r="I82" s="13" t="s">
        <v>692</v>
      </c>
      <c r="J82" s="19"/>
      <c r="K82" s="14"/>
      <c r="L82" s="14"/>
      <c r="M82" s="14"/>
      <c r="N82" s="22"/>
      <c r="O82" s="12" t="str">
        <f t="shared" si="1"/>
        <v>Pendiente</v>
      </c>
    </row>
    <row r="83" spans="1:15" ht="78" customHeight="1">
      <c r="A83" s="17" t="s">
        <v>176</v>
      </c>
      <c r="B83" s="9" t="s">
        <v>108</v>
      </c>
      <c r="C83" s="9" t="s">
        <v>177</v>
      </c>
      <c r="D83" s="17"/>
      <c r="E83" s="9"/>
      <c r="F83" s="9" t="s">
        <v>1516</v>
      </c>
      <c r="G83" s="9" t="s">
        <v>24</v>
      </c>
      <c r="H83" s="9" t="s">
        <v>1537</v>
      </c>
      <c r="I83" s="13" t="s">
        <v>692</v>
      </c>
      <c r="J83" s="19"/>
      <c r="K83" s="14"/>
      <c r="L83" s="14"/>
      <c r="M83" s="14"/>
      <c r="N83" s="22"/>
      <c r="O83" s="12" t="str">
        <f t="shared" si="1"/>
        <v>Pendiente</v>
      </c>
    </row>
    <row r="84" spans="1:15" ht="78" customHeight="1">
      <c r="A84" s="17" t="s">
        <v>178</v>
      </c>
      <c r="B84" s="9" t="s">
        <v>108</v>
      </c>
      <c r="C84" s="9" t="s">
        <v>179</v>
      </c>
      <c r="D84" s="17"/>
      <c r="E84" s="9"/>
      <c r="F84" s="9" t="s">
        <v>1516</v>
      </c>
      <c r="G84" s="9" t="s">
        <v>24</v>
      </c>
      <c r="H84" s="9" t="s">
        <v>1538</v>
      </c>
      <c r="I84" s="13" t="s">
        <v>692</v>
      </c>
      <c r="J84" s="19"/>
      <c r="K84" s="14"/>
      <c r="L84" s="14"/>
      <c r="M84" s="14"/>
      <c r="N84" s="22"/>
      <c r="O84" s="12" t="str">
        <f t="shared" si="1"/>
        <v>Pendiente</v>
      </c>
    </row>
    <row r="85" spans="1:15" ht="78" customHeight="1">
      <c r="A85" s="17" t="s">
        <v>188</v>
      </c>
      <c r="B85" s="9" t="s">
        <v>108</v>
      </c>
      <c r="C85" s="9" t="s">
        <v>189</v>
      </c>
      <c r="D85" s="17"/>
      <c r="E85" s="9"/>
      <c r="F85" s="9" t="s">
        <v>1516</v>
      </c>
      <c r="G85" s="9" t="s">
        <v>24</v>
      </c>
      <c r="H85" s="9" t="s">
        <v>1539</v>
      </c>
      <c r="I85" s="13" t="s">
        <v>692</v>
      </c>
      <c r="J85" s="19"/>
      <c r="K85" s="14"/>
      <c r="L85" s="14"/>
      <c r="M85" s="14"/>
      <c r="N85" s="22"/>
      <c r="O85" s="12" t="str">
        <f t="shared" si="1"/>
        <v>Pendiente</v>
      </c>
    </row>
    <row r="86" spans="1:15" ht="61.95" customHeight="1">
      <c r="A86" s="17" t="s">
        <v>190</v>
      </c>
      <c r="B86" s="9" t="s">
        <v>108</v>
      </c>
      <c r="C86" s="9" t="s">
        <v>191</v>
      </c>
      <c r="D86" s="17" t="s">
        <v>1540</v>
      </c>
      <c r="E86" s="9" t="s">
        <v>1541</v>
      </c>
      <c r="F86" s="9" t="s">
        <v>985</v>
      </c>
      <c r="G86" s="9" t="s">
        <v>42</v>
      </c>
      <c r="H86" s="9" t="s">
        <v>1542</v>
      </c>
      <c r="I86" s="13" t="s">
        <v>692</v>
      </c>
      <c r="J86" s="19"/>
      <c r="K86" s="14"/>
      <c r="L86" s="14"/>
      <c r="M86" s="14"/>
      <c r="N86" s="22"/>
      <c r="O86" s="12" t="str">
        <f t="shared" si="1"/>
        <v>Pendiente</v>
      </c>
    </row>
    <row r="87" spans="1:15" ht="78" customHeight="1">
      <c r="A87" s="17" t="s">
        <v>192</v>
      </c>
      <c r="B87" s="9" t="s">
        <v>108</v>
      </c>
      <c r="C87" s="9" t="s">
        <v>193</v>
      </c>
      <c r="D87" s="17"/>
      <c r="E87" s="9"/>
      <c r="F87" s="9" t="s">
        <v>1516</v>
      </c>
      <c r="G87" s="9" t="s">
        <v>24</v>
      </c>
      <c r="H87" s="9" t="s">
        <v>1543</v>
      </c>
      <c r="I87" s="13" t="s">
        <v>692</v>
      </c>
      <c r="J87" s="19"/>
      <c r="K87" s="14"/>
      <c r="L87" s="14"/>
      <c r="M87" s="14"/>
      <c r="N87" s="22"/>
      <c r="O87" s="12" t="str">
        <f t="shared" si="1"/>
        <v>Pendiente</v>
      </c>
    </row>
    <row r="88" spans="1:15" ht="78" customHeight="1">
      <c r="A88" s="17" t="s">
        <v>194</v>
      </c>
      <c r="B88" s="9" t="s">
        <v>108</v>
      </c>
      <c r="C88" s="9" t="s">
        <v>195</v>
      </c>
      <c r="D88" s="17"/>
      <c r="E88" s="9"/>
      <c r="F88" s="9" t="s">
        <v>1516</v>
      </c>
      <c r="G88" s="9" t="s">
        <v>24</v>
      </c>
      <c r="H88" s="9" t="s">
        <v>1544</v>
      </c>
      <c r="I88" s="13" t="s">
        <v>692</v>
      </c>
      <c r="J88" s="19"/>
      <c r="K88" s="14"/>
      <c r="L88" s="14"/>
      <c r="M88" s="14"/>
      <c r="N88" s="22"/>
      <c r="O88" s="12" t="str">
        <f t="shared" si="1"/>
        <v>Pendiente</v>
      </c>
    </row>
    <row r="89" spans="1:15" ht="78" customHeight="1">
      <c r="A89" s="17" t="s">
        <v>196</v>
      </c>
      <c r="B89" s="9" t="s">
        <v>108</v>
      </c>
      <c r="C89" s="9" t="s">
        <v>197</v>
      </c>
      <c r="D89" s="17"/>
      <c r="E89" s="9"/>
      <c r="F89" s="9" t="s">
        <v>1516</v>
      </c>
      <c r="G89" s="9" t="s">
        <v>24</v>
      </c>
      <c r="H89" s="9" t="s">
        <v>1545</v>
      </c>
      <c r="I89" s="13" t="s">
        <v>692</v>
      </c>
      <c r="J89" s="19"/>
      <c r="K89" s="14"/>
      <c r="L89" s="14"/>
      <c r="M89" s="14"/>
      <c r="N89" s="22"/>
      <c r="O89" s="12" t="str">
        <f t="shared" si="1"/>
        <v>Pendiente</v>
      </c>
    </row>
    <row r="90" spans="1:15" ht="78" customHeight="1">
      <c r="A90" s="17" t="s">
        <v>198</v>
      </c>
      <c r="B90" s="9" t="s">
        <v>108</v>
      </c>
      <c r="C90" s="9" t="s">
        <v>199</v>
      </c>
      <c r="D90" s="17"/>
      <c r="E90" s="9"/>
      <c r="F90" s="9" t="s">
        <v>1516</v>
      </c>
      <c r="G90" s="9" t="s">
        <v>24</v>
      </c>
      <c r="H90" s="9" t="s">
        <v>1546</v>
      </c>
      <c r="I90" s="13" t="s">
        <v>692</v>
      </c>
      <c r="J90" s="19"/>
      <c r="K90" s="14"/>
      <c r="L90" s="14"/>
      <c r="M90" s="14"/>
      <c r="N90" s="22"/>
      <c r="O90" s="12" t="str">
        <f t="shared" si="1"/>
        <v>Pendiente</v>
      </c>
    </row>
    <row r="91" spans="1:15" ht="78" customHeight="1">
      <c r="A91" s="17" t="s">
        <v>200</v>
      </c>
      <c r="B91" s="9" t="s">
        <v>108</v>
      </c>
      <c r="C91" s="9" t="s">
        <v>201</v>
      </c>
      <c r="D91" s="17"/>
      <c r="E91" s="9"/>
      <c r="F91" s="9" t="s">
        <v>1516</v>
      </c>
      <c r="G91" s="9" t="s">
        <v>24</v>
      </c>
      <c r="H91" s="9" t="s">
        <v>1547</v>
      </c>
      <c r="I91" s="13" t="s">
        <v>692</v>
      </c>
      <c r="J91" s="19"/>
      <c r="K91" s="14"/>
      <c r="L91" s="14"/>
      <c r="M91" s="14"/>
      <c r="N91" s="22"/>
      <c r="O91" s="12" t="str">
        <f t="shared" si="1"/>
        <v>Pendiente</v>
      </c>
    </row>
    <row r="92" spans="1:15" ht="78" customHeight="1">
      <c r="A92" s="17" t="s">
        <v>202</v>
      </c>
      <c r="B92" s="9" t="s">
        <v>108</v>
      </c>
      <c r="C92" s="9" t="s">
        <v>203</v>
      </c>
      <c r="D92" s="17"/>
      <c r="E92" s="9"/>
      <c r="F92" s="9" t="s">
        <v>1516</v>
      </c>
      <c r="G92" s="9" t="s">
        <v>24</v>
      </c>
      <c r="H92" s="9" t="s">
        <v>1548</v>
      </c>
      <c r="I92" s="13" t="s">
        <v>692</v>
      </c>
      <c r="J92" s="19"/>
      <c r="K92" s="14"/>
      <c r="L92" s="14"/>
      <c r="M92" s="14"/>
      <c r="N92" s="22"/>
      <c r="O92" s="12" t="str">
        <f t="shared" si="1"/>
        <v>Pendiente</v>
      </c>
    </row>
    <row r="93" spans="1:15" ht="78" customHeight="1">
      <c r="A93" s="17" t="s">
        <v>204</v>
      </c>
      <c r="B93" s="9" t="s">
        <v>108</v>
      </c>
      <c r="C93" s="9" t="s">
        <v>205</v>
      </c>
      <c r="D93" s="17"/>
      <c r="E93" s="9"/>
      <c r="F93" s="9" t="s">
        <v>1516</v>
      </c>
      <c r="G93" s="9" t="s">
        <v>24</v>
      </c>
      <c r="H93" s="9" t="s">
        <v>1549</v>
      </c>
      <c r="I93" s="13" t="s">
        <v>692</v>
      </c>
      <c r="J93" s="19"/>
      <c r="K93" s="14"/>
      <c r="L93" s="14"/>
      <c r="M93" s="14"/>
      <c r="N93" s="22"/>
      <c r="O93" s="12" t="str">
        <f t="shared" si="1"/>
        <v>Pendiente</v>
      </c>
    </row>
    <row r="94" spans="1:15" ht="78" customHeight="1">
      <c r="A94" s="17" t="s">
        <v>206</v>
      </c>
      <c r="B94" s="9" t="s">
        <v>108</v>
      </c>
      <c r="C94" s="9" t="s">
        <v>207</v>
      </c>
      <c r="D94" s="17"/>
      <c r="E94" s="9"/>
      <c r="F94" s="9" t="s">
        <v>1516</v>
      </c>
      <c r="G94" s="9" t="s">
        <v>24</v>
      </c>
      <c r="H94" s="9" t="s">
        <v>1550</v>
      </c>
      <c r="I94" s="13" t="s">
        <v>692</v>
      </c>
      <c r="J94" s="19"/>
      <c r="K94" s="14"/>
      <c r="L94" s="14"/>
      <c r="M94" s="14"/>
      <c r="N94" s="22"/>
      <c r="O94" s="12" t="str">
        <f t="shared" si="1"/>
        <v>Pendiente</v>
      </c>
    </row>
    <row r="95" spans="1:15" ht="78" customHeight="1">
      <c r="A95" s="17" t="s">
        <v>208</v>
      </c>
      <c r="B95" s="9" t="s">
        <v>108</v>
      </c>
      <c r="C95" s="9" t="s">
        <v>209</v>
      </c>
      <c r="D95" s="17"/>
      <c r="E95" s="9"/>
      <c r="F95" s="9" t="s">
        <v>1516</v>
      </c>
      <c r="G95" s="9" t="s">
        <v>24</v>
      </c>
      <c r="H95" s="9" t="s">
        <v>1551</v>
      </c>
      <c r="I95" s="13" t="s">
        <v>692</v>
      </c>
      <c r="J95" s="19"/>
      <c r="K95" s="14"/>
      <c r="L95" s="14"/>
      <c r="M95" s="14"/>
      <c r="N95" s="22"/>
      <c r="O95" s="12" t="str">
        <f t="shared" si="1"/>
        <v>Pendiente</v>
      </c>
    </row>
    <row r="96" spans="1:15" ht="78" customHeight="1">
      <c r="A96" s="17" t="s">
        <v>214</v>
      </c>
      <c r="B96" s="9" t="s">
        <v>108</v>
      </c>
      <c r="C96" s="9" t="s">
        <v>215</v>
      </c>
      <c r="D96" s="17"/>
      <c r="E96" s="9"/>
      <c r="F96" s="9" t="s">
        <v>1516</v>
      </c>
      <c r="G96" s="9" t="s">
        <v>24</v>
      </c>
      <c r="H96" s="9" t="s">
        <v>1552</v>
      </c>
      <c r="I96" s="13" t="s">
        <v>692</v>
      </c>
      <c r="J96" s="19"/>
      <c r="K96" s="14"/>
      <c r="L96" s="14"/>
      <c r="M96" s="14"/>
      <c r="N96" s="22"/>
      <c r="O96" s="12" t="str">
        <f t="shared" si="1"/>
        <v>Pendiente</v>
      </c>
    </row>
    <row r="97" spans="1:15" ht="78" customHeight="1">
      <c r="A97" s="17" t="s">
        <v>216</v>
      </c>
      <c r="B97" s="9" t="s">
        <v>108</v>
      </c>
      <c r="C97" s="9" t="s">
        <v>217</v>
      </c>
      <c r="D97" s="17"/>
      <c r="E97" s="9"/>
      <c r="F97" s="9" t="s">
        <v>1516</v>
      </c>
      <c r="G97" s="9" t="s">
        <v>24</v>
      </c>
      <c r="H97" s="9" t="s">
        <v>1553</v>
      </c>
      <c r="I97" s="13" t="s">
        <v>692</v>
      </c>
      <c r="J97" s="19"/>
      <c r="K97" s="14"/>
      <c r="L97" s="14"/>
      <c r="M97" s="14"/>
      <c r="N97" s="22"/>
      <c r="O97" s="12" t="str">
        <f t="shared" si="1"/>
        <v>Pendiente</v>
      </c>
    </row>
    <row r="98" spans="1:15" ht="78" customHeight="1">
      <c r="A98" s="17" t="s">
        <v>218</v>
      </c>
      <c r="B98" s="9" t="s">
        <v>108</v>
      </c>
      <c r="C98" s="9" t="s">
        <v>219</v>
      </c>
      <c r="D98" s="17"/>
      <c r="E98" s="9"/>
      <c r="F98" s="9" t="s">
        <v>1516</v>
      </c>
      <c r="G98" s="9" t="s">
        <v>24</v>
      </c>
      <c r="H98" s="9" t="s">
        <v>1554</v>
      </c>
      <c r="I98" s="13" t="s">
        <v>692</v>
      </c>
      <c r="J98" s="19"/>
      <c r="K98" s="14"/>
      <c r="L98" s="14"/>
      <c r="M98" s="14"/>
      <c r="N98" s="22"/>
      <c r="O98" s="12" t="str">
        <f t="shared" si="1"/>
        <v>Pendiente</v>
      </c>
    </row>
    <row r="99" spans="1:15" ht="78" customHeight="1">
      <c r="A99" s="17" t="s">
        <v>230</v>
      </c>
      <c r="B99" s="9" t="s">
        <v>108</v>
      </c>
      <c r="C99" s="9" t="s">
        <v>231</v>
      </c>
      <c r="D99" s="17"/>
      <c r="E99" s="9"/>
      <c r="F99" s="9" t="s">
        <v>1516</v>
      </c>
      <c r="G99" s="9" t="s">
        <v>24</v>
      </c>
      <c r="H99" s="9" t="s">
        <v>1555</v>
      </c>
      <c r="I99" s="13" t="s">
        <v>692</v>
      </c>
      <c r="J99" s="19"/>
      <c r="K99" s="14"/>
      <c r="L99" s="14"/>
      <c r="M99" s="14"/>
      <c r="N99" s="22"/>
      <c r="O99" s="12" t="str">
        <f t="shared" si="1"/>
        <v>Pendiente</v>
      </c>
    </row>
    <row r="100" spans="1:15" ht="78" customHeight="1">
      <c r="A100" s="17" t="s">
        <v>232</v>
      </c>
      <c r="B100" s="9" t="s">
        <v>108</v>
      </c>
      <c r="C100" s="9" t="s">
        <v>233</v>
      </c>
      <c r="D100" s="17"/>
      <c r="E100" s="9"/>
      <c r="F100" s="9" t="s">
        <v>1516</v>
      </c>
      <c r="G100" s="9" t="s">
        <v>24</v>
      </c>
      <c r="H100" s="9" t="s">
        <v>1556</v>
      </c>
      <c r="I100" s="13" t="s">
        <v>692</v>
      </c>
      <c r="J100" s="19"/>
      <c r="K100" s="14"/>
      <c r="L100" s="14"/>
      <c r="M100" s="14"/>
      <c r="N100" s="22"/>
      <c r="O100" s="12" t="str">
        <f t="shared" si="1"/>
        <v>Pendiente</v>
      </c>
    </row>
    <row r="101" spans="1:15" ht="78" customHeight="1">
      <c r="A101" s="17" t="s">
        <v>234</v>
      </c>
      <c r="B101" s="9" t="s">
        <v>108</v>
      </c>
      <c r="C101" s="9" t="s">
        <v>235</v>
      </c>
      <c r="D101" s="17"/>
      <c r="E101" s="9"/>
      <c r="F101" s="9" t="s">
        <v>1516</v>
      </c>
      <c r="G101" s="9" t="s">
        <v>24</v>
      </c>
      <c r="H101" s="9" t="s">
        <v>1557</v>
      </c>
      <c r="I101" s="13" t="s">
        <v>692</v>
      </c>
      <c r="J101" s="19"/>
      <c r="K101" s="14"/>
      <c r="L101" s="14"/>
      <c r="M101" s="14"/>
      <c r="N101" s="22"/>
      <c r="O101" s="12" t="str">
        <f t="shared" si="1"/>
        <v>Pendiente</v>
      </c>
    </row>
    <row r="102" spans="1:15" ht="78" customHeight="1">
      <c r="A102" s="17" t="s">
        <v>252</v>
      </c>
      <c r="B102" s="9" t="s">
        <v>108</v>
      </c>
      <c r="C102" s="9" t="s">
        <v>253</v>
      </c>
      <c r="D102" s="17"/>
      <c r="E102" s="9"/>
      <c r="F102" s="9" t="s">
        <v>1516</v>
      </c>
      <c r="G102" s="9" t="s">
        <v>24</v>
      </c>
      <c r="H102" s="9" t="s">
        <v>1558</v>
      </c>
      <c r="I102" s="13" t="s">
        <v>692</v>
      </c>
      <c r="J102" s="19"/>
      <c r="K102" s="14"/>
      <c r="L102" s="14"/>
      <c r="M102" s="14"/>
      <c r="N102" s="22"/>
      <c r="O102" s="12" t="str">
        <f t="shared" si="1"/>
        <v>Pendiente</v>
      </c>
    </row>
    <row r="103" spans="1:15" ht="78" customHeight="1">
      <c r="A103" s="17" t="s">
        <v>254</v>
      </c>
      <c r="B103" s="9" t="s">
        <v>108</v>
      </c>
      <c r="C103" s="9" t="s">
        <v>255</v>
      </c>
      <c r="D103" s="17"/>
      <c r="E103" s="9"/>
      <c r="F103" s="9" t="s">
        <v>1516</v>
      </c>
      <c r="G103" s="9" t="s">
        <v>24</v>
      </c>
      <c r="H103" s="9" t="s">
        <v>1559</v>
      </c>
      <c r="I103" s="13" t="s">
        <v>692</v>
      </c>
      <c r="J103" s="19"/>
      <c r="K103" s="14"/>
      <c r="L103" s="14"/>
      <c r="M103" s="14"/>
      <c r="N103" s="22"/>
      <c r="O103" s="12" t="str">
        <f t="shared" si="1"/>
        <v>Pendiente</v>
      </c>
    </row>
    <row r="104" spans="1:15" ht="78" customHeight="1">
      <c r="A104" s="17" t="s">
        <v>258</v>
      </c>
      <c r="B104" s="9" t="s">
        <v>108</v>
      </c>
      <c r="C104" s="9" t="s">
        <v>259</v>
      </c>
      <c r="D104" s="17"/>
      <c r="E104" s="9"/>
      <c r="F104" s="9" t="s">
        <v>1516</v>
      </c>
      <c r="G104" s="9" t="s">
        <v>24</v>
      </c>
      <c r="H104" s="9" t="s">
        <v>1560</v>
      </c>
      <c r="I104" s="13" t="s">
        <v>692</v>
      </c>
      <c r="J104" s="19"/>
      <c r="K104" s="14"/>
      <c r="L104" s="14"/>
      <c r="M104" s="14"/>
      <c r="N104" s="22"/>
      <c r="O104" s="12" t="str">
        <f t="shared" si="1"/>
        <v>Pendiente</v>
      </c>
    </row>
    <row r="105" spans="1:15" ht="78" customHeight="1">
      <c r="A105" s="17" t="s">
        <v>262</v>
      </c>
      <c r="B105" s="9" t="s">
        <v>108</v>
      </c>
      <c r="C105" s="9" t="s">
        <v>263</v>
      </c>
      <c r="D105" s="17"/>
      <c r="E105" s="9"/>
      <c r="F105" s="9" t="s">
        <v>1516</v>
      </c>
      <c r="G105" s="9" t="s">
        <v>24</v>
      </c>
      <c r="H105" s="9" t="s">
        <v>1561</v>
      </c>
      <c r="I105" s="13" t="s">
        <v>692</v>
      </c>
      <c r="J105" s="19"/>
      <c r="K105" s="14"/>
      <c r="L105" s="14"/>
      <c r="M105" s="14"/>
      <c r="N105" s="22"/>
      <c r="O105" s="12" t="str">
        <f t="shared" si="1"/>
        <v>Pendiente</v>
      </c>
    </row>
    <row r="106" spans="1:15" ht="78" customHeight="1">
      <c r="A106" s="17" t="s">
        <v>264</v>
      </c>
      <c r="B106" s="9" t="s">
        <v>108</v>
      </c>
      <c r="C106" s="9" t="s">
        <v>265</v>
      </c>
      <c r="D106" s="17"/>
      <c r="E106" s="9"/>
      <c r="F106" s="9" t="s">
        <v>1516</v>
      </c>
      <c r="G106" s="9" t="s">
        <v>24</v>
      </c>
      <c r="H106" s="9" t="s">
        <v>1562</v>
      </c>
      <c r="I106" s="13" t="s">
        <v>692</v>
      </c>
      <c r="J106" s="19"/>
      <c r="K106" s="14"/>
      <c r="L106" s="14"/>
      <c r="M106" s="14"/>
      <c r="N106" s="22"/>
      <c r="O106" s="12" t="str">
        <f t="shared" si="1"/>
        <v>Pendiente</v>
      </c>
    </row>
    <row r="107" spans="1:15" ht="78" customHeight="1">
      <c r="A107" s="17" t="s">
        <v>266</v>
      </c>
      <c r="B107" s="9" t="s">
        <v>108</v>
      </c>
      <c r="C107" s="9" t="s">
        <v>267</v>
      </c>
      <c r="D107" s="17"/>
      <c r="E107" s="9"/>
      <c r="F107" s="9" t="s">
        <v>1516</v>
      </c>
      <c r="G107" s="9" t="s">
        <v>24</v>
      </c>
      <c r="H107" s="9" t="s">
        <v>1563</v>
      </c>
      <c r="I107" s="13" t="s">
        <v>692</v>
      </c>
      <c r="J107" s="19"/>
      <c r="K107" s="14"/>
      <c r="L107" s="14"/>
      <c r="M107" s="14"/>
      <c r="N107" s="22"/>
      <c r="O107" s="12" t="str">
        <f t="shared" si="1"/>
        <v>Pendiente</v>
      </c>
    </row>
    <row r="108" spans="1:15" ht="78" customHeight="1">
      <c r="A108" s="17" t="s">
        <v>268</v>
      </c>
      <c r="B108" s="9" t="s">
        <v>108</v>
      </c>
      <c r="C108" s="9" t="s">
        <v>269</v>
      </c>
      <c r="D108" s="17"/>
      <c r="E108" s="9"/>
      <c r="F108" s="9" t="s">
        <v>1516</v>
      </c>
      <c r="G108" s="9" t="s">
        <v>24</v>
      </c>
      <c r="H108" s="9" t="s">
        <v>1564</v>
      </c>
      <c r="I108" s="13" t="s">
        <v>692</v>
      </c>
      <c r="J108" s="19"/>
      <c r="K108" s="14"/>
      <c r="L108" s="14"/>
      <c r="M108" s="14"/>
      <c r="N108" s="22"/>
      <c r="O108" s="12" t="str">
        <f t="shared" si="1"/>
        <v>Pendiente</v>
      </c>
    </row>
    <row r="109" spans="1:15" ht="78" customHeight="1">
      <c r="A109" s="17" t="s">
        <v>270</v>
      </c>
      <c r="B109" s="9" t="s">
        <v>108</v>
      </c>
      <c r="C109" s="9" t="s">
        <v>271</v>
      </c>
      <c r="D109" s="17"/>
      <c r="E109" s="9"/>
      <c r="F109" s="9" t="s">
        <v>1516</v>
      </c>
      <c r="G109" s="9" t="s">
        <v>24</v>
      </c>
      <c r="H109" s="9" t="s">
        <v>1565</v>
      </c>
      <c r="I109" s="13" t="s">
        <v>692</v>
      </c>
      <c r="J109" s="19"/>
      <c r="K109" s="14"/>
      <c r="L109" s="14"/>
      <c r="M109" s="14"/>
      <c r="N109" s="22"/>
      <c r="O109" s="12" t="str">
        <f t="shared" si="1"/>
        <v>Pendiente</v>
      </c>
    </row>
    <row r="110" spans="1:15" ht="78" customHeight="1">
      <c r="A110" s="17" t="s">
        <v>274</v>
      </c>
      <c r="B110" s="9" t="s">
        <v>108</v>
      </c>
      <c r="C110" s="9" t="s">
        <v>275</v>
      </c>
      <c r="D110" s="17"/>
      <c r="E110" s="9"/>
      <c r="F110" s="9" t="s">
        <v>1516</v>
      </c>
      <c r="G110" s="9" t="s">
        <v>24</v>
      </c>
      <c r="H110" s="9" t="s">
        <v>1566</v>
      </c>
      <c r="I110" s="13" t="s">
        <v>692</v>
      </c>
      <c r="J110" s="19"/>
      <c r="K110" s="14"/>
      <c r="L110" s="14"/>
      <c r="M110" s="14"/>
      <c r="N110" s="22"/>
      <c r="O110" s="12" t="str">
        <f t="shared" si="1"/>
        <v>Pendiente</v>
      </c>
    </row>
    <row r="111" spans="1:15" ht="78" customHeight="1">
      <c r="A111" s="17" t="s">
        <v>276</v>
      </c>
      <c r="B111" s="9" t="s">
        <v>108</v>
      </c>
      <c r="C111" s="9" t="s">
        <v>277</v>
      </c>
      <c r="D111" s="17"/>
      <c r="E111" s="9"/>
      <c r="F111" s="9" t="s">
        <v>1516</v>
      </c>
      <c r="G111" s="9" t="s">
        <v>24</v>
      </c>
      <c r="H111" s="9" t="s">
        <v>1567</v>
      </c>
      <c r="I111" s="13" t="s">
        <v>692</v>
      </c>
      <c r="J111" s="19"/>
      <c r="K111" s="14"/>
      <c r="L111" s="14"/>
      <c r="M111" s="14"/>
      <c r="N111" s="22"/>
      <c r="O111" s="12" t="str">
        <f t="shared" si="1"/>
        <v>Pendiente</v>
      </c>
    </row>
    <row r="112" spans="1:15" ht="78" customHeight="1">
      <c r="A112" s="17" t="s">
        <v>278</v>
      </c>
      <c r="B112" s="9" t="s">
        <v>108</v>
      </c>
      <c r="C112" s="9" t="s">
        <v>279</v>
      </c>
      <c r="D112" s="17"/>
      <c r="E112" s="9"/>
      <c r="F112" s="9" t="s">
        <v>1516</v>
      </c>
      <c r="G112" s="9" t="s">
        <v>24</v>
      </c>
      <c r="H112" s="9" t="s">
        <v>1568</v>
      </c>
      <c r="I112" s="13" t="s">
        <v>692</v>
      </c>
      <c r="J112" s="19"/>
      <c r="K112" s="14"/>
      <c r="L112" s="14"/>
      <c r="M112" s="14"/>
      <c r="N112" s="22"/>
      <c r="O112" s="12" t="str">
        <f t="shared" si="1"/>
        <v>Pendiente</v>
      </c>
    </row>
    <row r="113" spans="1:15" ht="78" customHeight="1">
      <c r="A113" s="17" t="s">
        <v>282</v>
      </c>
      <c r="B113" s="9" t="s">
        <v>108</v>
      </c>
      <c r="C113" s="9" t="s">
        <v>283</v>
      </c>
      <c r="D113" s="17"/>
      <c r="E113" s="9"/>
      <c r="F113" s="9" t="s">
        <v>1516</v>
      </c>
      <c r="G113" s="9" t="s">
        <v>24</v>
      </c>
      <c r="H113" s="9" t="s">
        <v>1569</v>
      </c>
      <c r="I113" s="13" t="s">
        <v>692</v>
      </c>
      <c r="J113" s="19"/>
      <c r="K113" s="14"/>
      <c r="L113" s="14"/>
      <c r="M113" s="14"/>
      <c r="N113" s="22"/>
      <c r="O113" s="12" t="str">
        <f t="shared" si="1"/>
        <v>Pendiente</v>
      </c>
    </row>
    <row r="114" spans="1:15" ht="78" customHeight="1">
      <c r="A114" s="17" t="s">
        <v>284</v>
      </c>
      <c r="B114" s="9" t="s">
        <v>108</v>
      </c>
      <c r="C114" s="9" t="s">
        <v>285</v>
      </c>
      <c r="D114" s="17"/>
      <c r="E114" s="9"/>
      <c r="F114" s="9" t="s">
        <v>1516</v>
      </c>
      <c r="G114" s="9" t="s">
        <v>24</v>
      </c>
      <c r="H114" s="9" t="s">
        <v>1570</v>
      </c>
      <c r="I114" s="13" t="s">
        <v>692</v>
      </c>
      <c r="J114" s="19"/>
      <c r="K114" s="14"/>
      <c r="L114" s="14"/>
      <c r="M114" s="14"/>
      <c r="N114" s="22"/>
      <c r="O114" s="12" t="str">
        <f t="shared" si="1"/>
        <v>Pendiente</v>
      </c>
    </row>
    <row r="115" spans="1:15" ht="78" customHeight="1">
      <c r="A115" s="17" t="s">
        <v>290</v>
      </c>
      <c r="B115" s="9" t="s">
        <v>108</v>
      </c>
      <c r="C115" s="9" t="s">
        <v>291</v>
      </c>
      <c r="D115" s="17"/>
      <c r="E115" s="9"/>
      <c r="F115" s="9" t="s">
        <v>1516</v>
      </c>
      <c r="G115" s="9" t="s">
        <v>24</v>
      </c>
      <c r="H115" s="9" t="s">
        <v>1571</v>
      </c>
      <c r="I115" s="13" t="s">
        <v>692</v>
      </c>
      <c r="J115" s="19"/>
      <c r="K115" s="14"/>
      <c r="L115" s="14"/>
      <c r="M115" s="14"/>
      <c r="N115" s="22"/>
      <c r="O115" s="12" t="str">
        <f t="shared" si="1"/>
        <v>Pendiente</v>
      </c>
    </row>
    <row r="116" spans="1:15" ht="78" customHeight="1">
      <c r="A116" s="17" t="s">
        <v>294</v>
      </c>
      <c r="B116" s="9" t="s">
        <v>108</v>
      </c>
      <c r="C116" s="9" t="s">
        <v>295</v>
      </c>
      <c r="D116" s="17"/>
      <c r="E116" s="9"/>
      <c r="F116" s="9" t="s">
        <v>1516</v>
      </c>
      <c r="G116" s="9" t="s">
        <v>24</v>
      </c>
      <c r="H116" s="9" t="s">
        <v>1572</v>
      </c>
      <c r="I116" s="13" t="s">
        <v>692</v>
      </c>
      <c r="J116" s="19"/>
      <c r="K116" s="14"/>
      <c r="L116" s="14"/>
      <c r="M116" s="14"/>
      <c r="N116" s="22"/>
      <c r="O116" s="12" t="str">
        <f t="shared" si="1"/>
        <v>Pendiente</v>
      </c>
    </row>
    <row r="117" spans="1:15" ht="78" customHeight="1">
      <c r="A117" s="17" t="s">
        <v>296</v>
      </c>
      <c r="B117" s="9" t="s">
        <v>108</v>
      </c>
      <c r="C117" s="9" t="s">
        <v>297</v>
      </c>
      <c r="D117" s="17"/>
      <c r="E117" s="9"/>
      <c r="F117" s="9" t="s">
        <v>1516</v>
      </c>
      <c r="G117" s="9" t="s">
        <v>24</v>
      </c>
      <c r="H117" s="9" t="s">
        <v>1573</v>
      </c>
      <c r="I117" s="13" t="s">
        <v>692</v>
      </c>
      <c r="J117" s="19"/>
      <c r="K117" s="14"/>
      <c r="L117" s="14"/>
      <c r="M117" s="14"/>
      <c r="N117" s="22"/>
      <c r="O117" s="12" t="str">
        <f t="shared" si="1"/>
        <v>Pendiente</v>
      </c>
    </row>
    <row r="118" spans="1:15" ht="78" customHeight="1">
      <c r="A118" s="17" t="s">
        <v>298</v>
      </c>
      <c r="B118" s="9" t="s">
        <v>108</v>
      </c>
      <c r="C118" s="9" t="s">
        <v>299</v>
      </c>
      <c r="D118" s="17"/>
      <c r="E118" s="9"/>
      <c r="F118" s="9" t="s">
        <v>1516</v>
      </c>
      <c r="G118" s="9" t="s">
        <v>24</v>
      </c>
      <c r="H118" s="9" t="s">
        <v>1574</v>
      </c>
      <c r="I118" s="13" t="s">
        <v>692</v>
      </c>
      <c r="J118" s="19"/>
      <c r="K118" s="14"/>
      <c r="L118" s="14"/>
      <c r="M118" s="14"/>
      <c r="N118" s="22"/>
      <c r="O118" s="12" t="str">
        <f t="shared" si="1"/>
        <v>Pendiente</v>
      </c>
    </row>
    <row r="119" spans="1:15" ht="78" customHeight="1">
      <c r="A119" s="17" t="s">
        <v>300</v>
      </c>
      <c r="B119" s="9" t="s">
        <v>108</v>
      </c>
      <c r="C119" s="9" t="s">
        <v>301</v>
      </c>
      <c r="D119" s="17"/>
      <c r="E119" s="9"/>
      <c r="F119" s="9" t="s">
        <v>1516</v>
      </c>
      <c r="G119" s="9" t="s">
        <v>24</v>
      </c>
      <c r="H119" s="9" t="s">
        <v>1575</v>
      </c>
      <c r="I119" s="13" t="s">
        <v>692</v>
      </c>
      <c r="J119" s="19"/>
      <c r="K119" s="14"/>
      <c r="L119" s="14"/>
      <c r="M119" s="14"/>
      <c r="N119" s="22"/>
      <c r="O119" s="12" t="str">
        <f t="shared" si="1"/>
        <v>Pendiente</v>
      </c>
    </row>
    <row r="120" spans="1:15" ht="78" customHeight="1">
      <c r="A120" s="17" t="s">
        <v>302</v>
      </c>
      <c r="B120" s="9" t="s">
        <v>108</v>
      </c>
      <c r="C120" s="9" t="s">
        <v>303</v>
      </c>
      <c r="D120" s="17"/>
      <c r="E120" s="9"/>
      <c r="F120" s="9" t="s">
        <v>1516</v>
      </c>
      <c r="G120" s="9" t="s">
        <v>24</v>
      </c>
      <c r="H120" s="9" t="s">
        <v>1576</v>
      </c>
      <c r="I120" s="13" t="s">
        <v>692</v>
      </c>
      <c r="J120" s="19"/>
      <c r="K120" s="14"/>
      <c r="L120" s="14"/>
      <c r="M120" s="14"/>
      <c r="N120" s="22"/>
      <c r="O120" s="12" t="str">
        <f t="shared" si="1"/>
        <v>Pendiente</v>
      </c>
    </row>
    <row r="121" spans="1:15" ht="78" customHeight="1">
      <c r="A121" s="17" t="s">
        <v>304</v>
      </c>
      <c r="B121" s="9" t="s">
        <v>108</v>
      </c>
      <c r="C121" s="9" t="s">
        <v>305</v>
      </c>
      <c r="D121" s="17"/>
      <c r="E121" s="9"/>
      <c r="F121" s="9" t="s">
        <v>1516</v>
      </c>
      <c r="G121" s="9" t="s">
        <v>24</v>
      </c>
      <c r="H121" s="9" t="s">
        <v>1577</v>
      </c>
      <c r="I121" s="13" t="s">
        <v>692</v>
      </c>
      <c r="J121" s="19"/>
      <c r="K121" s="14"/>
      <c r="L121" s="14"/>
      <c r="M121" s="14"/>
      <c r="N121" s="22"/>
      <c r="O121" s="12" t="str">
        <f t="shared" si="1"/>
        <v>Pendiente</v>
      </c>
    </row>
    <row r="122" spans="1:15" ht="78" customHeight="1">
      <c r="A122" s="17" t="s">
        <v>308</v>
      </c>
      <c r="B122" s="9" t="s">
        <v>108</v>
      </c>
      <c r="C122" s="9" t="s">
        <v>309</v>
      </c>
      <c r="D122" s="17"/>
      <c r="E122" s="9"/>
      <c r="F122" s="9" t="s">
        <v>1516</v>
      </c>
      <c r="G122" s="9" t="s">
        <v>24</v>
      </c>
      <c r="H122" s="9" t="s">
        <v>1578</v>
      </c>
      <c r="I122" s="13" t="s">
        <v>692</v>
      </c>
      <c r="J122" s="19"/>
      <c r="K122" s="14"/>
      <c r="L122" s="14"/>
      <c r="M122" s="14"/>
      <c r="N122" s="22"/>
      <c r="O122" s="12" t="str">
        <f t="shared" si="1"/>
        <v>Pendiente</v>
      </c>
    </row>
    <row r="123" spans="1:15" ht="78" customHeight="1">
      <c r="A123" s="17" t="s">
        <v>312</v>
      </c>
      <c r="B123" s="9" t="s">
        <v>108</v>
      </c>
      <c r="C123" s="9" t="s">
        <v>313</v>
      </c>
      <c r="D123" s="17"/>
      <c r="E123" s="9"/>
      <c r="F123" s="9" t="s">
        <v>1516</v>
      </c>
      <c r="G123" s="9" t="s">
        <v>24</v>
      </c>
      <c r="H123" s="9" t="s">
        <v>1579</v>
      </c>
      <c r="I123" s="13" t="s">
        <v>692</v>
      </c>
      <c r="J123" s="19"/>
      <c r="K123" s="14"/>
      <c r="L123" s="14"/>
      <c r="M123" s="14"/>
      <c r="N123" s="22"/>
      <c r="O123" s="12" t="str">
        <f t="shared" si="1"/>
        <v>Pendiente</v>
      </c>
    </row>
    <row r="124" spans="1:15" ht="78" customHeight="1">
      <c r="A124" s="17" t="s">
        <v>322</v>
      </c>
      <c r="B124" s="9" t="s">
        <v>108</v>
      </c>
      <c r="C124" s="9" t="s">
        <v>323</v>
      </c>
      <c r="D124" s="17"/>
      <c r="E124" s="9"/>
      <c r="F124" s="9" t="s">
        <v>1516</v>
      </c>
      <c r="G124" s="9" t="s">
        <v>24</v>
      </c>
      <c r="H124" s="9" t="s">
        <v>1580</v>
      </c>
      <c r="I124" s="13" t="s">
        <v>692</v>
      </c>
      <c r="J124" s="19"/>
      <c r="K124" s="14"/>
      <c r="L124" s="14"/>
      <c r="M124" s="14"/>
      <c r="N124" s="22"/>
      <c r="O124" s="12" t="str">
        <f t="shared" si="1"/>
        <v>Pendiente</v>
      </c>
    </row>
    <row r="125" spans="1:15" ht="78" customHeight="1">
      <c r="A125" s="17" t="s">
        <v>324</v>
      </c>
      <c r="B125" s="9" t="s">
        <v>108</v>
      </c>
      <c r="C125" s="9" t="s">
        <v>325</v>
      </c>
      <c r="D125" s="17"/>
      <c r="E125" s="9"/>
      <c r="F125" s="9" t="s">
        <v>1516</v>
      </c>
      <c r="G125" s="9" t="s">
        <v>24</v>
      </c>
      <c r="H125" s="9" t="s">
        <v>1581</v>
      </c>
      <c r="I125" s="13" t="s">
        <v>692</v>
      </c>
      <c r="J125" s="19"/>
      <c r="K125" s="14"/>
      <c r="L125" s="14"/>
      <c r="M125" s="14"/>
      <c r="N125" s="22"/>
      <c r="O125" s="12" t="str">
        <f t="shared" si="1"/>
        <v>Pendiente</v>
      </c>
    </row>
    <row r="126" spans="1:15" ht="78" customHeight="1">
      <c r="A126" s="17" t="s">
        <v>326</v>
      </c>
      <c r="B126" s="9" t="s">
        <v>108</v>
      </c>
      <c r="C126" s="9" t="s">
        <v>327</v>
      </c>
      <c r="D126" s="17"/>
      <c r="E126" s="9"/>
      <c r="F126" s="9" t="s">
        <v>1516</v>
      </c>
      <c r="G126" s="9" t="s">
        <v>24</v>
      </c>
      <c r="H126" s="9" t="s">
        <v>1582</v>
      </c>
      <c r="I126" s="13" t="s">
        <v>692</v>
      </c>
      <c r="J126" s="19"/>
      <c r="K126" s="14"/>
      <c r="L126" s="14"/>
      <c r="M126" s="14"/>
      <c r="N126" s="22"/>
      <c r="O126" s="12" t="str">
        <f t="shared" si="1"/>
        <v>Pendiente</v>
      </c>
    </row>
    <row r="127" spans="1:15" ht="78" customHeight="1">
      <c r="A127" s="17" t="s">
        <v>328</v>
      </c>
      <c r="B127" s="9" t="s">
        <v>108</v>
      </c>
      <c r="C127" s="9" t="s">
        <v>329</v>
      </c>
      <c r="D127" s="17"/>
      <c r="E127" s="9"/>
      <c r="F127" s="9" t="s">
        <v>1516</v>
      </c>
      <c r="G127" s="9" t="s">
        <v>24</v>
      </c>
      <c r="H127" s="9" t="s">
        <v>1583</v>
      </c>
      <c r="I127" s="13" t="s">
        <v>692</v>
      </c>
      <c r="J127" s="19"/>
      <c r="K127" s="14"/>
      <c r="L127" s="14"/>
      <c r="M127" s="14"/>
      <c r="N127" s="22"/>
      <c r="O127" s="12" t="str">
        <f t="shared" si="1"/>
        <v>Pendiente</v>
      </c>
    </row>
    <row r="128" spans="1:15" ht="78" customHeight="1">
      <c r="A128" s="17" t="s">
        <v>330</v>
      </c>
      <c r="B128" s="9" t="s">
        <v>108</v>
      </c>
      <c r="C128" s="9" t="s">
        <v>331</v>
      </c>
      <c r="D128" s="17"/>
      <c r="E128" s="9"/>
      <c r="F128" s="9" t="s">
        <v>1516</v>
      </c>
      <c r="G128" s="9" t="s">
        <v>24</v>
      </c>
      <c r="H128" s="9" t="s">
        <v>1584</v>
      </c>
      <c r="I128" s="13" t="s">
        <v>692</v>
      </c>
      <c r="J128" s="19"/>
      <c r="K128" s="14"/>
      <c r="L128" s="14"/>
      <c r="M128" s="14"/>
      <c r="N128" s="22"/>
      <c r="O128" s="12" t="str">
        <f t="shared" si="1"/>
        <v>Pendiente</v>
      </c>
    </row>
    <row r="129" spans="1:15" ht="78" customHeight="1">
      <c r="A129" s="17" t="s">
        <v>334</v>
      </c>
      <c r="B129" s="9" t="s">
        <v>108</v>
      </c>
      <c r="C129" s="9" t="s">
        <v>335</v>
      </c>
      <c r="D129" s="17"/>
      <c r="E129" s="9"/>
      <c r="F129" s="9" t="s">
        <v>1516</v>
      </c>
      <c r="G129" s="9" t="s">
        <v>24</v>
      </c>
      <c r="H129" s="9" t="s">
        <v>1585</v>
      </c>
      <c r="I129" s="13" t="s">
        <v>692</v>
      </c>
      <c r="J129" s="19"/>
      <c r="K129" s="14"/>
      <c r="L129" s="14"/>
      <c r="M129" s="14"/>
      <c r="N129" s="22"/>
      <c r="O129" s="12" t="str">
        <f t="shared" si="1"/>
        <v>Pendiente</v>
      </c>
    </row>
    <row r="130" spans="1:15" ht="78" customHeight="1">
      <c r="A130" s="17" t="s">
        <v>336</v>
      </c>
      <c r="B130" s="9" t="s">
        <v>108</v>
      </c>
      <c r="C130" s="9" t="s">
        <v>337</v>
      </c>
      <c r="D130" s="17"/>
      <c r="E130" s="9"/>
      <c r="F130" s="9" t="s">
        <v>1516</v>
      </c>
      <c r="G130" s="9" t="s">
        <v>24</v>
      </c>
      <c r="H130" s="9" t="s">
        <v>1586</v>
      </c>
      <c r="I130" s="13" t="s">
        <v>692</v>
      </c>
      <c r="J130" s="19"/>
      <c r="K130" s="14"/>
      <c r="L130" s="14"/>
      <c r="M130" s="14"/>
      <c r="N130" s="22"/>
      <c r="O130" s="12" t="str">
        <f t="shared" si="1"/>
        <v>Pendiente</v>
      </c>
    </row>
    <row r="131" spans="1:15" ht="78" customHeight="1">
      <c r="A131" s="17" t="s">
        <v>338</v>
      </c>
      <c r="B131" s="9" t="s">
        <v>108</v>
      </c>
      <c r="C131" s="9" t="s">
        <v>339</v>
      </c>
      <c r="D131" s="17"/>
      <c r="E131" s="9"/>
      <c r="F131" s="9" t="s">
        <v>1516</v>
      </c>
      <c r="G131" s="9" t="s">
        <v>24</v>
      </c>
      <c r="H131" s="9" t="s">
        <v>1587</v>
      </c>
      <c r="I131" s="13" t="s">
        <v>692</v>
      </c>
      <c r="J131" s="19"/>
      <c r="K131" s="14"/>
      <c r="L131" s="14"/>
      <c r="M131" s="14"/>
      <c r="N131" s="22"/>
      <c r="O131" s="12" t="str">
        <f t="shared" si="1"/>
        <v>Pendiente</v>
      </c>
    </row>
    <row r="132" spans="1:15" ht="78" customHeight="1">
      <c r="A132" s="17" t="s">
        <v>340</v>
      </c>
      <c r="B132" s="9" t="s">
        <v>108</v>
      </c>
      <c r="C132" s="9" t="s">
        <v>341</v>
      </c>
      <c r="D132" s="17"/>
      <c r="E132" s="9"/>
      <c r="F132" s="9" t="s">
        <v>1516</v>
      </c>
      <c r="G132" s="9" t="s">
        <v>24</v>
      </c>
      <c r="H132" s="9" t="s">
        <v>1588</v>
      </c>
      <c r="I132" s="13" t="s">
        <v>692</v>
      </c>
      <c r="J132" s="19"/>
      <c r="K132" s="14"/>
      <c r="L132" s="14"/>
      <c r="M132" s="14"/>
      <c r="N132" s="22"/>
      <c r="O132" s="12" t="str">
        <f t="shared" si="1"/>
        <v>Pendiente</v>
      </c>
    </row>
    <row r="133" spans="1:15" ht="78" customHeight="1">
      <c r="A133" s="17" t="s">
        <v>342</v>
      </c>
      <c r="B133" s="9" t="s">
        <v>108</v>
      </c>
      <c r="C133" s="9" t="s">
        <v>343</v>
      </c>
      <c r="D133" s="17"/>
      <c r="E133" s="9"/>
      <c r="F133" s="9" t="s">
        <v>1516</v>
      </c>
      <c r="G133" s="9" t="s">
        <v>24</v>
      </c>
      <c r="H133" s="9" t="s">
        <v>1589</v>
      </c>
      <c r="I133" s="13" t="s">
        <v>692</v>
      </c>
      <c r="J133" s="19"/>
      <c r="K133" s="14"/>
      <c r="L133" s="14"/>
      <c r="M133" s="14"/>
      <c r="N133" s="22"/>
      <c r="O133" s="12" t="str">
        <f t="shared" si="1"/>
        <v>Pendiente</v>
      </c>
    </row>
    <row r="134" spans="1:15" ht="78" customHeight="1">
      <c r="A134" s="17" t="s">
        <v>344</v>
      </c>
      <c r="B134" s="9" t="s">
        <v>108</v>
      </c>
      <c r="C134" s="9" t="s">
        <v>345</v>
      </c>
      <c r="D134" s="17"/>
      <c r="E134" s="9"/>
      <c r="F134" s="9" t="s">
        <v>1516</v>
      </c>
      <c r="G134" s="9" t="s">
        <v>24</v>
      </c>
      <c r="H134" s="9" t="s">
        <v>1590</v>
      </c>
      <c r="I134" s="13" t="s">
        <v>692</v>
      </c>
      <c r="J134" s="19"/>
      <c r="K134" s="14"/>
      <c r="L134" s="14"/>
      <c r="M134" s="14"/>
      <c r="N134" s="22"/>
      <c r="O134" s="12" t="str">
        <f t="shared" si="1"/>
        <v>Pendiente</v>
      </c>
    </row>
    <row r="135" spans="1:15" ht="78" customHeight="1">
      <c r="A135" s="17" t="s">
        <v>348</v>
      </c>
      <c r="B135" s="9" t="s">
        <v>108</v>
      </c>
      <c r="C135" s="9" t="s">
        <v>349</v>
      </c>
      <c r="D135" s="17"/>
      <c r="E135" s="9"/>
      <c r="F135" s="9" t="s">
        <v>1516</v>
      </c>
      <c r="G135" s="9" t="s">
        <v>24</v>
      </c>
      <c r="H135" s="9" t="s">
        <v>1591</v>
      </c>
      <c r="I135" s="13" t="s">
        <v>692</v>
      </c>
      <c r="J135" s="19"/>
      <c r="K135" s="14"/>
      <c r="L135" s="14"/>
      <c r="M135" s="14"/>
      <c r="N135" s="22"/>
      <c r="O135" s="12" t="str">
        <f t="shared" si="1"/>
        <v>Pendiente</v>
      </c>
    </row>
    <row r="136" spans="1:15" ht="78" customHeight="1">
      <c r="A136" s="17" t="s">
        <v>350</v>
      </c>
      <c r="B136" s="9" t="s">
        <v>108</v>
      </c>
      <c r="C136" s="9" t="s">
        <v>351</v>
      </c>
      <c r="D136" s="17"/>
      <c r="E136" s="9"/>
      <c r="F136" s="9" t="s">
        <v>1516</v>
      </c>
      <c r="G136" s="9" t="s">
        <v>24</v>
      </c>
      <c r="H136" s="9" t="s">
        <v>1592</v>
      </c>
      <c r="I136" s="13" t="s">
        <v>692</v>
      </c>
      <c r="J136" s="19"/>
      <c r="K136" s="14"/>
      <c r="L136" s="14"/>
      <c r="M136" s="14"/>
      <c r="N136" s="22"/>
      <c r="O136" s="12" t="str">
        <f t="shared" ref="O136:O199" si="2">IF(I136="Pendiente","Pendiente",IF(I136="Equivalente confirmado",IF(OR(J136="",K136=""),"Falta código o nombre",IF(OR(L136="",M136=""),"Falta validación",IF(OR(NOT(ISNUMBER(N136)),N136&lt;=0),"Falta fecha","Homologado"))),IF(I136="Sin equivalente en AVAIN",IF(OR(J136&lt;&gt;"",K136&lt;&gt;""),"Quitar código y nombre",IF(OR(L136="",M136=""),"Falta validación",IF(OR(NOT(ISNUMBER(N136)),N136&lt;=0),"Falta fecha","Sin equivalente confirmado"))),"Revisar decisión")))</f>
        <v>Pendiente</v>
      </c>
    </row>
    <row r="137" spans="1:15" ht="78" customHeight="1">
      <c r="A137" s="17" t="s">
        <v>352</v>
      </c>
      <c r="B137" s="9" t="s">
        <v>108</v>
      </c>
      <c r="C137" s="9" t="s">
        <v>353</v>
      </c>
      <c r="D137" s="17"/>
      <c r="E137" s="9"/>
      <c r="F137" s="9" t="s">
        <v>1516</v>
      </c>
      <c r="G137" s="9" t="s">
        <v>24</v>
      </c>
      <c r="H137" s="9" t="s">
        <v>1593</v>
      </c>
      <c r="I137" s="13" t="s">
        <v>692</v>
      </c>
      <c r="J137" s="19"/>
      <c r="K137" s="14"/>
      <c r="L137" s="14"/>
      <c r="M137" s="14"/>
      <c r="N137" s="22"/>
      <c r="O137" s="12" t="str">
        <f t="shared" si="2"/>
        <v>Pendiente</v>
      </c>
    </row>
    <row r="138" spans="1:15" ht="78" customHeight="1">
      <c r="A138" s="17" t="s">
        <v>361</v>
      </c>
      <c r="B138" s="9" t="s">
        <v>357</v>
      </c>
      <c r="C138" s="9" t="s">
        <v>362</v>
      </c>
      <c r="D138" s="17"/>
      <c r="E138" s="9"/>
      <c r="F138" s="9" t="s">
        <v>1516</v>
      </c>
      <c r="G138" s="9" t="s">
        <v>24</v>
      </c>
      <c r="H138" s="9" t="s">
        <v>1594</v>
      </c>
      <c r="I138" s="13" t="s">
        <v>692</v>
      </c>
      <c r="J138" s="19"/>
      <c r="K138" s="14"/>
      <c r="L138" s="14"/>
      <c r="M138" s="14"/>
      <c r="N138" s="22"/>
      <c r="O138" s="12" t="str">
        <f t="shared" si="2"/>
        <v>Pendiente</v>
      </c>
    </row>
    <row r="139" spans="1:15" ht="78" customHeight="1">
      <c r="A139" s="17" t="s">
        <v>373</v>
      </c>
      <c r="B139" s="9" t="s">
        <v>357</v>
      </c>
      <c r="C139" s="9" t="s">
        <v>374</v>
      </c>
      <c r="D139" s="17"/>
      <c r="E139" s="9"/>
      <c r="F139" s="9" t="s">
        <v>1516</v>
      </c>
      <c r="G139" s="9" t="s">
        <v>24</v>
      </c>
      <c r="H139" s="9" t="s">
        <v>1595</v>
      </c>
      <c r="I139" s="13" t="s">
        <v>692</v>
      </c>
      <c r="J139" s="19"/>
      <c r="K139" s="14"/>
      <c r="L139" s="14"/>
      <c r="M139" s="14"/>
      <c r="N139" s="22"/>
      <c r="O139" s="12" t="str">
        <f t="shared" si="2"/>
        <v>Pendiente</v>
      </c>
    </row>
    <row r="140" spans="1:15" ht="78" customHeight="1">
      <c r="A140" s="17" t="s">
        <v>401</v>
      </c>
      <c r="B140" s="9" t="s">
        <v>357</v>
      </c>
      <c r="C140" s="9" t="s">
        <v>402</v>
      </c>
      <c r="D140" s="17"/>
      <c r="E140" s="9"/>
      <c r="F140" s="9" t="s">
        <v>1516</v>
      </c>
      <c r="G140" s="9" t="s">
        <v>24</v>
      </c>
      <c r="H140" s="9" t="s">
        <v>1596</v>
      </c>
      <c r="I140" s="13" t="s">
        <v>692</v>
      </c>
      <c r="J140" s="19"/>
      <c r="K140" s="14"/>
      <c r="L140" s="14"/>
      <c r="M140" s="14"/>
      <c r="N140" s="22"/>
      <c r="O140" s="12" t="str">
        <f t="shared" si="2"/>
        <v>Pendiente</v>
      </c>
    </row>
    <row r="141" spans="1:15" ht="78" customHeight="1">
      <c r="A141" s="17" t="s">
        <v>403</v>
      </c>
      <c r="B141" s="9" t="s">
        <v>357</v>
      </c>
      <c r="C141" s="9" t="s">
        <v>404</v>
      </c>
      <c r="D141" s="17"/>
      <c r="E141" s="9"/>
      <c r="F141" s="9" t="s">
        <v>1516</v>
      </c>
      <c r="G141" s="9" t="s">
        <v>24</v>
      </c>
      <c r="H141" s="9" t="s">
        <v>1597</v>
      </c>
      <c r="I141" s="13" t="s">
        <v>692</v>
      </c>
      <c r="J141" s="19"/>
      <c r="K141" s="14"/>
      <c r="L141" s="14"/>
      <c r="M141" s="14"/>
      <c r="N141" s="22"/>
      <c r="O141" s="12" t="str">
        <f t="shared" si="2"/>
        <v>Pendiente</v>
      </c>
    </row>
    <row r="142" spans="1:15" ht="78" customHeight="1">
      <c r="A142" s="17" t="s">
        <v>407</v>
      </c>
      <c r="B142" s="9" t="s">
        <v>357</v>
      </c>
      <c r="C142" s="9" t="s">
        <v>408</v>
      </c>
      <c r="D142" s="17"/>
      <c r="E142" s="9"/>
      <c r="F142" s="9" t="s">
        <v>1516</v>
      </c>
      <c r="G142" s="9" t="s">
        <v>24</v>
      </c>
      <c r="H142" s="9" t="s">
        <v>1598</v>
      </c>
      <c r="I142" s="13" t="s">
        <v>692</v>
      </c>
      <c r="J142" s="19"/>
      <c r="K142" s="14"/>
      <c r="L142" s="14"/>
      <c r="M142" s="14"/>
      <c r="N142" s="22"/>
      <c r="O142" s="12" t="str">
        <f t="shared" si="2"/>
        <v>Pendiente</v>
      </c>
    </row>
    <row r="143" spans="1:15" ht="78" customHeight="1">
      <c r="A143" s="17" t="s">
        <v>409</v>
      </c>
      <c r="B143" s="9" t="s">
        <v>357</v>
      </c>
      <c r="C143" s="9" t="s">
        <v>410</v>
      </c>
      <c r="D143" s="17"/>
      <c r="E143" s="9"/>
      <c r="F143" s="9" t="s">
        <v>1516</v>
      </c>
      <c r="G143" s="9" t="s">
        <v>24</v>
      </c>
      <c r="H143" s="9" t="s">
        <v>1599</v>
      </c>
      <c r="I143" s="13" t="s">
        <v>692</v>
      </c>
      <c r="J143" s="19"/>
      <c r="K143" s="14"/>
      <c r="L143" s="14"/>
      <c r="M143" s="14"/>
      <c r="N143" s="22"/>
      <c r="O143" s="12" t="str">
        <f t="shared" si="2"/>
        <v>Pendiente</v>
      </c>
    </row>
    <row r="144" spans="1:15" ht="78" customHeight="1">
      <c r="A144" s="17" t="s">
        <v>413</v>
      </c>
      <c r="B144" s="9" t="s">
        <v>357</v>
      </c>
      <c r="C144" s="9" t="s">
        <v>414</v>
      </c>
      <c r="D144" s="17"/>
      <c r="E144" s="9"/>
      <c r="F144" s="9" t="s">
        <v>1516</v>
      </c>
      <c r="G144" s="9" t="s">
        <v>24</v>
      </c>
      <c r="H144" s="9" t="s">
        <v>1600</v>
      </c>
      <c r="I144" s="13" t="s">
        <v>692</v>
      </c>
      <c r="J144" s="19"/>
      <c r="K144" s="14"/>
      <c r="L144" s="14"/>
      <c r="M144" s="14"/>
      <c r="N144" s="22"/>
      <c r="O144" s="12" t="str">
        <f t="shared" si="2"/>
        <v>Pendiente</v>
      </c>
    </row>
    <row r="145" spans="1:15" ht="78" customHeight="1">
      <c r="A145" s="17" t="s">
        <v>415</v>
      </c>
      <c r="B145" s="9" t="s">
        <v>357</v>
      </c>
      <c r="C145" s="9" t="s">
        <v>416</v>
      </c>
      <c r="D145" s="17"/>
      <c r="E145" s="9"/>
      <c r="F145" s="9" t="s">
        <v>1516</v>
      </c>
      <c r="G145" s="9" t="s">
        <v>24</v>
      </c>
      <c r="H145" s="9" t="s">
        <v>1601</v>
      </c>
      <c r="I145" s="13" t="s">
        <v>692</v>
      </c>
      <c r="J145" s="19"/>
      <c r="K145" s="14"/>
      <c r="L145" s="14"/>
      <c r="M145" s="14"/>
      <c r="N145" s="22"/>
      <c r="O145" s="12" t="str">
        <f t="shared" si="2"/>
        <v>Pendiente</v>
      </c>
    </row>
    <row r="146" spans="1:15" ht="78" customHeight="1">
      <c r="A146" s="17" t="s">
        <v>423</v>
      </c>
      <c r="B146" s="9" t="s">
        <v>357</v>
      </c>
      <c r="C146" s="9" t="s">
        <v>424</v>
      </c>
      <c r="D146" s="17"/>
      <c r="E146" s="9"/>
      <c r="F146" s="9" t="s">
        <v>1516</v>
      </c>
      <c r="G146" s="9" t="s">
        <v>24</v>
      </c>
      <c r="H146" s="9" t="s">
        <v>1602</v>
      </c>
      <c r="I146" s="13" t="s">
        <v>692</v>
      </c>
      <c r="J146" s="19"/>
      <c r="K146" s="14"/>
      <c r="L146" s="14"/>
      <c r="M146" s="14"/>
      <c r="N146" s="22"/>
      <c r="O146" s="12" t="str">
        <f t="shared" si="2"/>
        <v>Pendiente</v>
      </c>
    </row>
    <row r="147" spans="1:15" ht="78" customHeight="1">
      <c r="A147" s="17" t="s">
        <v>435</v>
      </c>
      <c r="B147" s="9" t="s">
        <v>357</v>
      </c>
      <c r="C147" s="9" t="s">
        <v>436</v>
      </c>
      <c r="D147" s="17"/>
      <c r="E147" s="9"/>
      <c r="F147" s="9" t="s">
        <v>1516</v>
      </c>
      <c r="G147" s="9" t="s">
        <v>24</v>
      </c>
      <c r="H147" s="9" t="s">
        <v>1603</v>
      </c>
      <c r="I147" s="13" t="s">
        <v>692</v>
      </c>
      <c r="J147" s="19"/>
      <c r="K147" s="14"/>
      <c r="L147" s="14"/>
      <c r="M147" s="14"/>
      <c r="N147" s="22"/>
      <c r="O147" s="12" t="str">
        <f t="shared" si="2"/>
        <v>Pendiente</v>
      </c>
    </row>
    <row r="148" spans="1:15" ht="78" customHeight="1">
      <c r="A148" s="17" t="s">
        <v>437</v>
      </c>
      <c r="B148" s="9" t="s">
        <v>357</v>
      </c>
      <c r="C148" s="9" t="s">
        <v>438</v>
      </c>
      <c r="D148" s="17"/>
      <c r="E148" s="9"/>
      <c r="F148" s="9" t="s">
        <v>1516</v>
      </c>
      <c r="G148" s="9" t="s">
        <v>24</v>
      </c>
      <c r="H148" s="9" t="s">
        <v>1604</v>
      </c>
      <c r="I148" s="13" t="s">
        <v>692</v>
      </c>
      <c r="J148" s="19"/>
      <c r="K148" s="14"/>
      <c r="L148" s="14"/>
      <c r="M148" s="14"/>
      <c r="N148" s="22"/>
      <c r="O148" s="12" t="str">
        <f t="shared" si="2"/>
        <v>Pendiente</v>
      </c>
    </row>
    <row r="149" spans="1:15" ht="78" customHeight="1">
      <c r="A149" s="17" t="s">
        <v>441</v>
      </c>
      <c r="B149" s="9" t="s">
        <v>357</v>
      </c>
      <c r="C149" s="9" t="s">
        <v>442</v>
      </c>
      <c r="D149" s="17"/>
      <c r="E149" s="9"/>
      <c r="F149" s="9" t="s">
        <v>1516</v>
      </c>
      <c r="G149" s="9" t="s">
        <v>24</v>
      </c>
      <c r="H149" s="9" t="s">
        <v>1605</v>
      </c>
      <c r="I149" s="13" t="s">
        <v>692</v>
      </c>
      <c r="J149" s="19"/>
      <c r="K149" s="14"/>
      <c r="L149" s="14"/>
      <c r="M149" s="14"/>
      <c r="N149" s="22"/>
      <c r="O149" s="12" t="str">
        <f t="shared" si="2"/>
        <v>Pendiente</v>
      </c>
    </row>
    <row r="150" spans="1:15" ht="78" customHeight="1">
      <c r="A150" s="17" t="s">
        <v>443</v>
      </c>
      <c r="B150" s="9" t="s">
        <v>357</v>
      </c>
      <c r="C150" s="9" t="s">
        <v>444</v>
      </c>
      <c r="D150" s="17"/>
      <c r="E150" s="9"/>
      <c r="F150" s="9" t="s">
        <v>1516</v>
      </c>
      <c r="G150" s="9" t="s">
        <v>24</v>
      </c>
      <c r="H150" s="9" t="s">
        <v>1606</v>
      </c>
      <c r="I150" s="13" t="s">
        <v>692</v>
      </c>
      <c r="J150" s="19"/>
      <c r="K150" s="14"/>
      <c r="L150" s="14"/>
      <c r="M150" s="14"/>
      <c r="N150" s="22"/>
      <c r="O150" s="12" t="str">
        <f t="shared" si="2"/>
        <v>Pendiente</v>
      </c>
    </row>
    <row r="151" spans="1:15" ht="78" customHeight="1">
      <c r="A151" s="17" t="s">
        <v>447</v>
      </c>
      <c r="B151" s="9" t="s">
        <v>357</v>
      </c>
      <c r="C151" s="9" t="s">
        <v>448</v>
      </c>
      <c r="D151" s="17"/>
      <c r="E151" s="9"/>
      <c r="F151" s="9" t="s">
        <v>1516</v>
      </c>
      <c r="G151" s="9" t="s">
        <v>24</v>
      </c>
      <c r="H151" s="9" t="s">
        <v>1607</v>
      </c>
      <c r="I151" s="13" t="s">
        <v>692</v>
      </c>
      <c r="J151" s="19"/>
      <c r="K151" s="14"/>
      <c r="L151" s="14"/>
      <c r="M151" s="14"/>
      <c r="N151" s="22"/>
      <c r="O151" s="12" t="str">
        <f t="shared" si="2"/>
        <v>Pendiente</v>
      </c>
    </row>
    <row r="152" spans="1:15" ht="78" customHeight="1">
      <c r="A152" s="17" t="s">
        <v>449</v>
      </c>
      <c r="B152" s="9" t="s">
        <v>357</v>
      </c>
      <c r="C152" s="9" t="s">
        <v>450</v>
      </c>
      <c r="D152" s="17"/>
      <c r="E152" s="9"/>
      <c r="F152" s="9" t="s">
        <v>1516</v>
      </c>
      <c r="G152" s="9" t="s">
        <v>24</v>
      </c>
      <c r="H152" s="9" t="s">
        <v>1608</v>
      </c>
      <c r="I152" s="13" t="s">
        <v>692</v>
      </c>
      <c r="J152" s="19"/>
      <c r="K152" s="14"/>
      <c r="L152" s="14"/>
      <c r="M152" s="14"/>
      <c r="N152" s="22"/>
      <c r="O152" s="12" t="str">
        <f t="shared" si="2"/>
        <v>Pendiente</v>
      </c>
    </row>
    <row r="153" spans="1:15" ht="78" customHeight="1">
      <c r="A153" s="17" t="s">
        <v>451</v>
      </c>
      <c r="B153" s="9" t="s">
        <v>357</v>
      </c>
      <c r="C153" s="9" t="s">
        <v>452</v>
      </c>
      <c r="D153" s="17"/>
      <c r="E153" s="9"/>
      <c r="F153" s="9" t="s">
        <v>1516</v>
      </c>
      <c r="G153" s="9" t="s">
        <v>24</v>
      </c>
      <c r="H153" s="9" t="s">
        <v>1609</v>
      </c>
      <c r="I153" s="13" t="s">
        <v>692</v>
      </c>
      <c r="J153" s="19"/>
      <c r="K153" s="14"/>
      <c r="L153" s="14"/>
      <c r="M153" s="14"/>
      <c r="N153" s="22"/>
      <c r="O153" s="12" t="str">
        <f t="shared" si="2"/>
        <v>Pendiente</v>
      </c>
    </row>
    <row r="154" spans="1:15" ht="78" customHeight="1">
      <c r="A154" s="17" t="s">
        <v>463</v>
      </c>
      <c r="B154" s="9" t="s">
        <v>464</v>
      </c>
      <c r="C154" s="9" t="s">
        <v>465</v>
      </c>
      <c r="D154" s="17"/>
      <c r="E154" s="9"/>
      <c r="F154" s="9" t="s">
        <v>1516</v>
      </c>
      <c r="G154" s="9" t="s">
        <v>24</v>
      </c>
      <c r="H154" s="9" t="s">
        <v>1610</v>
      </c>
      <c r="I154" s="13" t="s">
        <v>692</v>
      </c>
      <c r="J154" s="19"/>
      <c r="K154" s="14"/>
      <c r="L154" s="14"/>
      <c r="M154" s="14"/>
      <c r="N154" s="22"/>
      <c r="O154" s="12" t="str">
        <f t="shared" si="2"/>
        <v>Pendiente</v>
      </c>
    </row>
    <row r="155" spans="1:15" ht="78" customHeight="1">
      <c r="A155" s="17" t="s">
        <v>466</v>
      </c>
      <c r="B155" s="9" t="s">
        <v>464</v>
      </c>
      <c r="C155" s="9" t="s">
        <v>467</v>
      </c>
      <c r="D155" s="17"/>
      <c r="E155" s="9"/>
      <c r="F155" s="9" t="s">
        <v>1516</v>
      </c>
      <c r="G155" s="9" t="s">
        <v>24</v>
      </c>
      <c r="H155" s="9" t="s">
        <v>1611</v>
      </c>
      <c r="I155" s="13" t="s">
        <v>692</v>
      </c>
      <c r="J155" s="19"/>
      <c r="K155" s="14"/>
      <c r="L155" s="14"/>
      <c r="M155" s="14"/>
      <c r="N155" s="22"/>
      <c r="O155" s="12" t="str">
        <f t="shared" si="2"/>
        <v>Pendiente</v>
      </c>
    </row>
    <row r="156" spans="1:15" ht="78" customHeight="1">
      <c r="A156" s="17" t="s">
        <v>468</v>
      </c>
      <c r="B156" s="9" t="s">
        <v>464</v>
      </c>
      <c r="C156" s="9" t="s">
        <v>469</v>
      </c>
      <c r="D156" s="17"/>
      <c r="E156" s="9"/>
      <c r="F156" s="9" t="s">
        <v>1516</v>
      </c>
      <c r="G156" s="9" t="s">
        <v>24</v>
      </c>
      <c r="H156" s="9" t="s">
        <v>1612</v>
      </c>
      <c r="I156" s="13" t="s">
        <v>692</v>
      </c>
      <c r="J156" s="19"/>
      <c r="K156" s="14"/>
      <c r="L156" s="14"/>
      <c r="M156" s="14"/>
      <c r="N156" s="22"/>
      <c r="O156" s="12" t="str">
        <f t="shared" si="2"/>
        <v>Pendiente</v>
      </c>
    </row>
    <row r="157" spans="1:15" ht="78" customHeight="1">
      <c r="A157" s="17" t="s">
        <v>470</v>
      </c>
      <c r="B157" s="9" t="s">
        <v>464</v>
      </c>
      <c r="C157" s="9" t="s">
        <v>471</v>
      </c>
      <c r="D157" s="17"/>
      <c r="E157" s="9"/>
      <c r="F157" s="9" t="s">
        <v>1516</v>
      </c>
      <c r="G157" s="9" t="s">
        <v>24</v>
      </c>
      <c r="H157" s="9" t="s">
        <v>1613</v>
      </c>
      <c r="I157" s="13" t="s">
        <v>692</v>
      </c>
      <c r="J157" s="19"/>
      <c r="K157" s="14"/>
      <c r="L157" s="14"/>
      <c r="M157" s="14"/>
      <c r="N157" s="22"/>
      <c r="O157" s="12" t="str">
        <f t="shared" si="2"/>
        <v>Pendiente</v>
      </c>
    </row>
    <row r="158" spans="1:15" ht="78" customHeight="1">
      <c r="A158" s="17" t="s">
        <v>472</v>
      </c>
      <c r="B158" s="9" t="s">
        <v>464</v>
      </c>
      <c r="C158" s="9" t="s">
        <v>473</v>
      </c>
      <c r="D158" s="17"/>
      <c r="E158" s="9"/>
      <c r="F158" s="9" t="s">
        <v>1516</v>
      </c>
      <c r="G158" s="9" t="s">
        <v>24</v>
      </c>
      <c r="H158" s="9" t="s">
        <v>1614</v>
      </c>
      <c r="I158" s="13" t="s">
        <v>692</v>
      </c>
      <c r="J158" s="19"/>
      <c r="K158" s="14"/>
      <c r="L158" s="14"/>
      <c r="M158" s="14"/>
      <c r="N158" s="22"/>
      <c r="O158" s="12" t="str">
        <f t="shared" si="2"/>
        <v>Pendiente</v>
      </c>
    </row>
    <row r="159" spans="1:15" ht="78" customHeight="1">
      <c r="A159" s="17" t="s">
        <v>476</v>
      </c>
      <c r="B159" s="9" t="s">
        <v>464</v>
      </c>
      <c r="C159" s="9" t="s">
        <v>477</v>
      </c>
      <c r="D159" s="17"/>
      <c r="E159" s="9"/>
      <c r="F159" s="9" t="s">
        <v>1516</v>
      </c>
      <c r="G159" s="9" t="s">
        <v>24</v>
      </c>
      <c r="H159" s="9" t="s">
        <v>1615</v>
      </c>
      <c r="I159" s="13" t="s">
        <v>692</v>
      </c>
      <c r="J159" s="19"/>
      <c r="K159" s="14"/>
      <c r="L159" s="14"/>
      <c r="M159" s="14"/>
      <c r="N159" s="22"/>
      <c r="O159" s="12" t="str">
        <f t="shared" si="2"/>
        <v>Pendiente</v>
      </c>
    </row>
    <row r="160" spans="1:15" ht="78" customHeight="1">
      <c r="A160" s="17" t="s">
        <v>478</v>
      </c>
      <c r="B160" s="9" t="s">
        <v>464</v>
      </c>
      <c r="C160" s="9" t="s">
        <v>479</v>
      </c>
      <c r="D160" s="17"/>
      <c r="E160" s="9"/>
      <c r="F160" s="9" t="s">
        <v>1516</v>
      </c>
      <c r="G160" s="9" t="s">
        <v>24</v>
      </c>
      <c r="H160" s="9" t="s">
        <v>1616</v>
      </c>
      <c r="I160" s="13" t="s">
        <v>692</v>
      </c>
      <c r="J160" s="19"/>
      <c r="K160" s="14"/>
      <c r="L160" s="14"/>
      <c r="M160" s="14"/>
      <c r="N160" s="22"/>
      <c r="O160" s="12" t="str">
        <f t="shared" si="2"/>
        <v>Pendiente</v>
      </c>
    </row>
    <row r="161" spans="1:15" ht="78" customHeight="1">
      <c r="A161" s="17" t="s">
        <v>480</v>
      </c>
      <c r="B161" s="9" t="s">
        <v>464</v>
      </c>
      <c r="C161" s="9" t="s">
        <v>481</v>
      </c>
      <c r="D161" s="17"/>
      <c r="E161" s="9"/>
      <c r="F161" s="9" t="s">
        <v>1516</v>
      </c>
      <c r="G161" s="9" t="s">
        <v>24</v>
      </c>
      <c r="H161" s="9" t="s">
        <v>1617</v>
      </c>
      <c r="I161" s="13" t="s">
        <v>692</v>
      </c>
      <c r="J161" s="19"/>
      <c r="K161" s="14"/>
      <c r="L161" s="14"/>
      <c r="M161" s="14"/>
      <c r="N161" s="22"/>
      <c r="O161" s="12" t="str">
        <f t="shared" si="2"/>
        <v>Pendiente</v>
      </c>
    </row>
    <row r="162" spans="1:15" ht="78" customHeight="1">
      <c r="A162" s="17" t="s">
        <v>482</v>
      </c>
      <c r="B162" s="9" t="s">
        <v>464</v>
      </c>
      <c r="C162" s="9" t="s">
        <v>483</v>
      </c>
      <c r="D162" s="17"/>
      <c r="E162" s="9"/>
      <c r="F162" s="9" t="s">
        <v>1516</v>
      </c>
      <c r="G162" s="9" t="s">
        <v>24</v>
      </c>
      <c r="H162" s="9" t="s">
        <v>1618</v>
      </c>
      <c r="I162" s="13" t="s">
        <v>692</v>
      </c>
      <c r="J162" s="19"/>
      <c r="K162" s="14"/>
      <c r="L162" s="14"/>
      <c r="M162" s="14"/>
      <c r="N162" s="22"/>
      <c r="O162" s="12" t="str">
        <f t="shared" si="2"/>
        <v>Pendiente</v>
      </c>
    </row>
    <row r="163" spans="1:15" ht="78" customHeight="1">
      <c r="A163" s="17" t="s">
        <v>484</v>
      </c>
      <c r="B163" s="9" t="s">
        <v>464</v>
      </c>
      <c r="C163" s="9" t="s">
        <v>485</v>
      </c>
      <c r="D163" s="17"/>
      <c r="E163" s="9"/>
      <c r="F163" s="9" t="s">
        <v>1516</v>
      </c>
      <c r="G163" s="9" t="s">
        <v>24</v>
      </c>
      <c r="H163" s="9" t="s">
        <v>1619</v>
      </c>
      <c r="I163" s="13" t="s">
        <v>692</v>
      </c>
      <c r="J163" s="19"/>
      <c r="K163" s="14"/>
      <c r="L163" s="14"/>
      <c r="M163" s="14"/>
      <c r="N163" s="22"/>
      <c r="O163" s="12" t="str">
        <f t="shared" si="2"/>
        <v>Pendiente</v>
      </c>
    </row>
    <row r="164" spans="1:15" ht="78" customHeight="1">
      <c r="A164" s="17" t="s">
        <v>486</v>
      </c>
      <c r="B164" s="9" t="s">
        <v>464</v>
      </c>
      <c r="C164" s="9" t="s">
        <v>487</v>
      </c>
      <c r="D164" s="17"/>
      <c r="E164" s="9"/>
      <c r="F164" s="9" t="s">
        <v>1516</v>
      </c>
      <c r="G164" s="9" t="s">
        <v>24</v>
      </c>
      <c r="H164" s="9" t="s">
        <v>1620</v>
      </c>
      <c r="I164" s="13" t="s">
        <v>692</v>
      </c>
      <c r="J164" s="19"/>
      <c r="K164" s="14"/>
      <c r="L164" s="14"/>
      <c r="M164" s="14"/>
      <c r="N164" s="22"/>
      <c r="O164" s="12" t="str">
        <f t="shared" si="2"/>
        <v>Pendiente</v>
      </c>
    </row>
    <row r="165" spans="1:15" ht="78" customHeight="1">
      <c r="A165" s="17" t="s">
        <v>488</v>
      </c>
      <c r="B165" s="9" t="s">
        <v>464</v>
      </c>
      <c r="C165" s="9" t="s">
        <v>489</v>
      </c>
      <c r="D165" s="17"/>
      <c r="E165" s="9"/>
      <c r="F165" s="9" t="s">
        <v>1516</v>
      </c>
      <c r="G165" s="9" t="s">
        <v>24</v>
      </c>
      <c r="H165" s="9" t="s">
        <v>1621</v>
      </c>
      <c r="I165" s="13" t="s">
        <v>692</v>
      </c>
      <c r="J165" s="19"/>
      <c r="K165" s="14"/>
      <c r="L165" s="14"/>
      <c r="M165" s="14"/>
      <c r="N165" s="22"/>
      <c r="O165" s="12" t="str">
        <f t="shared" si="2"/>
        <v>Pendiente</v>
      </c>
    </row>
    <row r="166" spans="1:15" ht="78" customHeight="1">
      <c r="A166" s="17" t="s">
        <v>490</v>
      </c>
      <c r="B166" s="9" t="s">
        <v>464</v>
      </c>
      <c r="C166" s="9" t="s">
        <v>491</v>
      </c>
      <c r="D166" s="17"/>
      <c r="E166" s="9"/>
      <c r="F166" s="9" t="s">
        <v>1516</v>
      </c>
      <c r="G166" s="9" t="s">
        <v>24</v>
      </c>
      <c r="H166" s="9" t="s">
        <v>1622</v>
      </c>
      <c r="I166" s="13" t="s">
        <v>692</v>
      </c>
      <c r="J166" s="19"/>
      <c r="K166" s="14"/>
      <c r="L166" s="14"/>
      <c r="M166" s="14"/>
      <c r="N166" s="22"/>
      <c r="O166" s="12" t="str">
        <f t="shared" si="2"/>
        <v>Pendiente</v>
      </c>
    </row>
    <row r="167" spans="1:15" ht="78" customHeight="1">
      <c r="A167" s="17" t="s">
        <v>492</v>
      </c>
      <c r="B167" s="9" t="s">
        <v>464</v>
      </c>
      <c r="C167" s="9" t="s">
        <v>493</v>
      </c>
      <c r="D167" s="17"/>
      <c r="E167" s="9"/>
      <c r="F167" s="9" t="s">
        <v>1516</v>
      </c>
      <c r="G167" s="9" t="s">
        <v>24</v>
      </c>
      <c r="H167" s="9" t="s">
        <v>1623</v>
      </c>
      <c r="I167" s="13" t="s">
        <v>692</v>
      </c>
      <c r="J167" s="19"/>
      <c r="K167" s="14"/>
      <c r="L167" s="14"/>
      <c r="M167" s="14"/>
      <c r="N167" s="22"/>
      <c r="O167" s="12" t="str">
        <f t="shared" si="2"/>
        <v>Pendiente</v>
      </c>
    </row>
    <row r="168" spans="1:15" ht="78" customHeight="1">
      <c r="A168" s="17" t="s">
        <v>494</v>
      </c>
      <c r="B168" s="9" t="s">
        <v>464</v>
      </c>
      <c r="C168" s="9" t="s">
        <v>495</v>
      </c>
      <c r="D168" s="17"/>
      <c r="E168" s="9"/>
      <c r="F168" s="9" t="s">
        <v>1516</v>
      </c>
      <c r="G168" s="9" t="s">
        <v>24</v>
      </c>
      <c r="H168" s="9" t="s">
        <v>1624</v>
      </c>
      <c r="I168" s="13" t="s">
        <v>692</v>
      </c>
      <c r="J168" s="19"/>
      <c r="K168" s="14"/>
      <c r="L168" s="14"/>
      <c r="M168" s="14"/>
      <c r="N168" s="22"/>
      <c r="O168" s="12" t="str">
        <f t="shared" si="2"/>
        <v>Pendiente</v>
      </c>
    </row>
    <row r="169" spans="1:15" ht="78" customHeight="1">
      <c r="A169" s="17" t="s">
        <v>496</v>
      </c>
      <c r="B169" s="9" t="s">
        <v>464</v>
      </c>
      <c r="C169" s="9" t="s">
        <v>497</v>
      </c>
      <c r="D169" s="17"/>
      <c r="E169" s="9"/>
      <c r="F169" s="9" t="s">
        <v>1516</v>
      </c>
      <c r="G169" s="9" t="s">
        <v>24</v>
      </c>
      <c r="H169" s="9" t="s">
        <v>1625</v>
      </c>
      <c r="I169" s="13" t="s">
        <v>692</v>
      </c>
      <c r="J169" s="19"/>
      <c r="K169" s="14"/>
      <c r="L169" s="14"/>
      <c r="M169" s="14"/>
      <c r="N169" s="22"/>
      <c r="O169" s="12" t="str">
        <f t="shared" si="2"/>
        <v>Pendiente</v>
      </c>
    </row>
    <row r="170" spans="1:15" ht="78" customHeight="1">
      <c r="A170" s="17" t="s">
        <v>498</v>
      </c>
      <c r="B170" s="9" t="s">
        <v>464</v>
      </c>
      <c r="C170" s="9" t="s">
        <v>499</v>
      </c>
      <c r="D170" s="17"/>
      <c r="E170" s="9"/>
      <c r="F170" s="9" t="s">
        <v>1516</v>
      </c>
      <c r="G170" s="9" t="s">
        <v>24</v>
      </c>
      <c r="H170" s="9" t="s">
        <v>1626</v>
      </c>
      <c r="I170" s="13" t="s">
        <v>692</v>
      </c>
      <c r="J170" s="19"/>
      <c r="K170" s="14"/>
      <c r="L170" s="14"/>
      <c r="M170" s="14"/>
      <c r="N170" s="22"/>
      <c r="O170" s="12" t="str">
        <f t="shared" si="2"/>
        <v>Pendiente</v>
      </c>
    </row>
    <row r="171" spans="1:15" ht="78" customHeight="1">
      <c r="A171" s="17" t="s">
        <v>500</v>
      </c>
      <c r="B171" s="9" t="s">
        <v>464</v>
      </c>
      <c r="C171" s="9" t="s">
        <v>501</v>
      </c>
      <c r="D171" s="17"/>
      <c r="E171" s="9"/>
      <c r="F171" s="9" t="s">
        <v>1516</v>
      </c>
      <c r="G171" s="9" t="s">
        <v>24</v>
      </c>
      <c r="H171" s="9" t="s">
        <v>1627</v>
      </c>
      <c r="I171" s="13" t="s">
        <v>692</v>
      </c>
      <c r="J171" s="19"/>
      <c r="K171" s="14"/>
      <c r="L171" s="14"/>
      <c r="M171" s="14"/>
      <c r="N171" s="22"/>
      <c r="O171" s="12" t="str">
        <f t="shared" si="2"/>
        <v>Pendiente</v>
      </c>
    </row>
    <row r="172" spans="1:15" ht="78" customHeight="1">
      <c r="A172" s="17" t="s">
        <v>502</v>
      </c>
      <c r="B172" s="9" t="s">
        <v>464</v>
      </c>
      <c r="C172" s="9" t="s">
        <v>503</v>
      </c>
      <c r="D172" s="17"/>
      <c r="E172" s="9"/>
      <c r="F172" s="9" t="s">
        <v>1516</v>
      </c>
      <c r="G172" s="9" t="s">
        <v>24</v>
      </c>
      <c r="H172" s="9" t="s">
        <v>1628</v>
      </c>
      <c r="I172" s="13" t="s">
        <v>692</v>
      </c>
      <c r="J172" s="19"/>
      <c r="K172" s="14"/>
      <c r="L172" s="14"/>
      <c r="M172" s="14"/>
      <c r="N172" s="22"/>
      <c r="O172" s="12" t="str">
        <f t="shared" si="2"/>
        <v>Pendiente</v>
      </c>
    </row>
    <row r="173" spans="1:15" ht="78" customHeight="1">
      <c r="A173" s="17" t="s">
        <v>504</v>
      </c>
      <c r="B173" s="9" t="s">
        <v>464</v>
      </c>
      <c r="C173" s="9" t="s">
        <v>505</v>
      </c>
      <c r="D173" s="17"/>
      <c r="E173" s="9"/>
      <c r="F173" s="9" t="s">
        <v>1516</v>
      </c>
      <c r="G173" s="9" t="s">
        <v>24</v>
      </c>
      <c r="H173" s="9" t="s">
        <v>1629</v>
      </c>
      <c r="I173" s="13" t="s">
        <v>692</v>
      </c>
      <c r="J173" s="19"/>
      <c r="K173" s="14"/>
      <c r="L173" s="14"/>
      <c r="M173" s="14"/>
      <c r="N173" s="22"/>
      <c r="O173" s="12" t="str">
        <f t="shared" si="2"/>
        <v>Pendiente</v>
      </c>
    </row>
    <row r="174" spans="1:15" ht="78" customHeight="1">
      <c r="A174" s="17" t="s">
        <v>506</v>
      </c>
      <c r="B174" s="9" t="s">
        <v>464</v>
      </c>
      <c r="C174" s="9" t="s">
        <v>507</v>
      </c>
      <c r="D174" s="17"/>
      <c r="E174" s="9"/>
      <c r="F174" s="9" t="s">
        <v>1516</v>
      </c>
      <c r="G174" s="9" t="s">
        <v>24</v>
      </c>
      <c r="H174" s="9" t="s">
        <v>1630</v>
      </c>
      <c r="I174" s="13" t="s">
        <v>692</v>
      </c>
      <c r="J174" s="19"/>
      <c r="K174" s="14"/>
      <c r="L174" s="14"/>
      <c r="M174" s="14"/>
      <c r="N174" s="22"/>
      <c r="O174" s="12" t="str">
        <f t="shared" si="2"/>
        <v>Pendiente</v>
      </c>
    </row>
    <row r="175" spans="1:15" ht="78" customHeight="1">
      <c r="A175" s="17" t="s">
        <v>508</v>
      </c>
      <c r="B175" s="9" t="s">
        <v>464</v>
      </c>
      <c r="C175" s="9" t="s">
        <v>509</v>
      </c>
      <c r="D175" s="17"/>
      <c r="E175" s="9"/>
      <c r="F175" s="9" t="s">
        <v>1516</v>
      </c>
      <c r="G175" s="9" t="s">
        <v>24</v>
      </c>
      <c r="H175" s="9" t="s">
        <v>1631</v>
      </c>
      <c r="I175" s="13" t="s">
        <v>692</v>
      </c>
      <c r="J175" s="19"/>
      <c r="K175" s="14"/>
      <c r="L175" s="14"/>
      <c r="M175" s="14"/>
      <c r="N175" s="22"/>
      <c r="O175" s="12" t="str">
        <f t="shared" si="2"/>
        <v>Pendiente</v>
      </c>
    </row>
    <row r="176" spans="1:15" ht="78" customHeight="1">
      <c r="A176" s="17" t="s">
        <v>510</v>
      </c>
      <c r="B176" s="9" t="s">
        <v>464</v>
      </c>
      <c r="C176" s="9" t="s">
        <v>511</v>
      </c>
      <c r="D176" s="17"/>
      <c r="E176" s="9"/>
      <c r="F176" s="9" t="s">
        <v>1516</v>
      </c>
      <c r="G176" s="9" t="s">
        <v>24</v>
      </c>
      <c r="H176" s="9" t="s">
        <v>1632</v>
      </c>
      <c r="I176" s="13" t="s">
        <v>692</v>
      </c>
      <c r="J176" s="19"/>
      <c r="K176" s="14"/>
      <c r="L176" s="14"/>
      <c r="M176" s="14"/>
      <c r="N176" s="22"/>
      <c r="O176" s="12" t="str">
        <f t="shared" si="2"/>
        <v>Pendiente</v>
      </c>
    </row>
    <row r="177" spans="1:15" ht="78" customHeight="1">
      <c r="A177" s="17" t="s">
        <v>512</v>
      </c>
      <c r="B177" s="9" t="s">
        <v>464</v>
      </c>
      <c r="C177" s="9" t="s">
        <v>513</v>
      </c>
      <c r="D177" s="17"/>
      <c r="E177" s="9"/>
      <c r="F177" s="9" t="s">
        <v>1516</v>
      </c>
      <c r="G177" s="9" t="s">
        <v>24</v>
      </c>
      <c r="H177" s="9" t="s">
        <v>1633</v>
      </c>
      <c r="I177" s="13" t="s">
        <v>692</v>
      </c>
      <c r="J177" s="19"/>
      <c r="K177" s="14"/>
      <c r="L177" s="14"/>
      <c r="M177" s="14"/>
      <c r="N177" s="22"/>
      <c r="O177" s="12" t="str">
        <f t="shared" si="2"/>
        <v>Pendiente</v>
      </c>
    </row>
    <row r="178" spans="1:15" ht="78" customHeight="1">
      <c r="A178" s="17" t="s">
        <v>514</v>
      </c>
      <c r="B178" s="9" t="s">
        <v>464</v>
      </c>
      <c r="C178" s="9" t="s">
        <v>515</v>
      </c>
      <c r="D178" s="17"/>
      <c r="E178" s="9"/>
      <c r="F178" s="9" t="s">
        <v>1516</v>
      </c>
      <c r="G178" s="9" t="s">
        <v>24</v>
      </c>
      <c r="H178" s="9" t="s">
        <v>1634</v>
      </c>
      <c r="I178" s="13" t="s">
        <v>692</v>
      </c>
      <c r="J178" s="19"/>
      <c r="K178" s="14"/>
      <c r="L178" s="14"/>
      <c r="M178" s="14"/>
      <c r="N178" s="22"/>
      <c r="O178" s="12" t="str">
        <f t="shared" si="2"/>
        <v>Pendiente</v>
      </c>
    </row>
    <row r="179" spans="1:15" ht="78" customHeight="1">
      <c r="A179" s="17" t="s">
        <v>516</v>
      </c>
      <c r="B179" s="9" t="s">
        <v>464</v>
      </c>
      <c r="C179" s="9" t="s">
        <v>517</v>
      </c>
      <c r="D179" s="17"/>
      <c r="E179" s="9"/>
      <c r="F179" s="9" t="s">
        <v>1516</v>
      </c>
      <c r="G179" s="9" t="s">
        <v>24</v>
      </c>
      <c r="H179" s="9" t="s">
        <v>1635</v>
      </c>
      <c r="I179" s="13" t="s">
        <v>692</v>
      </c>
      <c r="J179" s="19"/>
      <c r="K179" s="14"/>
      <c r="L179" s="14"/>
      <c r="M179" s="14"/>
      <c r="N179" s="22"/>
      <c r="O179" s="12" t="str">
        <f t="shared" si="2"/>
        <v>Pendiente</v>
      </c>
    </row>
    <row r="180" spans="1:15" ht="78" customHeight="1">
      <c r="A180" s="17" t="s">
        <v>518</v>
      </c>
      <c r="B180" s="9" t="s">
        <v>464</v>
      </c>
      <c r="C180" s="9" t="s">
        <v>519</v>
      </c>
      <c r="D180" s="17"/>
      <c r="E180" s="9"/>
      <c r="F180" s="9" t="s">
        <v>1516</v>
      </c>
      <c r="G180" s="9" t="s">
        <v>24</v>
      </c>
      <c r="H180" s="9" t="s">
        <v>1636</v>
      </c>
      <c r="I180" s="13" t="s">
        <v>692</v>
      </c>
      <c r="J180" s="19"/>
      <c r="K180" s="14"/>
      <c r="L180" s="14"/>
      <c r="M180" s="14"/>
      <c r="N180" s="22"/>
      <c r="O180" s="12" t="str">
        <f t="shared" si="2"/>
        <v>Pendiente</v>
      </c>
    </row>
    <row r="181" spans="1:15" ht="78" customHeight="1">
      <c r="A181" s="17" t="s">
        <v>520</v>
      </c>
      <c r="B181" s="9" t="s">
        <v>464</v>
      </c>
      <c r="C181" s="9" t="s">
        <v>521</v>
      </c>
      <c r="D181" s="17"/>
      <c r="E181" s="9"/>
      <c r="F181" s="9" t="s">
        <v>1516</v>
      </c>
      <c r="G181" s="9" t="s">
        <v>24</v>
      </c>
      <c r="H181" s="9" t="s">
        <v>1637</v>
      </c>
      <c r="I181" s="13" t="s">
        <v>692</v>
      </c>
      <c r="J181" s="19"/>
      <c r="K181" s="14"/>
      <c r="L181" s="14"/>
      <c r="M181" s="14"/>
      <c r="N181" s="22"/>
      <c r="O181" s="12" t="str">
        <f t="shared" si="2"/>
        <v>Pendiente</v>
      </c>
    </row>
    <row r="182" spans="1:15" ht="78" customHeight="1">
      <c r="A182" s="17" t="s">
        <v>528</v>
      </c>
      <c r="B182" s="9" t="s">
        <v>464</v>
      </c>
      <c r="C182" s="9" t="s">
        <v>529</v>
      </c>
      <c r="D182" s="17"/>
      <c r="E182" s="9"/>
      <c r="F182" s="9" t="s">
        <v>1516</v>
      </c>
      <c r="G182" s="9" t="s">
        <v>24</v>
      </c>
      <c r="H182" s="9" t="s">
        <v>1638</v>
      </c>
      <c r="I182" s="13" t="s">
        <v>692</v>
      </c>
      <c r="J182" s="19"/>
      <c r="K182" s="14"/>
      <c r="L182" s="14"/>
      <c r="M182" s="14"/>
      <c r="N182" s="22"/>
      <c r="O182" s="12" t="str">
        <f t="shared" si="2"/>
        <v>Pendiente</v>
      </c>
    </row>
    <row r="183" spans="1:15" ht="78" customHeight="1">
      <c r="A183" s="17" t="s">
        <v>530</v>
      </c>
      <c r="B183" s="9" t="s">
        <v>464</v>
      </c>
      <c r="C183" s="9" t="s">
        <v>531</v>
      </c>
      <c r="D183" s="17"/>
      <c r="E183" s="9"/>
      <c r="F183" s="9" t="s">
        <v>1516</v>
      </c>
      <c r="G183" s="9" t="s">
        <v>24</v>
      </c>
      <c r="H183" s="9" t="s">
        <v>1639</v>
      </c>
      <c r="I183" s="13" t="s">
        <v>692</v>
      </c>
      <c r="J183" s="19"/>
      <c r="K183" s="14"/>
      <c r="L183" s="14"/>
      <c r="M183" s="14"/>
      <c r="N183" s="22"/>
      <c r="O183" s="12" t="str">
        <f t="shared" si="2"/>
        <v>Pendiente</v>
      </c>
    </row>
    <row r="184" spans="1:15" ht="78" customHeight="1">
      <c r="A184" s="17" t="s">
        <v>532</v>
      </c>
      <c r="B184" s="9" t="s">
        <v>464</v>
      </c>
      <c r="C184" s="9" t="s">
        <v>533</v>
      </c>
      <c r="D184" s="17"/>
      <c r="E184" s="9"/>
      <c r="F184" s="9" t="s">
        <v>1516</v>
      </c>
      <c r="G184" s="9" t="s">
        <v>24</v>
      </c>
      <c r="H184" s="9" t="s">
        <v>1640</v>
      </c>
      <c r="I184" s="13" t="s">
        <v>692</v>
      </c>
      <c r="J184" s="19"/>
      <c r="K184" s="14"/>
      <c r="L184" s="14"/>
      <c r="M184" s="14"/>
      <c r="N184" s="22"/>
      <c r="O184" s="12" t="str">
        <f t="shared" si="2"/>
        <v>Pendiente</v>
      </c>
    </row>
    <row r="185" spans="1:15" ht="78" customHeight="1">
      <c r="A185" s="17" t="s">
        <v>534</v>
      </c>
      <c r="B185" s="9" t="s">
        <v>464</v>
      </c>
      <c r="C185" s="9" t="s">
        <v>535</v>
      </c>
      <c r="D185" s="17"/>
      <c r="E185" s="9"/>
      <c r="F185" s="9" t="s">
        <v>1516</v>
      </c>
      <c r="G185" s="9" t="s">
        <v>24</v>
      </c>
      <c r="H185" s="9" t="s">
        <v>1641</v>
      </c>
      <c r="I185" s="13" t="s">
        <v>692</v>
      </c>
      <c r="J185" s="19"/>
      <c r="K185" s="14"/>
      <c r="L185" s="14"/>
      <c r="M185" s="14"/>
      <c r="N185" s="22"/>
      <c r="O185" s="12" t="str">
        <f t="shared" si="2"/>
        <v>Pendiente</v>
      </c>
    </row>
    <row r="186" spans="1:15" ht="78" customHeight="1">
      <c r="A186" s="17" t="s">
        <v>536</v>
      </c>
      <c r="B186" s="9" t="s">
        <v>537</v>
      </c>
      <c r="C186" s="9" t="s">
        <v>538</v>
      </c>
      <c r="D186" s="17"/>
      <c r="E186" s="9"/>
      <c r="F186" s="9" t="s">
        <v>1516</v>
      </c>
      <c r="G186" s="9" t="s">
        <v>24</v>
      </c>
      <c r="H186" s="9" t="s">
        <v>1642</v>
      </c>
      <c r="I186" s="13" t="s">
        <v>692</v>
      </c>
      <c r="J186" s="19"/>
      <c r="K186" s="14"/>
      <c r="L186" s="14"/>
      <c r="M186" s="14"/>
      <c r="N186" s="22"/>
      <c r="O186" s="12" t="str">
        <f t="shared" si="2"/>
        <v>Pendiente</v>
      </c>
    </row>
    <row r="187" spans="1:15" ht="78" customHeight="1">
      <c r="A187" s="17" t="s">
        <v>543</v>
      </c>
      <c r="B187" s="9" t="s">
        <v>537</v>
      </c>
      <c r="C187" s="9" t="s">
        <v>544</v>
      </c>
      <c r="D187" s="17"/>
      <c r="E187" s="9"/>
      <c r="F187" s="9" t="s">
        <v>1516</v>
      </c>
      <c r="G187" s="9" t="s">
        <v>24</v>
      </c>
      <c r="H187" s="9" t="s">
        <v>1643</v>
      </c>
      <c r="I187" s="13" t="s">
        <v>692</v>
      </c>
      <c r="J187" s="19"/>
      <c r="K187" s="14"/>
      <c r="L187" s="14"/>
      <c r="M187" s="14"/>
      <c r="N187" s="22"/>
      <c r="O187" s="12" t="str">
        <f t="shared" si="2"/>
        <v>Pendiente</v>
      </c>
    </row>
    <row r="188" spans="1:15" ht="78" customHeight="1">
      <c r="A188" s="17" t="s">
        <v>545</v>
      </c>
      <c r="B188" s="9" t="s">
        <v>537</v>
      </c>
      <c r="C188" s="9" t="s">
        <v>442</v>
      </c>
      <c r="D188" s="17"/>
      <c r="E188" s="9"/>
      <c r="F188" s="9" t="s">
        <v>1516</v>
      </c>
      <c r="G188" s="9" t="s">
        <v>24</v>
      </c>
      <c r="H188" s="9" t="s">
        <v>1644</v>
      </c>
      <c r="I188" s="13" t="s">
        <v>692</v>
      </c>
      <c r="J188" s="19"/>
      <c r="K188" s="14"/>
      <c r="L188" s="14"/>
      <c r="M188" s="14"/>
      <c r="N188" s="22"/>
      <c r="O188" s="12" t="str">
        <f t="shared" si="2"/>
        <v>Pendiente</v>
      </c>
    </row>
    <row r="189" spans="1:15" ht="78" customHeight="1">
      <c r="A189" s="17" t="s">
        <v>548</v>
      </c>
      <c r="B189" s="9" t="s">
        <v>537</v>
      </c>
      <c r="C189" s="9" t="s">
        <v>509</v>
      </c>
      <c r="D189" s="17"/>
      <c r="E189" s="9"/>
      <c r="F189" s="9" t="s">
        <v>1516</v>
      </c>
      <c r="G189" s="9" t="s">
        <v>24</v>
      </c>
      <c r="H189" s="9" t="s">
        <v>1645</v>
      </c>
      <c r="I189" s="13" t="s">
        <v>692</v>
      </c>
      <c r="J189" s="19"/>
      <c r="K189" s="14"/>
      <c r="L189" s="14"/>
      <c r="M189" s="14"/>
      <c r="N189" s="22"/>
      <c r="O189" s="12" t="str">
        <f t="shared" si="2"/>
        <v>Pendiente</v>
      </c>
    </row>
    <row r="190" spans="1:15" ht="78" customHeight="1">
      <c r="A190" s="17" t="s">
        <v>549</v>
      </c>
      <c r="B190" s="9" t="s">
        <v>537</v>
      </c>
      <c r="C190" s="9" t="s">
        <v>550</v>
      </c>
      <c r="D190" s="17"/>
      <c r="E190" s="9"/>
      <c r="F190" s="9" t="s">
        <v>1516</v>
      </c>
      <c r="G190" s="9" t="s">
        <v>24</v>
      </c>
      <c r="H190" s="9" t="s">
        <v>1646</v>
      </c>
      <c r="I190" s="13" t="s">
        <v>692</v>
      </c>
      <c r="J190" s="19"/>
      <c r="K190" s="14"/>
      <c r="L190" s="14"/>
      <c r="M190" s="14"/>
      <c r="N190" s="22"/>
      <c r="O190" s="12" t="str">
        <f t="shared" si="2"/>
        <v>Pendiente</v>
      </c>
    </row>
    <row r="191" spans="1:15" ht="78" customHeight="1">
      <c r="A191" s="17" t="s">
        <v>551</v>
      </c>
      <c r="B191" s="9" t="s">
        <v>537</v>
      </c>
      <c r="C191" s="9" t="s">
        <v>552</v>
      </c>
      <c r="D191" s="17"/>
      <c r="E191" s="9"/>
      <c r="F191" s="9" t="s">
        <v>1516</v>
      </c>
      <c r="G191" s="9" t="s">
        <v>24</v>
      </c>
      <c r="H191" s="9" t="s">
        <v>1647</v>
      </c>
      <c r="I191" s="13" t="s">
        <v>692</v>
      </c>
      <c r="J191" s="19"/>
      <c r="K191" s="14"/>
      <c r="L191" s="14"/>
      <c r="M191" s="14"/>
      <c r="N191" s="22"/>
      <c r="O191" s="12" t="str">
        <f t="shared" si="2"/>
        <v>Pendiente</v>
      </c>
    </row>
    <row r="192" spans="1:15" ht="78" customHeight="1">
      <c r="A192" s="17" t="s">
        <v>553</v>
      </c>
      <c r="B192" s="9" t="s">
        <v>537</v>
      </c>
      <c r="C192" s="9" t="s">
        <v>511</v>
      </c>
      <c r="D192" s="17"/>
      <c r="E192" s="9"/>
      <c r="F192" s="9" t="s">
        <v>1516</v>
      </c>
      <c r="G192" s="9" t="s">
        <v>24</v>
      </c>
      <c r="H192" s="9" t="s">
        <v>1648</v>
      </c>
      <c r="I192" s="13" t="s">
        <v>692</v>
      </c>
      <c r="J192" s="19"/>
      <c r="K192" s="14"/>
      <c r="L192" s="14"/>
      <c r="M192" s="14"/>
      <c r="N192" s="22"/>
      <c r="O192" s="12" t="str">
        <f t="shared" si="2"/>
        <v>Pendiente</v>
      </c>
    </row>
    <row r="193" spans="1:15" ht="78" customHeight="1">
      <c r="A193" s="17" t="s">
        <v>554</v>
      </c>
      <c r="B193" s="9" t="s">
        <v>537</v>
      </c>
      <c r="C193" s="9" t="s">
        <v>555</v>
      </c>
      <c r="D193" s="17"/>
      <c r="E193" s="9"/>
      <c r="F193" s="9" t="s">
        <v>1516</v>
      </c>
      <c r="G193" s="9" t="s">
        <v>24</v>
      </c>
      <c r="H193" s="9" t="s">
        <v>1649</v>
      </c>
      <c r="I193" s="13" t="s">
        <v>692</v>
      </c>
      <c r="J193" s="19"/>
      <c r="K193" s="14"/>
      <c r="L193" s="14"/>
      <c r="M193" s="14"/>
      <c r="N193" s="22"/>
      <c r="O193" s="12" t="str">
        <f t="shared" si="2"/>
        <v>Pendiente</v>
      </c>
    </row>
    <row r="194" spans="1:15" ht="78" customHeight="1">
      <c r="A194" s="17" t="s">
        <v>558</v>
      </c>
      <c r="B194" s="9" t="s">
        <v>537</v>
      </c>
      <c r="C194" s="9" t="s">
        <v>559</v>
      </c>
      <c r="D194" s="17"/>
      <c r="E194" s="9"/>
      <c r="F194" s="9" t="s">
        <v>1516</v>
      </c>
      <c r="G194" s="9" t="s">
        <v>24</v>
      </c>
      <c r="H194" s="9" t="s">
        <v>1650</v>
      </c>
      <c r="I194" s="13" t="s">
        <v>692</v>
      </c>
      <c r="J194" s="19"/>
      <c r="K194" s="14"/>
      <c r="L194" s="14"/>
      <c r="M194" s="14"/>
      <c r="N194" s="22"/>
      <c r="O194" s="12" t="str">
        <f t="shared" si="2"/>
        <v>Pendiente</v>
      </c>
    </row>
    <row r="195" spans="1:15" ht="61.95" customHeight="1">
      <c r="A195" s="17" t="s">
        <v>562</v>
      </c>
      <c r="B195" s="9" t="s">
        <v>537</v>
      </c>
      <c r="C195" s="9" t="s">
        <v>563</v>
      </c>
      <c r="D195" s="17" t="s">
        <v>1651</v>
      </c>
      <c r="E195" s="9" t="s">
        <v>1652</v>
      </c>
      <c r="F195" s="9" t="s">
        <v>985</v>
      </c>
      <c r="G195" s="9" t="s">
        <v>42</v>
      </c>
      <c r="H195" s="9" t="s">
        <v>1653</v>
      </c>
      <c r="I195" s="13" t="s">
        <v>692</v>
      </c>
      <c r="J195" s="19"/>
      <c r="K195" s="14"/>
      <c r="L195" s="14"/>
      <c r="M195" s="14"/>
      <c r="N195" s="22"/>
      <c r="O195" s="12" t="str">
        <f t="shared" si="2"/>
        <v>Pendiente</v>
      </c>
    </row>
    <row r="196" spans="1:15" ht="78" customHeight="1">
      <c r="A196" s="17" t="s">
        <v>566</v>
      </c>
      <c r="B196" s="9" t="s">
        <v>537</v>
      </c>
      <c r="C196" s="9" t="s">
        <v>567</v>
      </c>
      <c r="D196" s="17"/>
      <c r="E196" s="9"/>
      <c r="F196" s="9" t="s">
        <v>1516</v>
      </c>
      <c r="G196" s="9" t="s">
        <v>24</v>
      </c>
      <c r="H196" s="9" t="s">
        <v>1654</v>
      </c>
      <c r="I196" s="13" t="s">
        <v>692</v>
      </c>
      <c r="J196" s="19"/>
      <c r="K196" s="14"/>
      <c r="L196" s="14"/>
      <c r="M196" s="14"/>
      <c r="N196" s="22"/>
      <c r="O196" s="12" t="str">
        <f t="shared" si="2"/>
        <v>Pendiente</v>
      </c>
    </row>
    <row r="197" spans="1:15" ht="78" customHeight="1">
      <c r="A197" s="17" t="s">
        <v>568</v>
      </c>
      <c r="B197" s="9" t="s">
        <v>537</v>
      </c>
      <c r="C197" s="9" t="s">
        <v>569</v>
      </c>
      <c r="D197" s="17"/>
      <c r="E197" s="9"/>
      <c r="F197" s="9" t="s">
        <v>1516</v>
      </c>
      <c r="G197" s="9" t="s">
        <v>24</v>
      </c>
      <c r="H197" s="9" t="s">
        <v>1655</v>
      </c>
      <c r="I197" s="13" t="s">
        <v>692</v>
      </c>
      <c r="J197" s="19"/>
      <c r="K197" s="14"/>
      <c r="L197" s="14"/>
      <c r="M197" s="14"/>
      <c r="N197" s="22"/>
      <c r="O197" s="12" t="str">
        <f t="shared" si="2"/>
        <v>Pendiente</v>
      </c>
    </row>
    <row r="198" spans="1:15" ht="78" customHeight="1">
      <c r="A198" s="17" t="s">
        <v>572</v>
      </c>
      <c r="B198" s="9" t="s">
        <v>537</v>
      </c>
      <c r="C198" s="9" t="s">
        <v>573</v>
      </c>
      <c r="D198" s="17"/>
      <c r="E198" s="9"/>
      <c r="F198" s="9" t="s">
        <v>1516</v>
      </c>
      <c r="G198" s="9" t="s">
        <v>24</v>
      </c>
      <c r="H198" s="9" t="s">
        <v>1656</v>
      </c>
      <c r="I198" s="13" t="s">
        <v>692</v>
      </c>
      <c r="J198" s="19"/>
      <c r="K198" s="14"/>
      <c r="L198" s="14"/>
      <c r="M198" s="14"/>
      <c r="N198" s="22"/>
      <c r="O198" s="12" t="str">
        <f t="shared" si="2"/>
        <v>Pendiente</v>
      </c>
    </row>
    <row r="199" spans="1:15" ht="78" customHeight="1">
      <c r="A199" s="17" t="s">
        <v>576</v>
      </c>
      <c r="B199" s="9" t="s">
        <v>537</v>
      </c>
      <c r="C199" s="9" t="s">
        <v>577</v>
      </c>
      <c r="D199" s="17"/>
      <c r="E199" s="9"/>
      <c r="F199" s="9" t="s">
        <v>1516</v>
      </c>
      <c r="G199" s="9" t="s">
        <v>24</v>
      </c>
      <c r="H199" s="9" t="s">
        <v>1657</v>
      </c>
      <c r="I199" s="13" t="s">
        <v>692</v>
      </c>
      <c r="J199" s="19"/>
      <c r="K199" s="14"/>
      <c r="L199" s="14"/>
      <c r="M199" s="14"/>
      <c r="N199" s="22"/>
      <c r="O199" s="12" t="str">
        <f t="shared" si="2"/>
        <v>Pendiente</v>
      </c>
    </row>
    <row r="200" spans="1:15" ht="78" customHeight="1">
      <c r="A200" s="17" t="s">
        <v>578</v>
      </c>
      <c r="B200" s="9" t="s">
        <v>537</v>
      </c>
      <c r="C200" s="9" t="s">
        <v>501</v>
      </c>
      <c r="D200" s="17"/>
      <c r="E200" s="9"/>
      <c r="F200" s="9" t="s">
        <v>1516</v>
      </c>
      <c r="G200" s="9" t="s">
        <v>24</v>
      </c>
      <c r="H200" s="9" t="s">
        <v>1658</v>
      </c>
      <c r="I200" s="13" t="s">
        <v>692</v>
      </c>
      <c r="J200" s="19"/>
      <c r="K200" s="14"/>
      <c r="L200" s="14"/>
      <c r="M200" s="14"/>
      <c r="N200" s="22"/>
      <c r="O200" s="12" t="str">
        <f t="shared" ref="O200:O263" si="3">IF(I200="Pendiente","Pendiente",IF(I200="Equivalente confirmado",IF(OR(J200="",K200=""),"Falta código o nombre",IF(OR(L200="",M200=""),"Falta validación",IF(OR(NOT(ISNUMBER(N200)),N200&lt;=0),"Falta fecha","Homologado"))),IF(I200="Sin equivalente en AVAIN",IF(OR(J200&lt;&gt;"",K200&lt;&gt;""),"Quitar código y nombre",IF(OR(L200="",M200=""),"Falta validación",IF(OR(NOT(ISNUMBER(N200)),N200&lt;=0),"Falta fecha","Sin equivalente confirmado"))),"Revisar decisión")))</f>
        <v>Pendiente</v>
      </c>
    </row>
    <row r="201" spans="1:15" ht="78" customHeight="1">
      <c r="A201" s="17" t="s">
        <v>579</v>
      </c>
      <c r="B201" s="9" t="s">
        <v>537</v>
      </c>
      <c r="C201" s="9" t="s">
        <v>580</v>
      </c>
      <c r="D201" s="17"/>
      <c r="E201" s="9"/>
      <c r="F201" s="9" t="s">
        <v>1516</v>
      </c>
      <c r="G201" s="9" t="s">
        <v>24</v>
      </c>
      <c r="H201" s="9" t="s">
        <v>1659</v>
      </c>
      <c r="I201" s="13" t="s">
        <v>692</v>
      </c>
      <c r="J201" s="19"/>
      <c r="K201" s="14"/>
      <c r="L201" s="14"/>
      <c r="M201" s="14"/>
      <c r="N201" s="22"/>
      <c r="O201" s="12" t="str">
        <f t="shared" si="3"/>
        <v>Pendiente</v>
      </c>
    </row>
    <row r="202" spans="1:15" ht="78" customHeight="1">
      <c r="A202" s="17" t="s">
        <v>583</v>
      </c>
      <c r="B202" s="9" t="s">
        <v>537</v>
      </c>
      <c r="C202" s="9" t="s">
        <v>584</v>
      </c>
      <c r="D202" s="17"/>
      <c r="E202" s="9"/>
      <c r="F202" s="9" t="s">
        <v>1516</v>
      </c>
      <c r="G202" s="9" t="s">
        <v>24</v>
      </c>
      <c r="H202" s="9" t="s">
        <v>1660</v>
      </c>
      <c r="I202" s="13" t="s">
        <v>692</v>
      </c>
      <c r="J202" s="19"/>
      <c r="K202" s="14"/>
      <c r="L202" s="14"/>
      <c r="M202" s="14"/>
      <c r="N202" s="22"/>
      <c r="O202" s="12" t="str">
        <f t="shared" si="3"/>
        <v>Pendiente</v>
      </c>
    </row>
    <row r="203" spans="1:15" ht="78" customHeight="1">
      <c r="A203" s="17" t="s">
        <v>589</v>
      </c>
      <c r="B203" s="9" t="s">
        <v>537</v>
      </c>
      <c r="C203" s="9" t="s">
        <v>590</v>
      </c>
      <c r="D203" s="17"/>
      <c r="E203" s="9"/>
      <c r="F203" s="9" t="s">
        <v>1516</v>
      </c>
      <c r="G203" s="9" t="s">
        <v>24</v>
      </c>
      <c r="H203" s="9" t="s">
        <v>1661</v>
      </c>
      <c r="I203" s="13" t="s">
        <v>692</v>
      </c>
      <c r="J203" s="19"/>
      <c r="K203" s="14"/>
      <c r="L203" s="14"/>
      <c r="M203" s="14"/>
      <c r="N203" s="22"/>
      <c r="O203" s="12" t="str">
        <f t="shared" si="3"/>
        <v>Pendiente</v>
      </c>
    </row>
    <row r="204" spans="1:15" ht="78" customHeight="1">
      <c r="A204" s="17" t="s">
        <v>591</v>
      </c>
      <c r="B204" s="9" t="s">
        <v>537</v>
      </c>
      <c r="C204" s="9" t="s">
        <v>592</v>
      </c>
      <c r="D204" s="17"/>
      <c r="E204" s="9"/>
      <c r="F204" s="9" t="s">
        <v>1516</v>
      </c>
      <c r="G204" s="9" t="s">
        <v>24</v>
      </c>
      <c r="H204" s="9" t="s">
        <v>1662</v>
      </c>
      <c r="I204" s="13" t="s">
        <v>692</v>
      </c>
      <c r="J204" s="19"/>
      <c r="K204" s="14"/>
      <c r="L204" s="14"/>
      <c r="M204" s="14"/>
      <c r="N204" s="22"/>
      <c r="O204" s="12" t="str">
        <f t="shared" si="3"/>
        <v>Pendiente</v>
      </c>
    </row>
    <row r="205" spans="1:15" ht="78" customHeight="1">
      <c r="A205" s="17" t="s">
        <v>593</v>
      </c>
      <c r="B205" s="9" t="s">
        <v>537</v>
      </c>
      <c r="C205" s="9" t="s">
        <v>594</v>
      </c>
      <c r="D205" s="17"/>
      <c r="E205" s="9"/>
      <c r="F205" s="9" t="s">
        <v>1516</v>
      </c>
      <c r="G205" s="9" t="s">
        <v>24</v>
      </c>
      <c r="H205" s="9" t="s">
        <v>1663</v>
      </c>
      <c r="I205" s="13" t="s">
        <v>692</v>
      </c>
      <c r="J205" s="19"/>
      <c r="K205" s="14"/>
      <c r="L205" s="14"/>
      <c r="M205" s="14"/>
      <c r="N205" s="22"/>
      <c r="O205" s="12" t="str">
        <f t="shared" si="3"/>
        <v>Pendiente</v>
      </c>
    </row>
    <row r="206" spans="1:15" ht="78" customHeight="1">
      <c r="A206" s="17" t="s">
        <v>595</v>
      </c>
      <c r="B206" s="9" t="s">
        <v>537</v>
      </c>
      <c r="C206" s="9" t="s">
        <v>596</v>
      </c>
      <c r="D206" s="17"/>
      <c r="E206" s="9"/>
      <c r="F206" s="9" t="s">
        <v>1516</v>
      </c>
      <c r="G206" s="9" t="s">
        <v>24</v>
      </c>
      <c r="H206" s="9" t="s">
        <v>1664</v>
      </c>
      <c r="I206" s="13" t="s">
        <v>692</v>
      </c>
      <c r="J206" s="19"/>
      <c r="K206" s="14"/>
      <c r="L206" s="14"/>
      <c r="M206" s="14"/>
      <c r="N206" s="22"/>
      <c r="O206" s="12" t="str">
        <f t="shared" si="3"/>
        <v>Pendiente</v>
      </c>
    </row>
    <row r="207" spans="1:15" ht="78" customHeight="1">
      <c r="A207" s="17" t="s">
        <v>597</v>
      </c>
      <c r="B207" s="9" t="s">
        <v>537</v>
      </c>
      <c r="C207" s="9" t="s">
        <v>598</v>
      </c>
      <c r="D207" s="17"/>
      <c r="E207" s="9"/>
      <c r="F207" s="9" t="s">
        <v>1516</v>
      </c>
      <c r="G207" s="9" t="s">
        <v>24</v>
      </c>
      <c r="H207" s="9" t="s">
        <v>1665</v>
      </c>
      <c r="I207" s="13" t="s">
        <v>692</v>
      </c>
      <c r="J207" s="19"/>
      <c r="K207" s="14"/>
      <c r="L207" s="14"/>
      <c r="M207" s="14"/>
      <c r="N207" s="22"/>
      <c r="O207" s="12" t="str">
        <f t="shared" si="3"/>
        <v>Pendiente</v>
      </c>
    </row>
    <row r="208" spans="1:15" ht="78" customHeight="1">
      <c r="A208" s="17" t="s">
        <v>599</v>
      </c>
      <c r="B208" s="9" t="s">
        <v>537</v>
      </c>
      <c r="C208" s="9" t="s">
        <v>600</v>
      </c>
      <c r="D208" s="17"/>
      <c r="E208" s="9"/>
      <c r="F208" s="9" t="s">
        <v>1516</v>
      </c>
      <c r="G208" s="9" t="s">
        <v>24</v>
      </c>
      <c r="H208" s="9" t="s">
        <v>1666</v>
      </c>
      <c r="I208" s="13" t="s">
        <v>692</v>
      </c>
      <c r="J208" s="19"/>
      <c r="K208" s="14"/>
      <c r="L208" s="14"/>
      <c r="M208" s="14"/>
      <c r="N208" s="22"/>
      <c r="O208" s="12" t="str">
        <f t="shared" si="3"/>
        <v>Pendiente</v>
      </c>
    </row>
    <row r="209" spans="1:15" ht="78" customHeight="1">
      <c r="A209" s="17" t="s">
        <v>601</v>
      </c>
      <c r="B209" s="9" t="s">
        <v>537</v>
      </c>
      <c r="C209" s="9" t="s">
        <v>602</v>
      </c>
      <c r="D209" s="17"/>
      <c r="E209" s="9"/>
      <c r="F209" s="9" t="s">
        <v>1516</v>
      </c>
      <c r="G209" s="9" t="s">
        <v>24</v>
      </c>
      <c r="H209" s="9" t="s">
        <v>1667</v>
      </c>
      <c r="I209" s="13" t="s">
        <v>692</v>
      </c>
      <c r="J209" s="19"/>
      <c r="K209" s="14"/>
      <c r="L209" s="14"/>
      <c r="M209" s="14"/>
      <c r="N209" s="22"/>
      <c r="O209" s="12" t="str">
        <f t="shared" si="3"/>
        <v>Pendiente</v>
      </c>
    </row>
    <row r="210" spans="1:15" ht="78" customHeight="1">
      <c r="A210" s="17" t="s">
        <v>603</v>
      </c>
      <c r="B210" s="9" t="s">
        <v>537</v>
      </c>
      <c r="C210" s="9" t="s">
        <v>604</v>
      </c>
      <c r="D210" s="17"/>
      <c r="E210" s="9"/>
      <c r="F210" s="9" t="s">
        <v>1516</v>
      </c>
      <c r="G210" s="9" t="s">
        <v>24</v>
      </c>
      <c r="H210" s="9" t="s">
        <v>1668</v>
      </c>
      <c r="I210" s="13" t="s">
        <v>692</v>
      </c>
      <c r="J210" s="19"/>
      <c r="K210" s="14"/>
      <c r="L210" s="14"/>
      <c r="M210" s="14"/>
      <c r="N210" s="22"/>
      <c r="O210" s="12" t="str">
        <f t="shared" si="3"/>
        <v>Pendiente</v>
      </c>
    </row>
    <row r="211" spans="1:15" ht="78" customHeight="1">
      <c r="A211" s="17" t="s">
        <v>605</v>
      </c>
      <c r="B211" s="9" t="s">
        <v>537</v>
      </c>
      <c r="C211" s="9" t="s">
        <v>606</v>
      </c>
      <c r="D211" s="17"/>
      <c r="E211" s="9"/>
      <c r="F211" s="9" t="s">
        <v>1516</v>
      </c>
      <c r="G211" s="9" t="s">
        <v>24</v>
      </c>
      <c r="H211" s="9" t="s">
        <v>1669</v>
      </c>
      <c r="I211" s="13" t="s">
        <v>692</v>
      </c>
      <c r="J211" s="19"/>
      <c r="K211" s="14"/>
      <c r="L211" s="14"/>
      <c r="M211" s="14"/>
      <c r="N211" s="22"/>
      <c r="O211" s="12" t="str">
        <f t="shared" si="3"/>
        <v>Pendiente</v>
      </c>
    </row>
    <row r="212" spans="1:15" ht="78" customHeight="1">
      <c r="A212" s="17" t="s">
        <v>611</v>
      </c>
      <c r="B212" s="9" t="s">
        <v>537</v>
      </c>
      <c r="C212" s="9" t="s">
        <v>612</v>
      </c>
      <c r="D212" s="17"/>
      <c r="E212" s="9"/>
      <c r="F212" s="9" t="s">
        <v>1516</v>
      </c>
      <c r="G212" s="9" t="s">
        <v>24</v>
      </c>
      <c r="H212" s="9" t="s">
        <v>1670</v>
      </c>
      <c r="I212" s="13" t="s">
        <v>692</v>
      </c>
      <c r="J212" s="19"/>
      <c r="K212" s="14"/>
      <c r="L212" s="14"/>
      <c r="M212" s="14"/>
      <c r="N212" s="22"/>
      <c r="O212" s="12" t="str">
        <f t="shared" si="3"/>
        <v>Pendiente</v>
      </c>
    </row>
    <row r="213" spans="1:15" ht="78" customHeight="1">
      <c r="A213" s="17" t="s">
        <v>613</v>
      </c>
      <c r="B213" s="9" t="s">
        <v>537</v>
      </c>
      <c r="C213" s="9" t="s">
        <v>614</v>
      </c>
      <c r="D213" s="17"/>
      <c r="E213" s="9"/>
      <c r="F213" s="9" t="s">
        <v>1516</v>
      </c>
      <c r="G213" s="9" t="s">
        <v>24</v>
      </c>
      <c r="H213" s="9" t="s">
        <v>1671</v>
      </c>
      <c r="I213" s="13" t="s">
        <v>692</v>
      </c>
      <c r="J213" s="19"/>
      <c r="K213" s="14"/>
      <c r="L213" s="14"/>
      <c r="M213" s="14"/>
      <c r="N213" s="22"/>
      <c r="O213" s="12" t="str">
        <f t="shared" si="3"/>
        <v>Pendiente</v>
      </c>
    </row>
    <row r="214" spans="1:15" ht="78" customHeight="1">
      <c r="A214" s="17" t="s">
        <v>615</v>
      </c>
      <c r="B214" s="9" t="s">
        <v>537</v>
      </c>
      <c r="C214" s="9" t="s">
        <v>616</v>
      </c>
      <c r="D214" s="17"/>
      <c r="E214" s="9"/>
      <c r="F214" s="9" t="s">
        <v>1516</v>
      </c>
      <c r="G214" s="9" t="s">
        <v>24</v>
      </c>
      <c r="H214" s="9" t="s">
        <v>1672</v>
      </c>
      <c r="I214" s="13" t="s">
        <v>692</v>
      </c>
      <c r="J214" s="19"/>
      <c r="K214" s="14"/>
      <c r="L214" s="14"/>
      <c r="M214" s="14"/>
      <c r="N214" s="22"/>
      <c r="O214" s="12" t="str">
        <f t="shared" si="3"/>
        <v>Pendiente</v>
      </c>
    </row>
    <row r="215" spans="1:15" ht="78" customHeight="1">
      <c r="A215" s="17" t="s">
        <v>621</v>
      </c>
      <c r="B215" s="9" t="s">
        <v>537</v>
      </c>
      <c r="C215" s="9" t="s">
        <v>622</v>
      </c>
      <c r="D215" s="17"/>
      <c r="E215" s="9"/>
      <c r="F215" s="9" t="s">
        <v>1516</v>
      </c>
      <c r="G215" s="9" t="s">
        <v>24</v>
      </c>
      <c r="H215" s="9" t="s">
        <v>1673</v>
      </c>
      <c r="I215" s="13" t="s">
        <v>692</v>
      </c>
      <c r="J215" s="19"/>
      <c r="K215" s="14"/>
      <c r="L215" s="14"/>
      <c r="M215" s="14"/>
      <c r="N215" s="22"/>
      <c r="O215" s="12" t="str">
        <f t="shared" si="3"/>
        <v>Pendiente</v>
      </c>
    </row>
    <row r="216" spans="1:15" ht="78" customHeight="1">
      <c r="A216" s="17" t="s">
        <v>625</v>
      </c>
      <c r="B216" s="9" t="s">
        <v>537</v>
      </c>
      <c r="C216" s="9" t="s">
        <v>626</v>
      </c>
      <c r="D216" s="17"/>
      <c r="E216" s="9"/>
      <c r="F216" s="9" t="s">
        <v>1516</v>
      </c>
      <c r="G216" s="9" t="s">
        <v>24</v>
      </c>
      <c r="H216" s="9" t="s">
        <v>1674</v>
      </c>
      <c r="I216" s="13" t="s">
        <v>692</v>
      </c>
      <c r="J216" s="19"/>
      <c r="K216" s="14"/>
      <c r="L216" s="14"/>
      <c r="M216" s="14"/>
      <c r="N216" s="22"/>
      <c r="O216" s="12" t="str">
        <f t="shared" si="3"/>
        <v>Pendiente</v>
      </c>
    </row>
    <row r="217" spans="1:15" ht="78" customHeight="1">
      <c r="A217" s="17" t="s">
        <v>627</v>
      </c>
      <c r="B217" s="9" t="s">
        <v>537</v>
      </c>
      <c r="C217" s="9" t="s">
        <v>628</v>
      </c>
      <c r="D217" s="17"/>
      <c r="E217" s="9"/>
      <c r="F217" s="9" t="s">
        <v>1516</v>
      </c>
      <c r="G217" s="9" t="s">
        <v>24</v>
      </c>
      <c r="H217" s="9" t="s">
        <v>1675</v>
      </c>
      <c r="I217" s="13" t="s">
        <v>692</v>
      </c>
      <c r="J217" s="19"/>
      <c r="K217" s="14"/>
      <c r="L217" s="14"/>
      <c r="M217" s="14"/>
      <c r="N217" s="22"/>
      <c r="O217" s="12" t="str">
        <f t="shared" si="3"/>
        <v>Pendiente</v>
      </c>
    </row>
    <row r="218" spans="1:15" ht="78" customHeight="1">
      <c r="A218" s="17" t="s">
        <v>629</v>
      </c>
      <c r="B218" s="9" t="s">
        <v>537</v>
      </c>
      <c r="C218" s="9" t="s">
        <v>630</v>
      </c>
      <c r="D218" s="17"/>
      <c r="E218" s="9"/>
      <c r="F218" s="9" t="s">
        <v>1516</v>
      </c>
      <c r="G218" s="9" t="s">
        <v>24</v>
      </c>
      <c r="H218" s="9" t="s">
        <v>1676</v>
      </c>
      <c r="I218" s="13" t="s">
        <v>692</v>
      </c>
      <c r="J218" s="19"/>
      <c r="K218" s="14"/>
      <c r="L218" s="14"/>
      <c r="M218" s="14"/>
      <c r="N218" s="22"/>
      <c r="O218" s="12" t="str">
        <f t="shared" si="3"/>
        <v>Pendiente</v>
      </c>
    </row>
    <row r="219" spans="1:15" ht="78" customHeight="1">
      <c r="A219" s="17" t="s">
        <v>632</v>
      </c>
      <c r="B219" s="9" t="s">
        <v>537</v>
      </c>
      <c r="C219" s="9" t="s">
        <v>343</v>
      </c>
      <c r="D219" s="17"/>
      <c r="E219" s="9"/>
      <c r="F219" s="9" t="s">
        <v>1516</v>
      </c>
      <c r="G219" s="9" t="s">
        <v>24</v>
      </c>
      <c r="H219" s="9" t="s">
        <v>1677</v>
      </c>
      <c r="I219" s="13" t="s">
        <v>692</v>
      </c>
      <c r="J219" s="19"/>
      <c r="K219" s="14"/>
      <c r="L219" s="14"/>
      <c r="M219" s="14"/>
      <c r="N219" s="22"/>
      <c r="O219" s="12" t="str">
        <f t="shared" si="3"/>
        <v>Pendiente</v>
      </c>
    </row>
    <row r="220" spans="1:15" ht="78" customHeight="1">
      <c r="A220" s="17" t="s">
        <v>640</v>
      </c>
      <c r="B220" s="9" t="s">
        <v>537</v>
      </c>
      <c r="C220" s="9" t="s">
        <v>641</v>
      </c>
      <c r="D220" s="17"/>
      <c r="E220" s="9"/>
      <c r="F220" s="9" t="s">
        <v>1516</v>
      </c>
      <c r="G220" s="9" t="s">
        <v>24</v>
      </c>
      <c r="H220" s="9" t="s">
        <v>1678</v>
      </c>
      <c r="I220" s="13" t="s">
        <v>692</v>
      </c>
      <c r="J220" s="19"/>
      <c r="K220" s="14"/>
      <c r="L220" s="14"/>
      <c r="M220" s="14"/>
      <c r="N220" s="22"/>
      <c r="O220" s="12" t="str">
        <f t="shared" si="3"/>
        <v>Pendiente</v>
      </c>
    </row>
    <row r="221" spans="1:15" ht="78" customHeight="1">
      <c r="A221" s="17" t="s">
        <v>642</v>
      </c>
      <c r="B221" s="9" t="s">
        <v>537</v>
      </c>
      <c r="C221" s="9" t="s">
        <v>643</v>
      </c>
      <c r="D221" s="17"/>
      <c r="E221" s="9"/>
      <c r="F221" s="9" t="s">
        <v>1516</v>
      </c>
      <c r="G221" s="9" t="s">
        <v>24</v>
      </c>
      <c r="H221" s="9" t="s">
        <v>1679</v>
      </c>
      <c r="I221" s="13" t="s">
        <v>692</v>
      </c>
      <c r="J221" s="19"/>
      <c r="K221" s="14"/>
      <c r="L221" s="14"/>
      <c r="M221" s="14"/>
      <c r="N221" s="22"/>
      <c r="O221" s="12" t="str">
        <f t="shared" si="3"/>
        <v>Pendiente</v>
      </c>
    </row>
    <row r="222" spans="1:15" ht="78" customHeight="1">
      <c r="A222" s="17" t="s">
        <v>644</v>
      </c>
      <c r="B222" s="9" t="s">
        <v>537</v>
      </c>
      <c r="C222" s="9" t="s">
        <v>645</v>
      </c>
      <c r="D222" s="17"/>
      <c r="E222" s="9"/>
      <c r="F222" s="9" t="s">
        <v>1516</v>
      </c>
      <c r="G222" s="9" t="s">
        <v>24</v>
      </c>
      <c r="H222" s="9" t="s">
        <v>1680</v>
      </c>
      <c r="I222" s="13" t="s">
        <v>692</v>
      </c>
      <c r="J222" s="19"/>
      <c r="K222" s="14"/>
      <c r="L222" s="14"/>
      <c r="M222" s="14"/>
      <c r="N222" s="22"/>
      <c r="O222" s="12" t="str">
        <f t="shared" si="3"/>
        <v>Pendiente</v>
      </c>
    </row>
    <row r="223" spans="1:15" ht="78" customHeight="1">
      <c r="A223" s="17" t="s">
        <v>648</v>
      </c>
      <c r="B223" s="9" t="s">
        <v>537</v>
      </c>
      <c r="C223" s="9" t="s">
        <v>649</v>
      </c>
      <c r="D223" s="17"/>
      <c r="E223" s="9"/>
      <c r="F223" s="9" t="s">
        <v>1516</v>
      </c>
      <c r="G223" s="9" t="s">
        <v>24</v>
      </c>
      <c r="H223" s="9" t="s">
        <v>1681</v>
      </c>
      <c r="I223" s="13" t="s">
        <v>692</v>
      </c>
      <c r="J223" s="19"/>
      <c r="K223" s="14"/>
      <c r="L223" s="14"/>
      <c r="M223" s="14"/>
      <c r="N223" s="22"/>
      <c r="O223" s="12" t="str">
        <f t="shared" si="3"/>
        <v>Pendiente</v>
      </c>
    </row>
    <row r="224" spans="1:15" ht="78" customHeight="1">
      <c r="A224" s="17" t="s">
        <v>650</v>
      </c>
      <c r="B224" s="9" t="s">
        <v>537</v>
      </c>
      <c r="C224" s="9" t="s">
        <v>651</v>
      </c>
      <c r="D224" s="17"/>
      <c r="E224" s="9"/>
      <c r="F224" s="9" t="s">
        <v>1516</v>
      </c>
      <c r="G224" s="9" t="s">
        <v>24</v>
      </c>
      <c r="H224" s="9" t="s">
        <v>1682</v>
      </c>
      <c r="I224" s="13" t="s">
        <v>692</v>
      </c>
      <c r="J224" s="19"/>
      <c r="K224" s="14"/>
      <c r="L224" s="14"/>
      <c r="M224" s="14"/>
      <c r="N224" s="22"/>
      <c r="O224" s="12" t="str">
        <f t="shared" si="3"/>
        <v>Pendiente</v>
      </c>
    </row>
    <row r="225" spans="1:15" ht="78" customHeight="1">
      <c r="A225" s="17" t="s">
        <v>654</v>
      </c>
      <c r="B225" s="9" t="s">
        <v>537</v>
      </c>
      <c r="C225" s="9" t="s">
        <v>655</v>
      </c>
      <c r="D225" s="17"/>
      <c r="E225" s="9"/>
      <c r="F225" s="9" t="s">
        <v>1516</v>
      </c>
      <c r="G225" s="9" t="s">
        <v>24</v>
      </c>
      <c r="H225" s="9" t="s">
        <v>1683</v>
      </c>
      <c r="I225" s="13" t="s">
        <v>692</v>
      </c>
      <c r="J225" s="19"/>
      <c r="K225" s="14"/>
      <c r="L225" s="14"/>
      <c r="M225" s="14"/>
      <c r="N225" s="22"/>
      <c r="O225" s="12" t="str">
        <f t="shared" si="3"/>
        <v>Pendiente</v>
      </c>
    </row>
    <row r="226" spans="1:15" ht="78" customHeight="1">
      <c r="A226" s="17" t="s">
        <v>660</v>
      </c>
      <c r="B226" s="9" t="s">
        <v>537</v>
      </c>
      <c r="C226" s="9" t="s">
        <v>661</v>
      </c>
      <c r="D226" s="17"/>
      <c r="E226" s="9"/>
      <c r="F226" s="9" t="s">
        <v>1516</v>
      </c>
      <c r="G226" s="9" t="s">
        <v>24</v>
      </c>
      <c r="H226" s="9" t="s">
        <v>1684</v>
      </c>
      <c r="I226" s="13" t="s">
        <v>692</v>
      </c>
      <c r="J226" s="19"/>
      <c r="K226" s="14"/>
      <c r="L226" s="14"/>
      <c r="M226" s="14"/>
      <c r="N226" s="22"/>
      <c r="O226" s="12" t="str">
        <f t="shared" si="3"/>
        <v>Pendiente</v>
      </c>
    </row>
    <row r="227" spans="1:15" ht="78" customHeight="1">
      <c r="A227" s="17" t="s">
        <v>662</v>
      </c>
      <c r="B227" s="9" t="s">
        <v>537</v>
      </c>
      <c r="C227" s="9" t="s">
        <v>663</v>
      </c>
      <c r="D227" s="17"/>
      <c r="E227" s="9"/>
      <c r="F227" s="9" t="s">
        <v>1516</v>
      </c>
      <c r="G227" s="9" t="s">
        <v>24</v>
      </c>
      <c r="H227" s="9" t="s">
        <v>1685</v>
      </c>
      <c r="I227" s="13" t="s">
        <v>692</v>
      </c>
      <c r="J227" s="19"/>
      <c r="K227" s="14"/>
      <c r="L227" s="14"/>
      <c r="M227" s="14"/>
      <c r="N227" s="22"/>
      <c r="O227" s="12" t="str">
        <f t="shared" si="3"/>
        <v>Pendiente</v>
      </c>
    </row>
    <row r="228" spans="1:15" ht="78" customHeight="1">
      <c r="A228" s="17" t="s">
        <v>664</v>
      </c>
      <c r="B228" s="9" t="s">
        <v>537</v>
      </c>
      <c r="C228" s="9" t="s">
        <v>665</v>
      </c>
      <c r="D228" s="17"/>
      <c r="E228" s="9"/>
      <c r="F228" s="9" t="s">
        <v>1516</v>
      </c>
      <c r="G228" s="9" t="s">
        <v>24</v>
      </c>
      <c r="H228" s="9" t="s">
        <v>1686</v>
      </c>
      <c r="I228" s="13" t="s">
        <v>692</v>
      </c>
      <c r="J228" s="19"/>
      <c r="K228" s="14"/>
      <c r="L228" s="14"/>
      <c r="M228" s="14"/>
      <c r="N228" s="22"/>
      <c r="O228" s="12" t="str">
        <f t="shared" si="3"/>
        <v>Pendiente</v>
      </c>
    </row>
    <row r="229" spans="1:15" ht="78" customHeight="1">
      <c r="A229" s="17" t="s">
        <v>668</v>
      </c>
      <c r="B229" s="9" t="s">
        <v>537</v>
      </c>
      <c r="C229" s="9" t="s">
        <v>573</v>
      </c>
      <c r="D229" s="17"/>
      <c r="E229" s="9"/>
      <c r="F229" s="9" t="s">
        <v>1516</v>
      </c>
      <c r="G229" s="9" t="s">
        <v>24</v>
      </c>
      <c r="H229" s="9" t="s">
        <v>1687</v>
      </c>
      <c r="I229" s="13" t="s">
        <v>692</v>
      </c>
      <c r="J229" s="19"/>
      <c r="K229" s="14"/>
      <c r="L229" s="14"/>
      <c r="M229" s="14"/>
      <c r="N229" s="22"/>
      <c r="O229" s="12" t="str">
        <f t="shared" si="3"/>
        <v>Pendiente</v>
      </c>
    </row>
    <row r="230" spans="1:15" ht="61.95" customHeight="1">
      <c r="A230" s="17" t="s">
        <v>107</v>
      </c>
      <c r="B230" s="9" t="s">
        <v>108</v>
      </c>
      <c r="C230" s="9" t="s">
        <v>109</v>
      </c>
      <c r="D230" s="17" t="s">
        <v>1688</v>
      </c>
      <c r="E230" s="9" t="s">
        <v>1689</v>
      </c>
      <c r="F230" s="9" t="s">
        <v>1198</v>
      </c>
      <c r="G230" s="9" t="s">
        <v>40</v>
      </c>
      <c r="H230" s="9" t="s">
        <v>1199</v>
      </c>
      <c r="I230" s="13" t="s">
        <v>692</v>
      </c>
      <c r="J230" s="19"/>
      <c r="K230" s="14"/>
      <c r="L230" s="14"/>
      <c r="M230" s="14"/>
      <c r="N230" s="22"/>
      <c r="O230" s="12" t="str">
        <f t="shared" si="3"/>
        <v>Pendiente</v>
      </c>
    </row>
    <row r="231" spans="1:15" ht="61.95" customHeight="1">
      <c r="A231" s="17" t="s">
        <v>110</v>
      </c>
      <c r="B231" s="9" t="s">
        <v>108</v>
      </c>
      <c r="C231" s="9" t="s">
        <v>111</v>
      </c>
      <c r="D231" s="17" t="s">
        <v>1690</v>
      </c>
      <c r="E231" s="9" t="s">
        <v>1691</v>
      </c>
      <c r="F231" s="9" t="s">
        <v>1198</v>
      </c>
      <c r="G231" s="9" t="s">
        <v>40</v>
      </c>
      <c r="H231" s="9" t="s">
        <v>1202</v>
      </c>
      <c r="I231" s="13" t="s">
        <v>692</v>
      </c>
      <c r="J231" s="19"/>
      <c r="K231" s="14"/>
      <c r="L231" s="14"/>
      <c r="M231" s="14"/>
      <c r="N231" s="22"/>
      <c r="O231" s="12" t="str">
        <f t="shared" si="3"/>
        <v>Pendiente</v>
      </c>
    </row>
    <row r="232" spans="1:15" ht="61.95" customHeight="1">
      <c r="A232" s="17" t="s">
        <v>112</v>
      </c>
      <c r="B232" s="9" t="s">
        <v>108</v>
      </c>
      <c r="C232" s="9" t="s">
        <v>113</v>
      </c>
      <c r="D232" s="17" t="s">
        <v>1692</v>
      </c>
      <c r="E232" s="9" t="s">
        <v>1693</v>
      </c>
      <c r="F232" s="9" t="s">
        <v>1198</v>
      </c>
      <c r="G232" s="9" t="s">
        <v>40</v>
      </c>
      <c r="H232" s="9" t="s">
        <v>1694</v>
      </c>
      <c r="I232" s="13" t="s">
        <v>692</v>
      </c>
      <c r="J232" s="19"/>
      <c r="K232" s="14"/>
      <c r="L232" s="14"/>
      <c r="M232" s="14"/>
      <c r="N232" s="22"/>
      <c r="O232" s="12" t="str">
        <f t="shared" si="3"/>
        <v>Pendiente</v>
      </c>
    </row>
    <row r="233" spans="1:15" ht="61.95" customHeight="1">
      <c r="A233" s="17" t="s">
        <v>114</v>
      </c>
      <c r="B233" s="9" t="s">
        <v>108</v>
      </c>
      <c r="C233" s="9" t="s">
        <v>115</v>
      </c>
      <c r="D233" s="17" t="s">
        <v>1695</v>
      </c>
      <c r="E233" s="9" t="s">
        <v>1696</v>
      </c>
      <c r="F233" s="9" t="s">
        <v>1198</v>
      </c>
      <c r="G233" s="9" t="s">
        <v>40</v>
      </c>
      <c r="H233" s="9" t="s">
        <v>1205</v>
      </c>
      <c r="I233" s="13" t="s">
        <v>692</v>
      </c>
      <c r="J233" s="19"/>
      <c r="K233" s="14"/>
      <c r="L233" s="14"/>
      <c r="M233" s="14"/>
      <c r="N233" s="22"/>
      <c r="O233" s="12" t="str">
        <f t="shared" si="3"/>
        <v>Pendiente</v>
      </c>
    </row>
    <row r="234" spans="1:15" ht="78" customHeight="1">
      <c r="A234" s="17" t="s">
        <v>116</v>
      </c>
      <c r="B234" s="9" t="s">
        <v>108</v>
      </c>
      <c r="C234" s="9" t="s">
        <v>117</v>
      </c>
      <c r="D234" s="17" t="s">
        <v>1697</v>
      </c>
      <c r="E234" s="9" t="s">
        <v>1698</v>
      </c>
      <c r="F234" s="9" t="s">
        <v>1198</v>
      </c>
      <c r="G234" s="9" t="s">
        <v>40</v>
      </c>
      <c r="H234" s="9" t="s">
        <v>1699</v>
      </c>
      <c r="I234" s="13" t="s">
        <v>692</v>
      </c>
      <c r="J234" s="19"/>
      <c r="K234" s="14"/>
      <c r="L234" s="14"/>
      <c r="M234" s="14"/>
      <c r="N234" s="22"/>
      <c r="O234" s="12" t="str">
        <f t="shared" si="3"/>
        <v>Pendiente</v>
      </c>
    </row>
    <row r="235" spans="1:15" ht="61.95" customHeight="1">
      <c r="A235" s="17" t="s">
        <v>118</v>
      </c>
      <c r="B235" s="9" t="s">
        <v>108</v>
      </c>
      <c r="C235" s="9" t="s">
        <v>119</v>
      </c>
      <c r="D235" s="17" t="s">
        <v>1700</v>
      </c>
      <c r="E235" s="9" t="s">
        <v>1701</v>
      </c>
      <c r="F235" s="9" t="s">
        <v>1198</v>
      </c>
      <c r="G235" s="9" t="s">
        <v>40</v>
      </c>
      <c r="H235" s="9" t="s">
        <v>1702</v>
      </c>
      <c r="I235" s="13" t="s">
        <v>692</v>
      </c>
      <c r="J235" s="19"/>
      <c r="K235" s="14"/>
      <c r="L235" s="14"/>
      <c r="M235" s="14"/>
      <c r="N235" s="22"/>
      <c r="O235" s="12" t="str">
        <f t="shared" si="3"/>
        <v>Pendiente</v>
      </c>
    </row>
    <row r="236" spans="1:15" ht="61.95" customHeight="1">
      <c r="A236" s="17" t="s">
        <v>120</v>
      </c>
      <c r="B236" s="9" t="s">
        <v>108</v>
      </c>
      <c r="C236" s="9" t="s">
        <v>121</v>
      </c>
      <c r="D236" s="17" t="s">
        <v>1703</v>
      </c>
      <c r="E236" s="9" t="s">
        <v>1704</v>
      </c>
      <c r="F236" s="9" t="s">
        <v>1198</v>
      </c>
      <c r="G236" s="9" t="s">
        <v>40</v>
      </c>
      <c r="H236" s="9" t="s">
        <v>1705</v>
      </c>
      <c r="I236" s="13" t="s">
        <v>692</v>
      </c>
      <c r="J236" s="19"/>
      <c r="K236" s="14"/>
      <c r="L236" s="14"/>
      <c r="M236" s="14"/>
      <c r="N236" s="22"/>
      <c r="O236" s="12" t="str">
        <f t="shared" si="3"/>
        <v>Pendiente</v>
      </c>
    </row>
    <row r="237" spans="1:15" ht="61.95" customHeight="1">
      <c r="A237" s="17" t="s">
        <v>142</v>
      </c>
      <c r="B237" s="9" t="s">
        <v>108</v>
      </c>
      <c r="C237" s="9" t="s">
        <v>143</v>
      </c>
      <c r="D237" s="17" t="s">
        <v>1706</v>
      </c>
      <c r="E237" s="9" t="s">
        <v>1707</v>
      </c>
      <c r="F237" s="9" t="s">
        <v>1198</v>
      </c>
      <c r="G237" s="9" t="s">
        <v>40</v>
      </c>
      <c r="H237" s="9" t="s">
        <v>1708</v>
      </c>
      <c r="I237" s="13" t="s">
        <v>692</v>
      </c>
      <c r="J237" s="19"/>
      <c r="K237" s="14"/>
      <c r="L237" s="14"/>
      <c r="M237" s="14"/>
      <c r="N237" s="22"/>
      <c r="O237" s="12" t="str">
        <f t="shared" si="3"/>
        <v>Pendiente</v>
      </c>
    </row>
    <row r="238" spans="1:15" ht="61.95" customHeight="1">
      <c r="A238" s="17" t="s">
        <v>144</v>
      </c>
      <c r="B238" s="9" t="s">
        <v>108</v>
      </c>
      <c r="C238" s="9" t="s">
        <v>145</v>
      </c>
      <c r="D238" s="17" t="s">
        <v>1709</v>
      </c>
      <c r="E238" s="9" t="s">
        <v>1710</v>
      </c>
      <c r="F238" s="9" t="s">
        <v>1198</v>
      </c>
      <c r="G238" s="9" t="s">
        <v>40</v>
      </c>
      <c r="H238" s="9" t="s">
        <v>1711</v>
      </c>
      <c r="I238" s="13" t="s">
        <v>692</v>
      </c>
      <c r="J238" s="19"/>
      <c r="K238" s="14"/>
      <c r="L238" s="14"/>
      <c r="M238" s="14"/>
      <c r="N238" s="22"/>
      <c r="O238" s="12" t="str">
        <f t="shared" si="3"/>
        <v>Pendiente</v>
      </c>
    </row>
    <row r="239" spans="1:15" ht="61.95" customHeight="1">
      <c r="A239" s="17" t="s">
        <v>158</v>
      </c>
      <c r="B239" s="9" t="s">
        <v>108</v>
      </c>
      <c r="C239" s="9" t="s">
        <v>159</v>
      </c>
      <c r="D239" s="17" t="s">
        <v>1712</v>
      </c>
      <c r="E239" s="9" t="s">
        <v>1713</v>
      </c>
      <c r="F239" s="9" t="s">
        <v>1198</v>
      </c>
      <c r="G239" s="9" t="s">
        <v>40</v>
      </c>
      <c r="H239" s="9" t="s">
        <v>1714</v>
      </c>
      <c r="I239" s="13" t="s">
        <v>692</v>
      </c>
      <c r="J239" s="19"/>
      <c r="K239" s="14"/>
      <c r="L239" s="14"/>
      <c r="M239" s="14"/>
      <c r="N239" s="22"/>
      <c r="O239" s="12" t="str">
        <f t="shared" si="3"/>
        <v>Pendiente</v>
      </c>
    </row>
    <row r="240" spans="1:15" ht="61.95" customHeight="1">
      <c r="A240" s="17" t="s">
        <v>160</v>
      </c>
      <c r="B240" s="9" t="s">
        <v>108</v>
      </c>
      <c r="C240" s="9" t="s">
        <v>161</v>
      </c>
      <c r="D240" s="17" t="s">
        <v>1715</v>
      </c>
      <c r="E240" s="9" t="s">
        <v>1716</v>
      </c>
      <c r="F240" s="9" t="s">
        <v>1198</v>
      </c>
      <c r="G240" s="9" t="s">
        <v>40</v>
      </c>
      <c r="H240" s="9" t="s">
        <v>1717</v>
      </c>
      <c r="I240" s="13" t="s">
        <v>692</v>
      </c>
      <c r="J240" s="19"/>
      <c r="K240" s="14"/>
      <c r="L240" s="14"/>
      <c r="M240" s="14"/>
      <c r="N240" s="22"/>
      <c r="O240" s="12" t="str">
        <f t="shared" si="3"/>
        <v>Pendiente</v>
      </c>
    </row>
    <row r="241" spans="1:15" ht="61.95" customHeight="1">
      <c r="A241" s="17" t="s">
        <v>162</v>
      </c>
      <c r="B241" s="9" t="s">
        <v>108</v>
      </c>
      <c r="C241" s="9" t="s">
        <v>163</v>
      </c>
      <c r="D241" s="17" t="s">
        <v>1718</v>
      </c>
      <c r="E241" s="9" t="s">
        <v>1719</v>
      </c>
      <c r="F241" s="9" t="s">
        <v>1198</v>
      </c>
      <c r="G241" s="9" t="s">
        <v>40</v>
      </c>
      <c r="H241" s="9" t="s">
        <v>1720</v>
      </c>
      <c r="I241" s="13" t="s">
        <v>692</v>
      </c>
      <c r="J241" s="19"/>
      <c r="K241" s="14"/>
      <c r="L241" s="14"/>
      <c r="M241" s="14"/>
      <c r="N241" s="22"/>
      <c r="O241" s="12" t="str">
        <f t="shared" si="3"/>
        <v>Pendiente</v>
      </c>
    </row>
    <row r="242" spans="1:15" ht="61.95" customHeight="1">
      <c r="A242" s="17" t="s">
        <v>164</v>
      </c>
      <c r="B242" s="9" t="s">
        <v>108</v>
      </c>
      <c r="C242" s="9" t="s">
        <v>165</v>
      </c>
      <c r="D242" s="17" t="s">
        <v>1721</v>
      </c>
      <c r="E242" s="9" t="s">
        <v>1722</v>
      </c>
      <c r="F242" s="9" t="s">
        <v>1198</v>
      </c>
      <c r="G242" s="9" t="s">
        <v>40</v>
      </c>
      <c r="H242" s="9" t="s">
        <v>1723</v>
      </c>
      <c r="I242" s="13" t="s">
        <v>692</v>
      </c>
      <c r="J242" s="19"/>
      <c r="K242" s="14"/>
      <c r="L242" s="14"/>
      <c r="M242" s="14"/>
      <c r="N242" s="22"/>
      <c r="O242" s="12" t="str">
        <f t="shared" si="3"/>
        <v>Pendiente</v>
      </c>
    </row>
    <row r="243" spans="1:15" ht="61.95" customHeight="1">
      <c r="A243" s="17" t="s">
        <v>180</v>
      </c>
      <c r="B243" s="9" t="s">
        <v>108</v>
      </c>
      <c r="C243" s="9" t="s">
        <v>181</v>
      </c>
      <c r="D243" s="17" t="s">
        <v>1724</v>
      </c>
      <c r="E243" s="9" t="s">
        <v>1725</v>
      </c>
      <c r="F243" s="9" t="s">
        <v>1198</v>
      </c>
      <c r="G243" s="9" t="s">
        <v>40</v>
      </c>
      <c r="H243" s="9" t="s">
        <v>1726</v>
      </c>
      <c r="I243" s="13" t="s">
        <v>692</v>
      </c>
      <c r="J243" s="19"/>
      <c r="K243" s="14"/>
      <c r="L243" s="14"/>
      <c r="M243" s="14"/>
      <c r="N243" s="22"/>
      <c r="O243" s="12" t="str">
        <f t="shared" si="3"/>
        <v>Pendiente</v>
      </c>
    </row>
    <row r="244" spans="1:15" ht="61.95" customHeight="1">
      <c r="A244" s="17" t="s">
        <v>182</v>
      </c>
      <c r="B244" s="9" t="s">
        <v>108</v>
      </c>
      <c r="C244" s="9" t="s">
        <v>183</v>
      </c>
      <c r="D244" s="17" t="s">
        <v>1727</v>
      </c>
      <c r="E244" s="9" t="s">
        <v>1728</v>
      </c>
      <c r="F244" s="9" t="s">
        <v>1198</v>
      </c>
      <c r="G244" s="9" t="s">
        <v>40</v>
      </c>
      <c r="H244" s="9" t="s">
        <v>1232</v>
      </c>
      <c r="I244" s="13" t="s">
        <v>692</v>
      </c>
      <c r="J244" s="19"/>
      <c r="K244" s="14"/>
      <c r="L244" s="14"/>
      <c r="M244" s="14"/>
      <c r="N244" s="22"/>
      <c r="O244" s="12" t="str">
        <f t="shared" si="3"/>
        <v>Pendiente</v>
      </c>
    </row>
    <row r="245" spans="1:15" ht="61.95" customHeight="1">
      <c r="A245" s="17" t="s">
        <v>184</v>
      </c>
      <c r="B245" s="9" t="s">
        <v>108</v>
      </c>
      <c r="C245" s="9" t="s">
        <v>185</v>
      </c>
      <c r="D245" s="17" t="s">
        <v>1729</v>
      </c>
      <c r="E245" s="9" t="s">
        <v>1730</v>
      </c>
      <c r="F245" s="9" t="s">
        <v>1198</v>
      </c>
      <c r="G245" s="9" t="s">
        <v>40</v>
      </c>
      <c r="H245" s="9" t="s">
        <v>1235</v>
      </c>
      <c r="I245" s="13" t="s">
        <v>692</v>
      </c>
      <c r="J245" s="19"/>
      <c r="K245" s="14"/>
      <c r="L245" s="14"/>
      <c r="M245" s="14"/>
      <c r="N245" s="22"/>
      <c r="O245" s="12" t="str">
        <f t="shared" si="3"/>
        <v>Pendiente</v>
      </c>
    </row>
    <row r="246" spans="1:15" ht="61.95" customHeight="1">
      <c r="A246" s="17" t="s">
        <v>186</v>
      </c>
      <c r="B246" s="9" t="s">
        <v>108</v>
      </c>
      <c r="C246" s="9" t="s">
        <v>187</v>
      </c>
      <c r="D246" s="17" t="s">
        <v>1731</v>
      </c>
      <c r="E246" s="9" t="s">
        <v>1732</v>
      </c>
      <c r="F246" s="9" t="s">
        <v>1198</v>
      </c>
      <c r="G246" s="9" t="s">
        <v>40</v>
      </c>
      <c r="H246" s="9" t="s">
        <v>1733</v>
      </c>
      <c r="I246" s="13" t="s">
        <v>692</v>
      </c>
      <c r="J246" s="19"/>
      <c r="K246" s="14"/>
      <c r="L246" s="14"/>
      <c r="M246" s="14"/>
      <c r="N246" s="22"/>
      <c r="O246" s="12" t="str">
        <f t="shared" si="3"/>
        <v>Pendiente</v>
      </c>
    </row>
    <row r="247" spans="1:15" ht="61.95" customHeight="1">
      <c r="A247" s="17" t="s">
        <v>210</v>
      </c>
      <c r="B247" s="9" t="s">
        <v>108</v>
      </c>
      <c r="C247" s="9" t="s">
        <v>211</v>
      </c>
      <c r="D247" s="17" t="s">
        <v>1734</v>
      </c>
      <c r="E247" s="9" t="s">
        <v>1735</v>
      </c>
      <c r="F247" s="9" t="s">
        <v>1198</v>
      </c>
      <c r="G247" s="9" t="s">
        <v>40</v>
      </c>
      <c r="H247" s="9" t="s">
        <v>1736</v>
      </c>
      <c r="I247" s="13" t="s">
        <v>692</v>
      </c>
      <c r="J247" s="19"/>
      <c r="K247" s="14"/>
      <c r="L247" s="14"/>
      <c r="M247" s="14"/>
      <c r="N247" s="22"/>
      <c r="O247" s="12" t="str">
        <f t="shared" si="3"/>
        <v>Pendiente</v>
      </c>
    </row>
    <row r="248" spans="1:15" ht="61.95" customHeight="1">
      <c r="A248" s="17" t="s">
        <v>212</v>
      </c>
      <c r="B248" s="9" t="s">
        <v>108</v>
      </c>
      <c r="C248" s="9" t="s">
        <v>213</v>
      </c>
      <c r="D248" s="17" t="s">
        <v>1737</v>
      </c>
      <c r="E248" s="9" t="s">
        <v>1738</v>
      </c>
      <c r="F248" s="9" t="s">
        <v>1198</v>
      </c>
      <c r="G248" s="9" t="s">
        <v>40</v>
      </c>
      <c r="H248" s="9" t="s">
        <v>1739</v>
      </c>
      <c r="I248" s="13" t="s">
        <v>692</v>
      </c>
      <c r="J248" s="19"/>
      <c r="K248" s="14"/>
      <c r="L248" s="14"/>
      <c r="M248" s="14"/>
      <c r="N248" s="22"/>
      <c r="O248" s="12" t="str">
        <f t="shared" si="3"/>
        <v>Pendiente</v>
      </c>
    </row>
    <row r="249" spans="1:15" ht="61.95" customHeight="1">
      <c r="A249" s="17" t="s">
        <v>220</v>
      </c>
      <c r="B249" s="9" t="s">
        <v>108</v>
      </c>
      <c r="C249" s="9" t="s">
        <v>221</v>
      </c>
      <c r="D249" s="17" t="s">
        <v>1740</v>
      </c>
      <c r="E249" s="9" t="s">
        <v>1741</v>
      </c>
      <c r="F249" s="9" t="s">
        <v>1198</v>
      </c>
      <c r="G249" s="9" t="s">
        <v>40</v>
      </c>
      <c r="H249" s="9" t="s">
        <v>1742</v>
      </c>
      <c r="I249" s="13" t="s">
        <v>692</v>
      </c>
      <c r="J249" s="19"/>
      <c r="K249" s="14"/>
      <c r="L249" s="14"/>
      <c r="M249" s="14"/>
      <c r="N249" s="22"/>
      <c r="O249" s="12" t="str">
        <f t="shared" si="3"/>
        <v>Pendiente</v>
      </c>
    </row>
    <row r="250" spans="1:15" ht="61.95" customHeight="1">
      <c r="A250" s="17" t="s">
        <v>222</v>
      </c>
      <c r="B250" s="9" t="s">
        <v>108</v>
      </c>
      <c r="C250" s="9" t="s">
        <v>223</v>
      </c>
      <c r="D250" s="17" t="s">
        <v>1743</v>
      </c>
      <c r="E250" s="9" t="s">
        <v>1744</v>
      </c>
      <c r="F250" s="9" t="s">
        <v>1198</v>
      </c>
      <c r="G250" s="9" t="s">
        <v>40</v>
      </c>
      <c r="H250" s="9" t="s">
        <v>1253</v>
      </c>
      <c r="I250" s="13" t="s">
        <v>692</v>
      </c>
      <c r="J250" s="19"/>
      <c r="K250" s="14"/>
      <c r="L250" s="14"/>
      <c r="M250" s="14"/>
      <c r="N250" s="22"/>
      <c r="O250" s="12" t="str">
        <f t="shared" si="3"/>
        <v>Pendiente</v>
      </c>
    </row>
    <row r="251" spans="1:15" ht="61.95" customHeight="1">
      <c r="A251" s="17" t="s">
        <v>224</v>
      </c>
      <c r="B251" s="9" t="s">
        <v>108</v>
      </c>
      <c r="C251" s="9" t="s">
        <v>225</v>
      </c>
      <c r="D251" s="17" t="s">
        <v>1745</v>
      </c>
      <c r="E251" s="9" t="s">
        <v>1746</v>
      </c>
      <c r="F251" s="9" t="s">
        <v>1198</v>
      </c>
      <c r="G251" s="9" t="s">
        <v>40</v>
      </c>
      <c r="H251" s="9" t="s">
        <v>1256</v>
      </c>
      <c r="I251" s="13" t="s">
        <v>692</v>
      </c>
      <c r="J251" s="19"/>
      <c r="K251" s="14"/>
      <c r="L251" s="14"/>
      <c r="M251" s="14"/>
      <c r="N251" s="22"/>
      <c r="O251" s="12" t="str">
        <f t="shared" si="3"/>
        <v>Pendiente</v>
      </c>
    </row>
    <row r="252" spans="1:15" ht="61.95" customHeight="1">
      <c r="A252" s="17" t="s">
        <v>228</v>
      </c>
      <c r="B252" s="9" t="s">
        <v>108</v>
      </c>
      <c r="C252" s="9" t="s">
        <v>229</v>
      </c>
      <c r="D252" s="17" t="s">
        <v>1747</v>
      </c>
      <c r="E252" s="9" t="s">
        <v>1748</v>
      </c>
      <c r="F252" s="9" t="s">
        <v>1198</v>
      </c>
      <c r="G252" s="9" t="s">
        <v>40</v>
      </c>
      <c r="H252" s="9" t="s">
        <v>1259</v>
      </c>
      <c r="I252" s="13" t="s">
        <v>692</v>
      </c>
      <c r="J252" s="19"/>
      <c r="K252" s="14"/>
      <c r="L252" s="14"/>
      <c r="M252" s="14"/>
      <c r="N252" s="22"/>
      <c r="O252" s="12" t="str">
        <f t="shared" si="3"/>
        <v>Pendiente</v>
      </c>
    </row>
    <row r="253" spans="1:15" ht="61.95" customHeight="1">
      <c r="A253" s="17" t="s">
        <v>236</v>
      </c>
      <c r="B253" s="9" t="s">
        <v>108</v>
      </c>
      <c r="C253" s="9" t="s">
        <v>237</v>
      </c>
      <c r="D253" s="17" t="s">
        <v>1749</v>
      </c>
      <c r="E253" s="9" t="s">
        <v>1750</v>
      </c>
      <c r="F253" s="9" t="s">
        <v>1198</v>
      </c>
      <c r="G253" s="9" t="s">
        <v>40</v>
      </c>
      <c r="H253" s="9" t="s">
        <v>1751</v>
      </c>
      <c r="I253" s="13" t="s">
        <v>692</v>
      </c>
      <c r="J253" s="19"/>
      <c r="K253" s="14"/>
      <c r="L253" s="14"/>
      <c r="M253" s="14"/>
      <c r="N253" s="22"/>
      <c r="O253" s="12" t="str">
        <f t="shared" si="3"/>
        <v>Pendiente</v>
      </c>
    </row>
    <row r="254" spans="1:15" ht="61.95" customHeight="1">
      <c r="A254" s="17" t="s">
        <v>238</v>
      </c>
      <c r="B254" s="9" t="s">
        <v>108</v>
      </c>
      <c r="C254" s="9" t="s">
        <v>239</v>
      </c>
      <c r="D254" s="17" t="s">
        <v>1752</v>
      </c>
      <c r="E254" s="9" t="s">
        <v>1753</v>
      </c>
      <c r="F254" s="9" t="s">
        <v>1198</v>
      </c>
      <c r="G254" s="9" t="s">
        <v>40</v>
      </c>
      <c r="H254" s="9" t="s">
        <v>1754</v>
      </c>
      <c r="I254" s="13" t="s">
        <v>692</v>
      </c>
      <c r="J254" s="19"/>
      <c r="K254" s="14"/>
      <c r="L254" s="14"/>
      <c r="M254" s="14"/>
      <c r="N254" s="22"/>
      <c r="O254" s="12" t="str">
        <f t="shared" si="3"/>
        <v>Pendiente</v>
      </c>
    </row>
    <row r="255" spans="1:15" ht="61.95" customHeight="1">
      <c r="A255" s="17" t="s">
        <v>246</v>
      </c>
      <c r="B255" s="9" t="s">
        <v>108</v>
      </c>
      <c r="C255" s="9" t="s">
        <v>247</v>
      </c>
      <c r="D255" s="17" t="s">
        <v>1755</v>
      </c>
      <c r="E255" s="9" t="s">
        <v>1756</v>
      </c>
      <c r="F255" s="9" t="s">
        <v>1198</v>
      </c>
      <c r="G255" s="9" t="s">
        <v>40</v>
      </c>
      <c r="H255" s="9" t="s">
        <v>1757</v>
      </c>
      <c r="I255" s="13" t="s">
        <v>692</v>
      </c>
      <c r="J255" s="19"/>
      <c r="K255" s="14"/>
      <c r="L255" s="14"/>
      <c r="M255" s="14"/>
      <c r="N255" s="22"/>
      <c r="O255" s="12" t="str">
        <f t="shared" si="3"/>
        <v>Pendiente</v>
      </c>
    </row>
    <row r="256" spans="1:15" ht="61.95" customHeight="1">
      <c r="A256" s="17" t="s">
        <v>248</v>
      </c>
      <c r="B256" s="9" t="s">
        <v>108</v>
      </c>
      <c r="C256" s="9" t="s">
        <v>249</v>
      </c>
      <c r="D256" s="17" t="s">
        <v>1758</v>
      </c>
      <c r="E256" s="9" t="s">
        <v>1759</v>
      </c>
      <c r="F256" s="9" t="s">
        <v>1198</v>
      </c>
      <c r="G256" s="9" t="s">
        <v>40</v>
      </c>
      <c r="H256" s="9" t="s">
        <v>1760</v>
      </c>
      <c r="I256" s="13" t="s">
        <v>692</v>
      </c>
      <c r="J256" s="19"/>
      <c r="K256" s="14"/>
      <c r="L256" s="14"/>
      <c r="M256" s="14"/>
      <c r="N256" s="22"/>
      <c r="O256" s="12" t="str">
        <f t="shared" si="3"/>
        <v>Pendiente</v>
      </c>
    </row>
    <row r="257" spans="1:15" ht="61.95" customHeight="1">
      <c r="A257" s="17" t="s">
        <v>250</v>
      </c>
      <c r="B257" s="9" t="s">
        <v>108</v>
      </c>
      <c r="C257" s="9" t="s">
        <v>251</v>
      </c>
      <c r="D257" s="17" t="s">
        <v>1761</v>
      </c>
      <c r="E257" s="9" t="s">
        <v>1762</v>
      </c>
      <c r="F257" s="9" t="s">
        <v>1198</v>
      </c>
      <c r="G257" s="9" t="s">
        <v>40</v>
      </c>
      <c r="H257" s="9" t="s">
        <v>1274</v>
      </c>
      <c r="I257" s="13" t="s">
        <v>692</v>
      </c>
      <c r="J257" s="19"/>
      <c r="K257" s="14"/>
      <c r="L257" s="14"/>
      <c r="M257" s="14"/>
      <c r="N257" s="22"/>
      <c r="O257" s="12" t="str">
        <f t="shared" si="3"/>
        <v>Pendiente</v>
      </c>
    </row>
    <row r="258" spans="1:15" ht="61.95" customHeight="1">
      <c r="A258" s="17" t="s">
        <v>256</v>
      </c>
      <c r="B258" s="9" t="s">
        <v>108</v>
      </c>
      <c r="C258" s="9" t="s">
        <v>257</v>
      </c>
      <c r="D258" s="17" t="s">
        <v>1763</v>
      </c>
      <c r="E258" s="9" t="s">
        <v>1764</v>
      </c>
      <c r="F258" s="9" t="s">
        <v>1198</v>
      </c>
      <c r="G258" s="9" t="s">
        <v>40</v>
      </c>
      <c r="H258" s="9" t="s">
        <v>1280</v>
      </c>
      <c r="I258" s="13" t="s">
        <v>692</v>
      </c>
      <c r="J258" s="19"/>
      <c r="K258" s="14"/>
      <c r="L258" s="14"/>
      <c r="M258" s="14"/>
      <c r="N258" s="22"/>
      <c r="O258" s="12" t="str">
        <f t="shared" si="3"/>
        <v>Pendiente</v>
      </c>
    </row>
    <row r="259" spans="1:15" ht="61.95" customHeight="1">
      <c r="A259" s="17" t="s">
        <v>260</v>
      </c>
      <c r="B259" s="9" t="s">
        <v>108</v>
      </c>
      <c r="C259" s="9" t="s">
        <v>261</v>
      </c>
      <c r="D259" s="17" t="s">
        <v>1765</v>
      </c>
      <c r="E259" s="9" t="s">
        <v>1766</v>
      </c>
      <c r="F259" s="9" t="s">
        <v>1198</v>
      </c>
      <c r="G259" s="9" t="s">
        <v>40</v>
      </c>
      <c r="H259" s="9" t="s">
        <v>1767</v>
      </c>
      <c r="I259" s="13" t="s">
        <v>692</v>
      </c>
      <c r="J259" s="19"/>
      <c r="K259" s="14"/>
      <c r="L259" s="14"/>
      <c r="M259" s="14"/>
      <c r="N259" s="22"/>
      <c r="O259" s="12" t="str">
        <f t="shared" si="3"/>
        <v>Pendiente</v>
      </c>
    </row>
    <row r="260" spans="1:15" ht="61.95" customHeight="1">
      <c r="A260" s="17" t="s">
        <v>272</v>
      </c>
      <c r="B260" s="9" t="s">
        <v>108</v>
      </c>
      <c r="C260" s="9" t="s">
        <v>273</v>
      </c>
      <c r="D260" s="17" t="s">
        <v>1768</v>
      </c>
      <c r="E260" s="9" t="s">
        <v>1769</v>
      </c>
      <c r="F260" s="9" t="s">
        <v>1198</v>
      </c>
      <c r="G260" s="9" t="s">
        <v>40</v>
      </c>
      <c r="H260" s="9" t="s">
        <v>1770</v>
      </c>
      <c r="I260" s="13" t="s">
        <v>692</v>
      </c>
      <c r="J260" s="19"/>
      <c r="K260" s="14"/>
      <c r="L260" s="14"/>
      <c r="M260" s="14"/>
      <c r="N260" s="22"/>
      <c r="O260" s="12" t="str">
        <f t="shared" si="3"/>
        <v>Pendiente</v>
      </c>
    </row>
    <row r="261" spans="1:15" ht="61.95" customHeight="1">
      <c r="A261" s="17" t="s">
        <v>286</v>
      </c>
      <c r="B261" s="9" t="s">
        <v>108</v>
      </c>
      <c r="C261" s="9" t="s">
        <v>287</v>
      </c>
      <c r="D261" s="17" t="s">
        <v>1771</v>
      </c>
      <c r="E261" s="9" t="s">
        <v>1772</v>
      </c>
      <c r="F261" s="9" t="s">
        <v>1198</v>
      </c>
      <c r="G261" s="9" t="s">
        <v>40</v>
      </c>
      <c r="H261" s="9" t="s">
        <v>1773</v>
      </c>
      <c r="I261" s="13" t="s">
        <v>692</v>
      </c>
      <c r="J261" s="19"/>
      <c r="K261" s="14"/>
      <c r="L261" s="14"/>
      <c r="M261" s="14"/>
      <c r="N261" s="22"/>
      <c r="O261" s="12" t="str">
        <f t="shared" si="3"/>
        <v>Pendiente</v>
      </c>
    </row>
    <row r="262" spans="1:15" ht="61.95" customHeight="1">
      <c r="A262" s="17" t="s">
        <v>288</v>
      </c>
      <c r="B262" s="9" t="s">
        <v>108</v>
      </c>
      <c r="C262" s="9" t="s">
        <v>289</v>
      </c>
      <c r="D262" s="17" t="s">
        <v>1774</v>
      </c>
      <c r="E262" s="9" t="s">
        <v>1775</v>
      </c>
      <c r="F262" s="9" t="s">
        <v>1198</v>
      </c>
      <c r="G262" s="9" t="s">
        <v>40</v>
      </c>
      <c r="H262" s="9" t="s">
        <v>1298</v>
      </c>
      <c r="I262" s="13" t="s">
        <v>692</v>
      </c>
      <c r="J262" s="19"/>
      <c r="K262" s="14"/>
      <c r="L262" s="14"/>
      <c r="M262" s="14"/>
      <c r="N262" s="22"/>
      <c r="O262" s="12" t="str">
        <f t="shared" si="3"/>
        <v>Pendiente</v>
      </c>
    </row>
    <row r="263" spans="1:15" ht="61.95" customHeight="1">
      <c r="A263" s="17" t="s">
        <v>292</v>
      </c>
      <c r="B263" s="9" t="s">
        <v>108</v>
      </c>
      <c r="C263" s="9" t="s">
        <v>293</v>
      </c>
      <c r="D263" s="17" t="s">
        <v>1776</v>
      </c>
      <c r="E263" s="9" t="s">
        <v>1777</v>
      </c>
      <c r="F263" s="9" t="s">
        <v>1198</v>
      </c>
      <c r="G263" s="9" t="s">
        <v>40</v>
      </c>
      <c r="H263" s="9" t="s">
        <v>1301</v>
      </c>
      <c r="I263" s="13" t="s">
        <v>692</v>
      </c>
      <c r="J263" s="19"/>
      <c r="K263" s="14"/>
      <c r="L263" s="14"/>
      <c r="M263" s="14"/>
      <c r="N263" s="22"/>
      <c r="O263" s="12" t="str">
        <f t="shared" si="3"/>
        <v>Pendiente</v>
      </c>
    </row>
    <row r="264" spans="1:15" ht="61.95" customHeight="1">
      <c r="A264" s="17" t="s">
        <v>306</v>
      </c>
      <c r="B264" s="9" t="s">
        <v>108</v>
      </c>
      <c r="C264" s="9" t="s">
        <v>307</v>
      </c>
      <c r="D264" s="17" t="s">
        <v>1778</v>
      </c>
      <c r="E264" s="9" t="s">
        <v>1779</v>
      </c>
      <c r="F264" s="9" t="s">
        <v>1198</v>
      </c>
      <c r="G264" s="9" t="s">
        <v>40</v>
      </c>
      <c r="H264" s="9" t="s">
        <v>1780</v>
      </c>
      <c r="I264" s="13" t="s">
        <v>692</v>
      </c>
      <c r="J264" s="19"/>
      <c r="K264" s="14"/>
      <c r="L264" s="14"/>
      <c r="M264" s="14"/>
      <c r="N264" s="22"/>
      <c r="O264" s="12" t="str">
        <f t="shared" ref="O264:O291" si="4">IF(I264="Pendiente","Pendiente",IF(I264="Equivalente confirmado",IF(OR(J264="",K264=""),"Falta código o nombre",IF(OR(L264="",M264=""),"Falta validación",IF(OR(NOT(ISNUMBER(N264)),N264&lt;=0),"Falta fecha","Homologado"))),IF(I264="Sin equivalente en AVAIN",IF(OR(J264&lt;&gt;"",K264&lt;&gt;""),"Quitar código y nombre",IF(OR(L264="",M264=""),"Falta validación",IF(OR(NOT(ISNUMBER(N264)),N264&lt;=0),"Falta fecha","Sin equivalente confirmado"))),"Revisar decisión")))</f>
        <v>Pendiente</v>
      </c>
    </row>
    <row r="265" spans="1:15" ht="61.95" customHeight="1">
      <c r="A265" s="17" t="s">
        <v>318</v>
      </c>
      <c r="B265" s="9" t="s">
        <v>108</v>
      </c>
      <c r="C265" s="9" t="s">
        <v>319</v>
      </c>
      <c r="D265" s="17" t="s">
        <v>1781</v>
      </c>
      <c r="E265" s="9" t="s">
        <v>1782</v>
      </c>
      <c r="F265" s="9" t="s">
        <v>1198</v>
      </c>
      <c r="G265" s="9" t="s">
        <v>40</v>
      </c>
      <c r="H265" s="9" t="s">
        <v>1783</v>
      </c>
      <c r="I265" s="13" t="s">
        <v>692</v>
      </c>
      <c r="J265" s="19"/>
      <c r="K265" s="14"/>
      <c r="L265" s="14"/>
      <c r="M265" s="14"/>
      <c r="N265" s="22"/>
      <c r="O265" s="12" t="str">
        <f t="shared" si="4"/>
        <v>Pendiente</v>
      </c>
    </row>
    <row r="266" spans="1:15" ht="61.95" customHeight="1">
      <c r="A266" s="17" t="s">
        <v>332</v>
      </c>
      <c r="B266" s="9" t="s">
        <v>108</v>
      </c>
      <c r="C266" s="9" t="s">
        <v>333</v>
      </c>
      <c r="D266" s="17" t="s">
        <v>1784</v>
      </c>
      <c r="E266" s="9" t="s">
        <v>1785</v>
      </c>
      <c r="F266" s="9" t="s">
        <v>1198</v>
      </c>
      <c r="G266" s="9" t="s">
        <v>40</v>
      </c>
      <c r="H266" s="9" t="s">
        <v>1786</v>
      </c>
      <c r="I266" s="13" t="s">
        <v>692</v>
      </c>
      <c r="J266" s="19"/>
      <c r="K266" s="14"/>
      <c r="L266" s="14"/>
      <c r="M266" s="14"/>
      <c r="N266" s="22"/>
      <c r="O266" s="12" t="str">
        <f t="shared" si="4"/>
        <v>Pendiente</v>
      </c>
    </row>
    <row r="267" spans="1:15" ht="61.95" customHeight="1">
      <c r="A267" s="17" t="s">
        <v>346</v>
      </c>
      <c r="B267" s="9" t="s">
        <v>108</v>
      </c>
      <c r="C267" s="9" t="s">
        <v>347</v>
      </c>
      <c r="D267" s="17" t="s">
        <v>1787</v>
      </c>
      <c r="E267" s="9" t="s">
        <v>1788</v>
      </c>
      <c r="F267" s="9" t="s">
        <v>1198</v>
      </c>
      <c r="G267" s="9" t="s">
        <v>40</v>
      </c>
      <c r="H267" s="9" t="s">
        <v>1322</v>
      </c>
      <c r="I267" s="13" t="s">
        <v>692</v>
      </c>
      <c r="J267" s="19"/>
      <c r="K267" s="14"/>
      <c r="L267" s="14"/>
      <c r="M267" s="14"/>
      <c r="N267" s="22"/>
      <c r="O267" s="12" t="str">
        <f t="shared" si="4"/>
        <v>Pendiente</v>
      </c>
    </row>
    <row r="268" spans="1:15" ht="61.95" customHeight="1">
      <c r="A268" s="17" t="s">
        <v>354</v>
      </c>
      <c r="B268" s="9" t="s">
        <v>108</v>
      </c>
      <c r="C268" s="9" t="s">
        <v>355</v>
      </c>
      <c r="D268" s="17" t="s">
        <v>1789</v>
      </c>
      <c r="E268" s="9" t="s">
        <v>1790</v>
      </c>
      <c r="F268" s="9" t="s">
        <v>1198</v>
      </c>
      <c r="G268" s="9" t="s">
        <v>40</v>
      </c>
      <c r="H268" s="9" t="s">
        <v>1331</v>
      </c>
      <c r="I268" s="13" t="s">
        <v>692</v>
      </c>
      <c r="J268" s="19"/>
      <c r="K268" s="14"/>
      <c r="L268" s="14"/>
      <c r="M268" s="14"/>
      <c r="N268" s="22"/>
      <c r="O268" s="12" t="str">
        <f t="shared" si="4"/>
        <v>Pendiente</v>
      </c>
    </row>
    <row r="269" spans="1:15" ht="61.95" customHeight="1">
      <c r="A269" s="17" t="s">
        <v>356</v>
      </c>
      <c r="B269" s="9" t="s">
        <v>357</v>
      </c>
      <c r="C269" s="9" t="s">
        <v>358</v>
      </c>
      <c r="D269" s="17" t="s">
        <v>1791</v>
      </c>
      <c r="E269" s="9" t="s">
        <v>358</v>
      </c>
      <c r="F269" s="9" t="s">
        <v>1198</v>
      </c>
      <c r="G269" s="9" t="s">
        <v>40</v>
      </c>
      <c r="H269" s="9" t="s">
        <v>1334</v>
      </c>
      <c r="I269" s="13" t="s">
        <v>692</v>
      </c>
      <c r="J269" s="19"/>
      <c r="K269" s="14"/>
      <c r="L269" s="14"/>
      <c r="M269" s="14"/>
      <c r="N269" s="22"/>
      <c r="O269" s="12" t="str">
        <f t="shared" si="4"/>
        <v>Pendiente</v>
      </c>
    </row>
    <row r="270" spans="1:15" ht="61.95" customHeight="1">
      <c r="A270" s="17" t="s">
        <v>359</v>
      </c>
      <c r="B270" s="9" t="s">
        <v>357</v>
      </c>
      <c r="C270" s="9" t="s">
        <v>360</v>
      </c>
      <c r="D270" s="17" t="s">
        <v>1792</v>
      </c>
      <c r="E270" s="9" t="s">
        <v>360</v>
      </c>
      <c r="F270" s="9" t="s">
        <v>1198</v>
      </c>
      <c r="G270" s="9" t="s">
        <v>40</v>
      </c>
      <c r="H270" s="9" t="s">
        <v>1337</v>
      </c>
      <c r="I270" s="13" t="s">
        <v>692</v>
      </c>
      <c r="J270" s="19"/>
      <c r="K270" s="14"/>
      <c r="L270" s="14"/>
      <c r="M270" s="14"/>
      <c r="N270" s="22"/>
      <c r="O270" s="12" t="str">
        <f t="shared" si="4"/>
        <v>Pendiente</v>
      </c>
    </row>
    <row r="271" spans="1:15" ht="61.95" customHeight="1">
      <c r="A271" s="17" t="s">
        <v>363</v>
      </c>
      <c r="B271" s="9" t="s">
        <v>357</v>
      </c>
      <c r="C271" s="9" t="s">
        <v>364</v>
      </c>
      <c r="D271" s="17" t="s">
        <v>1793</v>
      </c>
      <c r="E271" s="9" t="s">
        <v>364</v>
      </c>
      <c r="F271" s="9" t="s">
        <v>1198</v>
      </c>
      <c r="G271" s="9" t="s">
        <v>40</v>
      </c>
      <c r="H271" s="9" t="s">
        <v>1343</v>
      </c>
      <c r="I271" s="13" t="s">
        <v>692</v>
      </c>
      <c r="J271" s="19"/>
      <c r="K271" s="14"/>
      <c r="L271" s="14"/>
      <c r="M271" s="14"/>
      <c r="N271" s="22"/>
      <c r="O271" s="12" t="str">
        <f t="shared" si="4"/>
        <v>Pendiente</v>
      </c>
    </row>
    <row r="272" spans="1:15" ht="61.95" customHeight="1">
      <c r="A272" s="17" t="s">
        <v>367</v>
      </c>
      <c r="B272" s="9" t="s">
        <v>357</v>
      </c>
      <c r="C272" s="9" t="s">
        <v>368</v>
      </c>
      <c r="D272" s="17" t="s">
        <v>1794</v>
      </c>
      <c r="E272" s="9" t="s">
        <v>368</v>
      </c>
      <c r="F272" s="9" t="s">
        <v>1198</v>
      </c>
      <c r="G272" s="9" t="s">
        <v>40</v>
      </c>
      <c r="H272" s="9" t="s">
        <v>1795</v>
      </c>
      <c r="I272" s="13" t="s">
        <v>692</v>
      </c>
      <c r="J272" s="19"/>
      <c r="K272" s="14"/>
      <c r="L272" s="14"/>
      <c r="M272" s="14"/>
      <c r="N272" s="22"/>
      <c r="O272" s="12" t="str">
        <f t="shared" si="4"/>
        <v>Pendiente</v>
      </c>
    </row>
    <row r="273" spans="1:15" ht="61.95" customHeight="1">
      <c r="A273" s="17" t="s">
        <v>375</v>
      </c>
      <c r="B273" s="9" t="s">
        <v>357</v>
      </c>
      <c r="C273" s="9" t="s">
        <v>376</v>
      </c>
      <c r="D273" s="17" t="s">
        <v>1796</v>
      </c>
      <c r="E273" s="9" t="s">
        <v>1797</v>
      </c>
      <c r="F273" s="9" t="s">
        <v>1198</v>
      </c>
      <c r="G273" s="9" t="s">
        <v>40</v>
      </c>
      <c r="H273" s="9" t="s">
        <v>1798</v>
      </c>
      <c r="I273" s="13" t="s">
        <v>692</v>
      </c>
      <c r="J273" s="19"/>
      <c r="K273" s="14"/>
      <c r="L273" s="14"/>
      <c r="M273" s="14"/>
      <c r="N273" s="22"/>
      <c r="O273" s="12" t="str">
        <f t="shared" si="4"/>
        <v>Pendiente</v>
      </c>
    </row>
    <row r="274" spans="1:15" ht="61.95" customHeight="1">
      <c r="A274" s="17" t="s">
        <v>377</v>
      </c>
      <c r="B274" s="9" t="s">
        <v>357</v>
      </c>
      <c r="C274" s="9" t="s">
        <v>378</v>
      </c>
      <c r="D274" s="17" t="s">
        <v>1799</v>
      </c>
      <c r="E274" s="9" t="s">
        <v>1800</v>
      </c>
      <c r="F274" s="9" t="s">
        <v>1198</v>
      </c>
      <c r="G274" s="9" t="s">
        <v>40</v>
      </c>
      <c r="H274" s="9" t="s">
        <v>1346</v>
      </c>
      <c r="I274" s="13" t="s">
        <v>692</v>
      </c>
      <c r="J274" s="19"/>
      <c r="K274" s="14"/>
      <c r="L274" s="14"/>
      <c r="M274" s="14"/>
      <c r="N274" s="22"/>
      <c r="O274" s="12" t="str">
        <f t="shared" si="4"/>
        <v>Pendiente</v>
      </c>
    </row>
    <row r="275" spans="1:15" ht="61.95" customHeight="1">
      <c r="A275" s="17" t="s">
        <v>379</v>
      </c>
      <c r="B275" s="9" t="s">
        <v>357</v>
      </c>
      <c r="C275" s="9" t="s">
        <v>380</v>
      </c>
      <c r="D275" s="17" t="s">
        <v>1801</v>
      </c>
      <c r="E275" s="9" t="s">
        <v>1802</v>
      </c>
      <c r="F275" s="9" t="s">
        <v>1198</v>
      </c>
      <c r="G275" s="9" t="s">
        <v>40</v>
      </c>
      <c r="H275" s="9" t="s">
        <v>1349</v>
      </c>
      <c r="I275" s="13" t="s">
        <v>692</v>
      </c>
      <c r="J275" s="19"/>
      <c r="K275" s="14"/>
      <c r="L275" s="14"/>
      <c r="M275" s="14"/>
      <c r="N275" s="22"/>
      <c r="O275" s="12" t="str">
        <f t="shared" si="4"/>
        <v>Pendiente</v>
      </c>
    </row>
    <row r="276" spans="1:15" ht="61.95" customHeight="1">
      <c r="A276" s="17" t="s">
        <v>381</v>
      </c>
      <c r="B276" s="9" t="s">
        <v>357</v>
      </c>
      <c r="C276" s="9" t="s">
        <v>382</v>
      </c>
      <c r="D276" s="17" t="s">
        <v>1803</v>
      </c>
      <c r="E276" s="9" t="s">
        <v>1804</v>
      </c>
      <c r="F276" s="9" t="s">
        <v>1198</v>
      </c>
      <c r="G276" s="9" t="s">
        <v>40</v>
      </c>
      <c r="H276" s="9" t="s">
        <v>1805</v>
      </c>
      <c r="I276" s="13" t="s">
        <v>692</v>
      </c>
      <c r="J276" s="19"/>
      <c r="K276" s="14"/>
      <c r="L276" s="14"/>
      <c r="M276" s="14"/>
      <c r="N276" s="22"/>
      <c r="O276" s="12" t="str">
        <f t="shared" si="4"/>
        <v>Pendiente</v>
      </c>
    </row>
    <row r="277" spans="1:15" ht="61.95" customHeight="1">
      <c r="A277" s="17" t="s">
        <v>383</v>
      </c>
      <c r="B277" s="9" t="s">
        <v>357</v>
      </c>
      <c r="C277" s="9" t="s">
        <v>384</v>
      </c>
      <c r="D277" s="17" t="s">
        <v>1806</v>
      </c>
      <c r="E277" s="9" t="s">
        <v>1807</v>
      </c>
      <c r="F277" s="9" t="s">
        <v>1198</v>
      </c>
      <c r="G277" s="9" t="s">
        <v>40</v>
      </c>
      <c r="H277" s="9" t="s">
        <v>1352</v>
      </c>
      <c r="I277" s="13" t="s">
        <v>692</v>
      </c>
      <c r="J277" s="19"/>
      <c r="K277" s="14"/>
      <c r="L277" s="14"/>
      <c r="M277" s="14"/>
      <c r="N277" s="22"/>
      <c r="O277" s="12" t="str">
        <f t="shared" si="4"/>
        <v>Pendiente</v>
      </c>
    </row>
    <row r="278" spans="1:15" ht="61.95" customHeight="1">
      <c r="A278" s="17" t="s">
        <v>385</v>
      </c>
      <c r="B278" s="9" t="s">
        <v>357</v>
      </c>
      <c r="C278" s="9" t="s">
        <v>386</v>
      </c>
      <c r="D278" s="17" t="s">
        <v>1808</v>
      </c>
      <c r="E278" s="9" t="s">
        <v>1809</v>
      </c>
      <c r="F278" s="9" t="s">
        <v>1198</v>
      </c>
      <c r="G278" s="9" t="s">
        <v>40</v>
      </c>
      <c r="H278" s="9" t="s">
        <v>1355</v>
      </c>
      <c r="I278" s="13" t="s">
        <v>692</v>
      </c>
      <c r="J278" s="19"/>
      <c r="K278" s="14"/>
      <c r="L278" s="14"/>
      <c r="M278" s="14"/>
      <c r="N278" s="22"/>
      <c r="O278" s="12" t="str">
        <f t="shared" si="4"/>
        <v>Pendiente</v>
      </c>
    </row>
    <row r="279" spans="1:15" ht="61.95" customHeight="1">
      <c r="A279" s="17" t="s">
        <v>387</v>
      </c>
      <c r="B279" s="9" t="s">
        <v>357</v>
      </c>
      <c r="C279" s="9" t="s">
        <v>388</v>
      </c>
      <c r="D279" s="17" t="s">
        <v>1810</v>
      </c>
      <c r="E279" s="9" t="s">
        <v>1811</v>
      </c>
      <c r="F279" s="9" t="s">
        <v>1198</v>
      </c>
      <c r="G279" s="9" t="s">
        <v>40</v>
      </c>
      <c r="H279" s="9" t="s">
        <v>1358</v>
      </c>
      <c r="I279" s="13" t="s">
        <v>692</v>
      </c>
      <c r="J279" s="19"/>
      <c r="K279" s="14"/>
      <c r="L279" s="14"/>
      <c r="M279" s="14"/>
      <c r="N279" s="22"/>
      <c r="O279" s="12" t="str">
        <f t="shared" si="4"/>
        <v>Pendiente</v>
      </c>
    </row>
    <row r="280" spans="1:15" ht="61.95" customHeight="1">
      <c r="A280" s="17" t="s">
        <v>397</v>
      </c>
      <c r="B280" s="9" t="s">
        <v>357</v>
      </c>
      <c r="C280" s="9" t="s">
        <v>398</v>
      </c>
      <c r="D280" s="17" t="s">
        <v>1812</v>
      </c>
      <c r="E280" s="9" t="s">
        <v>1813</v>
      </c>
      <c r="F280" s="9" t="s">
        <v>1198</v>
      </c>
      <c r="G280" s="9" t="s">
        <v>40</v>
      </c>
      <c r="H280" s="9" t="s">
        <v>1814</v>
      </c>
      <c r="I280" s="13" t="s">
        <v>692</v>
      </c>
      <c r="J280" s="19"/>
      <c r="K280" s="14"/>
      <c r="L280" s="14"/>
      <c r="M280" s="14"/>
      <c r="N280" s="22"/>
      <c r="O280" s="12" t="str">
        <f t="shared" si="4"/>
        <v>Pendiente</v>
      </c>
    </row>
    <row r="281" spans="1:15" ht="61.95" customHeight="1">
      <c r="A281" s="17" t="s">
        <v>399</v>
      </c>
      <c r="B281" s="9" t="s">
        <v>357</v>
      </c>
      <c r="C281" s="9" t="s">
        <v>400</v>
      </c>
      <c r="D281" s="17" t="s">
        <v>1815</v>
      </c>
      <c r="E281" s="9" t="s">
        <v>1816</v>
      </c>
      <c r="F281" s="9" t="s">
        <v>1198</v>
      </c>
      <c r="G281" s="9" t="s">
        <v>40</v>
      </c>
      <c r="H281" s="9" t="s">
        <v>1361</v>
      </c>
      <c r="I281" s="13" t="s">
        <v>692</v>
      </c>
      <c r="J281" s="19"/>
      <c r="K281" s="14"/>
      <c r="L281" s="14"/>
      <c r="M281" s="14"/>
      <c r="N281" s="22"/>
      <c r="O281" s="12" t="str">
        <f t="shared" si="4"/>
        <v>Pendiente</v>
      </c>
    </row>
    <row r="282" spans="1:15" ht="61.95" customHeight="1">
      <c r="A282" s="17" t="s">
        <v>405</v>
      </c>
      <c r="B282" s="9" t="s">
        <v>357</v>
      </c>
      <c r="C282" s="9" t="s">
        <v>406</v>
      </c>
      <c r="D282" s="17" t="s">
        <v>1817</v>
      </c>
      <c r="E282" s="9" t="s">
        <v>406</v>
      </c>
      <c r="F282" s="9" t="s">
        <v>1198</v>
      </c>
      <c r="G282" s="9" t="s">
        <v>40</v>
      </c>
      <c r="H282" s="9" t="s">
        <v>1818</v>
      </c>
      <c r="I282" s="13" t="s">
        <v>692</v>
      </c>
      <c r="J282" s="19"/>
      <c r="K282" s="14"/>
      <c r="L282" s="14"/>
      <c r="M282" s="14"/>
      <c r="N282" s="22"/>
      <c r="O282" s="12" t="str">
        <f t="shared" si="4"/>
        <v>Pendiente</v>
      </c>
    </row>
    <row r="283" spans="1:15" ht="61.95" customHeight="1">
      <c r="A283" s="17" t="s">
        <v>417</v>
      </c>
      <c r="B283" s="9" t="s">
        <v>357</v>
      </c>
      <c r="C283" s="9" t="s">
        <v>418</v>
      </c>
      <c r="D283" s="17" t="s">
        <v>1819</v>
      </c>
      <c r="E283" s="9" t="s">
        <v>1820</v>
      </c>
      <c r="F283" s="9" t="s">
        <v>1198</v>
      </c>
      <c r="G283" s="9" t="s">
        <v>40</v>
      </c>
      <c r="H283" s="9" t="s">
        <v>1821</v>
      </c>
      <c r="I283" s="13" t="s">
        <v>692</v>
      </c>
      <c r="J283" s="19"/>
      <c r="K283" s="14"/>
      <c r="L283" s="14"/>
      <c r="M283" s="14"/>
      <c r="N283" s="22"/>
      <c r="O283" s="12" t="str">
        <f t="shared" si="4"/>
        <v>Pendiente</v>
      </c>
    </row>
    <row r="284" spans="1:15" ht="61.95" customHeight="1">
      <c r="A284" s="17" t="s">
        <v>421</v>
      </c>
      <c r="B284" s="9" t="s">
        <v>357</v>
      </c>
      <c r="C284" s="9" t="s">
        <v>422</v>
      </c>
      <c r="D284" s="17" t="s">
        <v>1822</v>
      </c>
      <c r="E284" s="9" t="s">
        <v>1823</v>
      </c>
      <c r="F284" s="9" t="s">
        <v>1198</v>
      </c>
      <c r="G284" s="9" t="s">
        <v>40</v>
      </c>
      <c r="H284" s="9" t="s">
        <v>1824</v>
      </c>
      <c r="I284" s="13" t="s">
        <v>692</v>
      </c>
      <c r="J284" s="19"/>
      <c r="K284" s="14"/>
      <c r="L284" s="14"/>
      <c r="M284" s="14"/>
      <c r="N284" s="22"/>
      <c r="O284" s="12" t="str">
        <f t="shared" si="4"/>
        <v>Pendiente</v>
      </c>
    </row>
    <row r="285" spans="1:15" ht="61.95" customHeight="1">
      <c r="A285" s="17" t="s">
        <v>433</v>
      </c>
      <c r="B285" s="9" t="s">
        <v>357</v>
      </c>
      <c r="C285" s="9" t="s">
        <v>434</v>
      </c>
      <c r="D285" s="17" t="s">
        <v>1825</v>
      </c>
      <c r="E285" s="9" t="s">
        <v>1826</v>
      </c>
      <c r="F285" s="9" t="s">
        <v>1198</v>
      </c>
      <c r="G285" s="9" t="s">
        <v>40</v>
      </c>
      <c r="H285" s="9" t="s">
        <v>1827</v>
      </c>
      <c r="I285" s="13" t="s">
        <v>692</v>
      </c>
      <c r="J285" s="19"/>
      <c r="K285" s="14"/>
      <c r="L285" s="14"/>
      <c r="M285" s="14"/>
      <c r="N285" s="22"/>
      <c r="O285" s="12" t="str">
        <f t="shared" si="4"/>
        <v>Pendiente</v>
      </c>
    </row>
    <row r="286" spans="1:15" ht="61.95" customHeight="1">
      <c r="A286" s="17" t="s">
        <v>445</v>
      </c>
      <c r="B286" s="9" t="s">
        <v>357</v>
      </c>
      <c r="C286" s="9" t="s">
        <v>446</v>
      </c>
      <c r="D286" s="17" t="s">
        <v>1828</v>
      </c>
      <c r="E286" s="9" t="s">
        <v>824</v>
      </c>
      <c r="F286" s="9" t="s">
        <v>1198</v>
      </c>
      <c r="G286" s="9" t="s">
        <v>40</v>
      </c>
      <c r="H286" s="9" t="s">
        <v>1829</v>
      </c>
      <c r="I286" s="13" t="s">
        <v>692</v>
      </c>
      <c r="J286" s="19"/>
      <c r="K286" s="14"/>
      <c r="L286" s="14"/>
      <c r="M286" s="14"/>
      <c r="N286" s="22"/>
      <c r="O286" s="12" t="str">
        <f t="shared" si="4"/>
        <v>Pendiente</v>
      </c>
    </row>
    <row r="287" spans="1:15" ht="61.95" customHeight="1">
      <c r="A287" s="17" t="s">
        <v>453</v>
      </c>
      <c r="B287" s="9" t="s">
        <v>357</v>
      </c>
      <c r="C287" s="9" t="s">
        <v>454</v>
      </c>
      <c r="D287" s="17" t="s">
        <v>1830</v>
      </c>
      <c r="E287" s="9" t="s">
        <v>1831</v>
      </c>
      <c r="F287" s="9" t="s">
        <v>1198</v>
      </c>
      <c r="G287" s="9" t="s">
        <v>40</v>
      </c>
      <c r="H287" s="9" t="s">
        <v>1832</v>
      </c>
      <c r="I287" s="13" t="s">
        <v>692</v>
      </c>
      <c r="J287" s="19"/>
      <c r="K287" s="14"/>
      <c r="L287" s="14"/>
      <c r="M287" s="14"/>
      <c r="N287" s="22"/>
      <c r="O287" s="12" t="str">
        <f t="shared" si="4"/>
        <v>Pendiente</v>
      </c>
    </row>
    <row r="288" spans="1:15" ht="61.95" customHeight="1">
      <c r="A288" s="17" t="s">
        <v>455</v>
      </c>
      <c r="B288" s="9" t="s">
        <v>357</v>
      </c>
      <c r="C288" s="9" t="s">
        <v>456</v>
      </c>
      <c r="D288" s="17" t="s">
        <v>1833</v>
      </c>
      <c r="E288" s="9" t="s">
        <v>1834</v>
      </c>
      <c r="F288" s="9" t="s">
        <v>1198</v>
      </c>
      <c r="G288" s="9" t="s">
        <v>40</v>
      </c>
      <c r="H288" s="9" t="s">
        <v>1379</v>
      </c>
      <c r="I288" s="13" t="s">
        <v>692</v>
      </c>
      <c r="J288" s="19"/>
      <c r="K288" s="14"/>
      <c r="L288" s="14"/>
      <c r="M288" s="14"/>
      <c r="N288" s="22"/>
      <c r="O288" s="12" t="str">
        <f t="shared" si="4"/>
        <v>Pendiente</v>
      </c>
    </row>
    <row r="289" spans="1:15" ht="61.95" customHeight="1">
      <c r="A289" s="17" t="s">
        <v>524</v>
      </c>
      <c r="B289" s="9" t="s">
        <v>464</v>
      </c>
      <c r="C289" s="9" t="s">
        <v>525</v>
      </c>
      <c r="D289" s="17" t="s">
        <v>1835</v>
      </c>
      <c r="E289" s="9" t="s">
        <v>525</v>
      </c>
      <c r="F289" s="9" t="s">
        <v>1198</v>
      </c>
      <c r="G289" s="9" t="s">
        <v>40</v>
      </c>
      <c r="H289" s="9" t="s">
        <v>1400</v>
      </c>
      <c r="I289" s="13" t="s">
        <v>692</v>
      </c>
      <c r="J289" s="19"/>
      <c r="K289" s="14"/>
      <c r="L289" s="14"/>
      <c r="M289" s="14"/>
      <c r="N289" s="22"/>
      <c r="O289" s="12" t="str">
        <f t="shared" si="4"/>
        <v>Pendiente</v>
      </c>
    </row>
    <row r="290" spans="1:15" ht="61.95" customHeight="1">
      <c r="A290" s="17" t="s">
        <v>526</v>
      </c>
      <c r="B290" s="9" t="s">
        <v>464</v>
      </c>
      <c r="C290" s="9" t="s">
        <v>527</v>
      </c>
      <c r="D290" s="17" t="s">
        <v>1836</v>
      </c>
      <c r="E290" s="9" t="s">
        <v>527</v>
      </c>
      <c r="F290" s="9" t="s">
        <v>1198</v>
      </c>
      <c r="G290" s="9" t="s">
        <v>40</v>
      </c>
      <c r="H290" s="9" t="s">
        <v>1403</v>
      </c>
      <c r="I290" s="13" t="s">
        <v>692</v>
      </c>
      <c r="J290" s="19"/>
      <c r="K290" s="14"/>
      <c r="L290" s="14"/>
      <c r="M290" s="14"/>
      <c r="N290" s="22"/>
      <c r="O290" s="12" t="str">
        <f t="shared" si="4"/>
        <v>Pendiente</v>
      </c>
    </row>
    <row r="291" spans="1:15" ht="61.95" customHeight="1">
      <c r="A291" s="17" t="s">
        <v>617</v>
      </c>
      <c r="B291" s="9" t="s">
        <v>537</v>
      </c>
      <c r="C291" s="9" t="s">
        <v>618</v>
      </c>
      <c r="D291" s="17" t="s">
        <v>1837</v>
      </c>
      <c r="E291" s="9" t="s">
        <v>1838</v>
      </c>
      <c r="F291" s="9" t="s">
        <v>1198</v>
      </c>
      <c r="G291" s="9" t="s">
        <v>40</v>
      </c>
      <c r="H291" s="9" t="s">
        <v>1839</v>
      </c>
      <c r="I291" s="15" t="s">
        <v>692</v>
      </c>
      <c r="J291" s="20"/>
      <c r="K291" s="16"/>
      <c r="L291" s="16"/>
      <c r="M291" s="16"/>
      <c r="N291" s="23"/>
      <c r="O291" s="12" t="str">
        <f t="shared" si="4"/>
        <v>Pendiente</v>
      </c>
    </row>
  </sheetData>
  <conditionalFormatting sqref="F8:F291">
    <cfRule type="expression" dxfId="20" priority="4">
      <formula>$F8="Producto distinto"</formula>
    </cfRule>
    <cfRule type="expression" dxfId="19" priority="5">
      <formula>$F8="Variante distinta"</formula>
    </cfRule>
    <cfRule type="expression" dxfId="18" priority="6">
      <formula>$F8="Equipo distinto"</formula>
    </cfRule>
    <cfRule type="expression" dxfId="17" priority="7">
      <formula>$F8="Revisar presentación"</formula>
    </cfRule>
  </conditionalFormatting>
  <conditionalFormatting sqref="O8:O291">
    <cfRule type="expression" dxfId="16" priority="1">
      <formula>$O8="Homologado"</formula>
    </cfRule>
    <cfRule type="expression" dxfId="15" priority="2">
      <formula>$O8="Sin equivalente confirmado"</formula>
    </cfRule>
    <cfRule type="expression" dxfId="14" priority="3">
      <formula>LEFT($O8,5)="Falta"</formula>
    </cfRule>
  </conditionalFormatting>
  <dataValidations count="1">
    <dataValidation type="list" sqref="I8:I291" xr:uid="{00000000-0002-0000-0300-000000000000}">
      <formula1>"Pendiente,Equivalente confirmado,Sin equivalente en AVAIN"</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A6D39"/>
  </sheetPr>
  <dimension ref="A2:O291"/>
  <sheetViews>
    <sheetView showGridLines="0" zoomScale="70" zoomScaleNormal="70" workbookViewId="0">
      <pane xSplit="3" ySplit="7" topLeftCell="D8" activePane="bottomRight" state="frozen"/>
      <selection pane="topRight"/>
      <selection pane="bottomLeft"/>
      <selection pane="bottomRight" activeCell="E8" sqref="E8"/>
    </sheetView>
  </sheetViews>
  <sheetFormatPr baseColWidth="10" defaultColWidth="8.796875" defaultRowHeight="13.8"/>
  <cols>
    <col min="1" max="1" width="14" customWidth="1"/>
    <col min="2" max="2" width="18" customWidth="1"/>
    <col min="3" max="3" width="39" customWidth="1"/>
    <col min="4" max="4" width="17" customWidth="1"/>
    <col min="5" max="5" width="43" customWidth="1"/>
    <col min="6" max="6" width="25" customWidth="1"/>
    <col min="7" max="7" width="19" customWidth="1"/>
    <col min="8" max="8" width="64" customWidth="1"/>
    <col min="9" max="9" width="27" customWidth="1"/>
    <col min="10" max="10" width="18" customWidth="1"/>
    <col min="11" max="11" width="39" customWidth="1"/>
    <col min="12" max="12" width="24" customWidth="1"/>
    <col min="13" max="13" width="25" customWidth="1"/>
    <col min="14" max="14" width="17" customWidth="1"/>
    <col min="15" max="15" width="30" customWidth="1"/>
  </cols>
  <sheetData>
    <row r="2" spans="1:15" ht="31.05" customHeight="1">
      <c r="A2" s="2" t="s">
        <v>1840</v>
      </c>
      <c r="B2" s="1"/>
      <c r="C2" s="1"/>
      <c r="D2" s="1"/>
      <c r="E2" s="1"/>
      <c r="F2" s="1"/>
      <c r="G2" s="1"/>
      <c r="H2" s="1"/>
      <c r="I2" s="1"/>
      <c r="J2" s="1"/>
      <c r="K2" s="1"/>
      <c r="L2" s="1"/>
      <c r="M2" s="1"/>
      <c r="N2" s="1"/>
      <c r="O2" s="1"/>
    </row>
    <row r="3" spans="1:15" ht="22.05" customHeight="1">
      <c r="A3" s="3" t="s">
        <v>1841</v>
      </c>
      <c r="B3" s="1"/>
      <c r="C3" s="1"/>
      <c r="D3" s="1"/>
      <c r="E3" s="1"/>
      <c r="F3" s="1"/>
      <c r="G3" s="1"/>
      <c r="H3" s="1"/>
      <c r="I3" s="1"/>
      <c r="J3" s="1"/>
      <c r="K3" s="1"/>
      <c r="L3" s="1"/>
      <c r="M3" s="1"/>
      <c r="N3" s="1"/>
      <c r="O3" s="1"/>
    </row>
    <row r="4" spans="1:15" ht="22.05" customHeight="1">
      <c r="A4" s="3" t="s">
        <v>671</v>
      </c>
      <c r="B4" s="1"/>
      <c r="C4" s="1"/>
      <c r="D4" s="1"/>
      <c r="E4" s="1"/>
      <c r="F4" s="1"/>
      <c r="G4" s="1"/>
      <c r="H4" s="1"/>
      <c r="I4" s="1"/>
      <c r="J4" s="1"/>
      <c r="K4" s="1"/>
      <c r="L4" s="1"/>
      <c r="M4" s="1"/>
      <c r="N4" s="1"/>
      <c r="O4" s="1"/>
    </row>
    <row r="5" spans="1:15" ht="22.05" customHeight="1">
      <c r="A5" s="3" t="s">
        <v>1842</v>
      </c>
      <c r="B5" s="1"/>
      <c r="C5" s="1"/>
      <c r="D5" s="1"/>
      <c r="E5" s="1"/>
      <c r="F5" s="1"/>
      <c r="G5" s="1"/>
      <c r="H5" s="1"/>
      <c r="I5" s="1"/>
      <c r="J5" s="1"/>
      <c r="K5" s="1"/>
      <c r="L5" s="1"/>
      <c r="M5" s="1"/>
      <c r="N5" s="1"/>
      <c r="O5" s="1"/>
    </row>
    <row r="6" spans="1:15">
      <c r="A6" s="4" t="s">
        <v>673</v>
      </c>
      <c r="B6" s="4"/>
      <c r="C6" s="4"/>
      <c r="D6" s="4"/>
      <c r="E6" s="4"/>
      <c r="F6" s="4"/>
      <c r="G6" s="4"/>
      <c r="H6" s="4"/>
      <c r="I6" s="5" t="s">
        <v>674</v>
      </c>
      <c r="J6" s="5"/>
      <c r="K6" s="5"/>
      <c r="L6" s="5"/>
      <c r="M6" s="5"/>
      <c r="N6" s="5"/>
      <c r="O6" s="6" t="s">
        <v>675</v>
      </c>
    </row>
    <row r="7" spans="1:15" ht="43.05" customHeight="1">
      <c r="A7" s="7" t="s">
        <v>676</v>
      </c>
      <c r="B7" s="7" t="s">
        <v>85</v>
      </c>
      <c r="C7" s="7" t="s">
        <v>677</v>
      </c>
      <c r="D7" s="7" t="s">
        <v>95</v>
      </c>
      <c r="E7" s="7" t="s">
        <v>96</v>
      </c>
      <c r="F7" s="7" t="s">
        <v>678</v>
      </c>
      <c r="G7" s="7" t="s">
        <v>679</v>
      </c>
      <c r="H7" s="7" t="s">
        <v>680</v>
      </c>
      <c r="I7" s="7" t="s">
        <v>681</v>
      </c>
      <c r="J7" s="7" t="s">
        <v>682</v>
      </c>
      <c r="K7" s="7" t="s">
        <v>683</v>
      </c>
      <c r="L7" s="7" t="s">
        <v>684</v>
      </c>
      <c r="M7" s="7" t="s">
        <v>685</v>
      </c>
      <c r="N7" s="7" t="s">
        <v>686</v>
      </c>
      <c r="O7" s="7" t="s">
        <v>687</v>
      </c>
    </row>
    <row r="8" spans="1:15" ht="78" customHeight="1">
      <c r="A8" s="17" t="s">
        <v>142</v>
      </c>
      <c r="B8" s="9" t="s">
        <v>108</v>
      </c>
      <c r="C8" s="9" t="s">
        <v>143</v>
      </c>
      <c r="D8" s="17" t="s">
        <v>1843</v>
      </c>
      <c r="E8" s="9" t="s">
        <v>1844</v>
      </c>
      <c r="F8" s="9" t="s">
        <v>18</v>
      </c>
      <c r="G8" s="9" t="s">
        <v>690</v>
      </c>
      <c r="H8" s="9" t="s">
        <v>1845</v>
      </c>
      <c r="I8" s="10" t="s">
        <v>692</v>
      </c>
      <c r="J8" s="18"/>
      <c r="K8" s="11"/>
      <c r="L8" s="11"/>
      <c r="M8" s="11"/>
      <c r="N8" s="21"/>
      <c r="O8" s="12" t="str">
        <f t="shared" ref="O8:O71" si="0">IF(I8="Pendiente","Pendiente",IF(I8="Equivalente confirmado",IF(OR(J8="",K8=""),"Falta código o nombre",IF(OR(L8="",M8=""),"Falta validación",IF(OR(NOT(ISNUMBER(N8)),N8&lt;=0),"Falta fecha","Homologado"))),IF(I8="Sin equivalente en AVAIN",IF(OR(J8&lt;&gt;"",K8&lt;&gt;""),"Quitar código y nombre",IF(OR(L8="",M8=""),"Falta validación",IF(OR(NOT(ISNUMBER(N8)),N8&lt;=0),"Falta fecha","Sin equivalente confirmado"))),"Revisar decisión")))</f>
        <v>Pendiente</v>
      </c>
    </row>
    <row r="9" spans="1:15" ht="78" customHeight="1">
      <c r="A9" s="17" t="s">
        <v>168</v>
      </c>
      <c r="B9" s="9" t="s">
        <v>108</v>
      </c>
      <c r="C9" s="9" t="s">
        <v>169</v>
      </c>
      <c r="D9" s="17" t="s">
        <v>841</v>
      </c>
      <c r="E9" s="9" t="s">
        <v>1846</v>
      </c>
      <c r="F9" s="9" t="s">
        <v>18</v>
      </c>
      <c r="G9" s="9" t="s">
        <v>690</v>
      </c>
      <c r="H9" s="9" t="s">
        <v>1847</v>
      </c>
      <c r="I9" s="13" t="s">
        <v>692</v>
      </c>
      <c r="J9" s="19"/>
      <c r="K9" s="14"/>
      <c r="L9" s="14"/>
      <c r="M9" s="14"/>
      <c r="N9" s="22"/>
      <c r="O9" s="12" t="str">
        <f t="shared" si="0"/>
        <v>Pendiente</v>
      </c>
    </row>
    <row r="10" spans="1:15" ht="78" customHeight="1">
      <c r="A10" s="17" t="s">
        <v>180</v>
      </c>
      <c r="B10" s="9" t="s">
        <v>108</v>
      </c>
      <c r="C10" s="9" t="s">
        <v>181</v>
      </c>
      <c r="D10" s="17" t="s">
        <v>1848</v>
      </c>
      <c r="E10" s="9" t="s">
        <v>1849</v>
      </c>
      <c r="F10" s="9" t="s">
        <v>18</v>
      </c>
      <c r="G10" s="9" t="s">
        <v>690</v>
      </c>
      <c r="H10" s="9" t="s">
        <v>1850</v>
      </c>
      <c r="I10" s="13" t="s">
        <v>692</v>
      </c>
      <c r="J10" s="19"/>
      <c r="K10" s="14"/>
      <c r="L10" s="14"/>
      <c r="M10" s="14"/>
      <c r="N10" s="22"/>
      <c r="O10" s="12" t="str">
        <f t="shared" si="0"/>
        <v>Pendiente</v>
      </c>
    </row>
    <row r="11" spans="1:15" ht="78" customHeight="1">
      <c r="A11" s="17" t="s">
        <v>310</v>
      </c>
      <c r="B11" s="9" t="s">
        <v>108</v>
      </c>
      <c r="C11" s="9" t="s">
        <v>311</v>
      </c>
      <c r="D11" s="17" t="s">
        <v>1851</v>
      </c>
      <c r="E11" s="9" t="s">
        <v>1852</v>
      </c>
      <c r="F11" s="9" t="s">
        <v>18</v>
      </c>
      <c r="G11" s="9" t="s">
        <v>690</v>
      </c>
      <c r="H11" s="9" t="s">
        <v>1853</v>
      </c>
      <c r="I11" s="13" t="s">
        <v>692</v>
      </c>
      <c r="J11" s="19"/>
      <c r="K11" s="14"/>
      <c r="L11" s="14"/>
      <c r="M11" s="14"/>
      <c r="N11" s="22"/>
      <c r="O11" s="12" t="str">
        <f t="shared" si="0"/>
        <v>Pendiente</v>
      </c>
    </row>
    <row r="12" spans="1:15" ht="78" customHeight="1">
      <c r="A12" s="17" t="s">
        <v>320</v>
      </c>
      <c r="B12" s="9" t="s">
        <v>108</v>
      </c>
      <c r="C12" s="9" t="s">
        <v>321</v>
      </c>
      <c r="D12" s="17" t="s">
        <v>791</v>
      </c>
      <c r="E12" s="9" t="s">
        <v>1854</v>
      </c>
      <c r="F12" s="9" t="s">
        <v>18</v>
      </c>
      <c r="G12" s="9" t="s">
        <v>42</v>
      </c>
      <c r="H12" s="9" t="s">
        <v>1855</v>
      </c>
      <c r="I12" s="13" t="s">
        <v>692</v>
      </c>
      <c r="J12" s="19"/>
      <c r="K12" s="14"/>
      <c r="L12" s="14"/>
      <c r="M12" s="14"/>
      <c r="N12" s="22"/>
      <c r="O12" s="12" t="str">
        <f t="shared" si="0"/>
        <v>Pendiente</v>
      </c>
    </row>
    <row r="13" spans="1:15" ht="78" customHeight="1">
      <c r="A13" s="17" t="s">
        <v>324</v>
      </c>
      <c r="B13" s="9" t="s">
        <v>108</v>
      </c>
      <c r="C13" s="9" t="s">
        <v>325</v>
      </c>
      <c r="D13" s="17" t="s">
        <v>1856</v>
      </c>
      <c r="E13" s="9" t="s">
        <v>1857</v>
      </c>
      <c r="F13" s="9" t="s">
        <v>18</v>
      </c>
      <c r="G13" s="9" t="s">
        <v>42</v>
      </c>
      <c r="H13" s="9" t="s">
        <v>1858</v>
      </c>
      <c r="I13" s="13" t="s">
        <v>692</v>
      </c>
      <c r="J13" s="19"/>
      <c r="K13" s="14"/>
      <c r="L13" s="14"/>
      <c r="M13" s="14"/>
      <c r="N13" s="22"/>
      <c r="O13" s="12" t="str">
        <f t="shared" si="0"/>
        <v>Pendiente</v>
      </c>
    </row>
    <row r="14" spans="1:15" ht="78" customHeight="1">
      <c r="A14" s="17" t="s">
        <v>373</v>
      </c>
      <c r="B14" s="9" t="s">
        <v>357</v>
      </c>
      <c r="C14" s="9" t="s">
        <v>374</v>
      </c>
      <c r="D14" s="17" t="s">
        <v>1353</v>
      </c>
      <c r="E14" s="9" t="s">
        <v>1859</v>
      </c>
      <c r="F14" s="9" t="s">
        <v>18</v>
      </c>
      <c r="G14" s="9" t="s">
        <v>690</v>
      </c>
      <c r="H14" s="9" t="s">
        <v>1860</v>
      </c>
      <c r="I14" s="13" t="s">
        <v>692</v>
      </c>
      <c r="J14" s="19"/>
      <c r="K14" s="14"/>
      <c r="L14" s="14"/>
      <c r="M14" s="14"/>
      <c r="N14" s="22"/>
      <c r="O14" s="12" t="str">
        <f t="shared" si="0"/>
        <v>Pendiente</v>
      </c>
    </row>
    <row r="15" spans="1:15" ht="94.05" customHeight="1">
      <c r="A15" s="17" t="s">
        <v>640</v>
      </c>
      <c r="B15" s="9" t="s">
        <v>537</v>
      </c>
      <c r="C15" s="9" t="s">
        <v>641</v>
      </c>
      <c r="D15" s="17" t="s">
        <v>1861</v>
      </c>
      <c r="E15" s="9" t="s">
        <v>1862</v>
      </c>
      <c r="F15" s="9" t="s">
        <v>18</v>
      </c>
      <c r="G15" s="9" t="s">
        <v>690</v>
      </c>
      <c r="H15" s="9" t="s">
        <v>1863</v>
      </c>
      <c r="I15" s="13" t="s">
        <v>692</v>
      </c>
      <c r="J15" s="19"/>
      <c r="K15" s="14"/>
      <c r="L15" s="14"/>
      <c r="M15" s="14"/>
      <c r="N15" s="22"/>
      <c r="O15" s="12" t="str">
        <f t="shared" si="0"/>
        <v>Pendiente</v>
      </c>
    </row>
    <row r="16" spans="1:15" ht="94.05" customHeight="1">
      <c r="A16" s="17" t="s">
        <v>136</v>
      </c>
      <c r="B16" s="9" t="s">
        <v>108</v>
      </c>
      <c r="C16" s="9" t="s">
        <v>137</v>
      </c>
      <c r="D16" s="17" t="s">
        <v>1864</v>
      </c>
      <c r="E16" s="9" t="s">
        <v>1865</v>
      </c>
      <c r="F16" s="9" t="s">
        <v>20</v>
      </c>
      <c r="G16" s="9" t="s">
        <v>42</v>
      </c>
      <c r="H16" s="9" t="s">
        <v>1866</v>
      </c>
      <c r="I16" s="13" t="s">
        <v>692</v>
      </c>
      <c r="J16" s="19"/>
      <c r="K16" s="14"/>
      <c r="L16" s="14"/>
      <c r="M16" s="14"/>
      <c r="N16" s="22"/>
      <c r="O16" s="12" t="str">
        <f t="shared" si="0"/>
        <v>Pendiente</v>
      </c>
    </row>
    <row r="17" spans="1:15" ht="61.95" customHeight="1">
      <c r="A17" s="17" t="s">
        <v>158</v>
      </c>
      <c r="B17" s="9" t="s">
        <v>108</v>
      </c>
      <c r="C17" s="9" t="s">
        <v>159</v>
      </c>
      <c r="D17" s="17" t="s">
        <v>1233</v>
      </c>
      <c r="E17" s="9" t="s">
        <v>1867</v>
      </c>
      <c r="F17" s="9" t="s">
        <v>20</v>
      </c>
      <c r="G17" s="9" t="s">
        <v>42</v>
      </c>
      <c r="H17" s="9" t="s">
        <v>1868</v>
      </c>
      <c r="I17" s="13" t="s">
        <v>692</v>
      </c>
      <c r="J17" s="19"/>
      <c r="K17" s="14"/>
      <c r="L17" s="14"/>
      <c r="M17" s="14"/>
      <c r="N17" s="22"/>
      <c r="O17" s="12" t="str">
        <f t="shared" si="0"/>
        <v>Pendiente</v>
      </c>
    </row>
    <row r="18" spans="1:15" ht="78" customHeight="1">
      <c r="A18" s="17" t="s">
        <v>160</v>
      </c>
      <c r="B18" s="9" t="s">
        <v>108</v>
      </c>
      <c r="C18" s="9" t="s">
        <v>161</v>
      </c>
      <c r="D18" s="17" t="s">
        <v>1869</v>
      </c>
      <c r="E18" s="9" t="s">
        <v>1870</v>
      </c>
      <c r="F18" s="9" t="s">
        <v>20</v>
      </c>
      <c r="G18" s="9" t="s">
        <v>42</v>
      </c>
      <c r="H18" s="9" t="s">
        <v>1871</v>
      </c>
      <c r="I18" s="13" t="s">
        <v>692</v>
      </c>
      <c r="J18" s="19"/>
      <c r="K18" s="14"/>
      <c r="L18" s="14"/>
      <c r="M18" s="14"/>
      <c r="N18" s="22"/>
      <c r="O18" s="12" t="str">
        <f t="shared" si="0"/>
        <v>Pendiente</v>
      </c>
    </row>
    <row r="19" spans="1:15" ht="61.95" customHeight="1">
      <c r="A19" s="17" t="s">
        <v>190</v>
      </c>
      <c r="B19" s="9" t="s">
        <v>108</v>
      </c>
      <c r="C19" s="9" t="s">
        <v>191</v>
      </c>
      <c r="D19" s="17" t="s">
        <v>1872</v>
      </c>
      <c r="E19" s="9" t="s">
        <v>1873</v>
      </c>
      <c r="F19" s="9" t="s">
        <v>20</v>
      </c>
      <c r="G19" s="9" t="s">
        <v>42</v>
      </c>
      <c r="H19" s="9" t="s">
        <v>1874</v>
      </c>
      <c r="I19" s="13" t="s">
        <v>692</v>
      </c>
      <c r="J19" s="19"/>
      <c r="K19" s="14"/>
      <c r="L19" s="14"/>
      <c r="M19" s="14"/>
      <c r="N19" s="22"/>
      <c r="O19" s="12" t="str">
        <f t="shared" si="0"/>
        <v>Pendiente</v>
      </c>
    </row>
    <row r="20" spans="1:15" ht="61.95" customHeight="1">
      <c r="A20" s="17" t="s">
        <v>192</v>
      </c>
      <c r="B20" s="9" t="s">
        <v>108</v>
      </c>
      <c r="C20" s="9" t="s">
        <v>193</v>
      </c>
      <c r="D20" s="17" t="s">
        <v>1341</v>
      </c>
      <c r="E20" s="9" t="s">
        <v>1875</v>
      </c>
      <c r="F20" s="9" t="s">
        <v>20</v>
      </c>
      <c r="G20" s="9" t="s">
        <v>42</v>
      </c>
      <c r="H20" s="9" t="s">
        <v>1876</v>
      </c>
      <c r="I20" s="13" t="s">
        <v>692</v>
      </c>
      <c r="J20" s="19"/>
      <c r="K20" s="14"/>
      <c r="L20" s="14"/>
      <c r="M20" s="14"/>
      <c r="N20" s="22"/>
      <c r="O20" s="12" t="str">
        <f t="shared" si="0"/>
        <v>Pendiente</v>
      </c>
    </row>
    <row r="21" spans="1:15" ht="61.95" customHeight="1">
      <c r="A21" s="17" t="s">
        <v>194</v>
      </c>
      <c r="B21" s="9" t="s">
        <v>108</v>
      </c>
      <c r="C21" s="9" t="s">
        <v>195</v>
      </c>
      <c r="D21" s="17" t="s">
        <v>1877</v>
      </c>
      <c r="E21" s="9" t="s">
        <v>1878</v>
      </c>
      <c r="F21" s="9" t="s">
        <v>20</v>
      </c>
      <c r="G21" s="9" t="s">
        <v>42</v>
      </c>
      <c r="H21" s="9" t="s">
        <v>1879</v>
      </c>
      <c r="I21" s="13" t="s">
        <v>692</v>
      </c>
      <c r="J21" s="19"/>
      <c r="K21" s="14"/>
      <c r="L21" s="14"/>
      <c r="M21" s="14"/>
      <c r="N21" s="22"/>
      <c r="O21" s="12" t="str">
        <f t="shared" si="0"/>
        <v>Pendiente</v>
      </c>
    </row>
    <row r="22" spans="1:15" ht="78" customHeight="1">
      <c r="A22" s="17" t="s">
        <v>214</v>
      </c>
      <c r="B22" s="9" t="s">
        <v>108</v>
      </c>
      <c r="C22" s="9" t="s">
        <v>215</v>
      </c>
      <c r="D22" s="17" t="s">
        <v>1880</v>
      </c>
      <c r="E22" s="9" t="s">
        <v>1881</v>
      </c>
      <c r="F22" s="9" t="s">
        <v>20</v>
      </c>
      <c r="G22" s="9" t="s">
        <v>42</v>
      </c>
      <c r="H22" s="9" t="s">
        <v>1882</v>
      </c>
      <c r="I22" s="13" t="s">
        <v>692</v>
      </c>
      <c r="J22" s="19"/>
      <c r="K22" s="14"/>
      <c r="L22" s="14"/>
      <c r="M22" s="14"/>
      <c r="N22" s="22"/>
      <c r="O22" s="12" t="str">
        <f t="shared" si="0"/>
        <v>Pendiente</v>
      </c>
    </row>
    <row r="23" spans="1:15" ht="94.05" customHeight="1">
      <c r="A23" s="17" t="s">
        <v>226</v>
      </c>
      <c r="B23" s="9" t="s">
        <v>108</v>
      </c>
      <c r="C23" s="9" t="s">
        <v>227</v>
      </c>
      <c r="D23" s="17" t="s">
        <v>875</v>
      </c>
      <c r="E23" s="9" t="s">
        <v>1883</v>
      </c>
      <c r="F23" s="9" t="s">
        <v>20</v>
      </c>
      <c r="G23" s="9" t="s">
        <v>42</v>
      </c>
      <c r="H23" s="9" t="s">
        <v>1884</v>
      </c>
      <c r="I23" s="13" t="s">
        <v>692</v>
      </c>
      <c r="J23" s="19"/>
      <c r="K23" s="14"/>
      <c r="L23" s="14"/>
      <c r="M23" s="14"/>
      <c r="N23" s="22"/>
      <c r="O23" s="12" t="str">
        <f t="shared" si="0"/>
        <v>Pendiente</v>
      </c>
    </row>
    <row r="24" spans="1:15" ht="61.95" customHeight="1">
      <c r="A24" s="17" t="s">
        <v>228</v>
      </c>
      <c r="B24" s="9" t="s">
        <v>108</v>
      </c>
      <c r="C24" s="9" t="s">
        <v>229</v>
      </c>
      <c r="D24" s="17" t="s">
        <v>1230</v>
      </c>
      <c r="E24" s="9" t="s">
        <v>1885</v>
      </c>
      <c r="F24" s="9" t="s">
        <v>20</v>
      </c>
      <c r="G24" s="9" t="s">
        <v>42</v>
      </c>
      <c r="H24" s="9" t="s">
        <v>1886</v>
      </c>
      <c r="I24" s="13" t="s">
        <v>692</v>
      </c>
      <c r="J24" s="19"/>
      <c r="K24" s="14"/>
      <c r="L24" s="14"/>
      <c r="M24" s="14"/>
      <c r="N24" s="22"/>
      <c r="O24" s="12" t="str">
        <f t="shared" si="0"/>
        <v>Pendiente</v>
      </c>
    </row>
    <row r="25" spans="1:15" ht="61.95" customHeight="1">
      <c r="A25" s="17" t="s">
        <v>240</v>
      </c>
      <c r="B25" s="9" t="s">
        <v>108</v>
      </c>
      <c r="C25" s="9" t="s">
        <v>241</v>
      </c>
      <c r="D25" s="17" t="s">
        <v>1887</v>
      </c>
      <c r="E25" s="9" t="s">
        <v>1888</v>
      </c>
      <c r="F25" s="9" t="s">
        <v>20</v>
      </c>
      <c r="G25" s="9" t="s">
        <v>42</v>
      </c>
      <c r="H25" s="9" t="s">
        <v>1889</v>
      </c>
      <c r="I25" s="13" t="s">
        <v>692</v>
      </c>
      <c r="J25" s="19"/>
      <c r="K25" s="14"/>
      <c r="L25" s="14"/>
      <c r="M25" s="14"/>
      <c r="N25" s="22"/>
      <c r="O25" s="12" t="str">
        <f t="shared" si="0"/>
        <v>Pendiente</v>
      </c>
    </row>
    <row r="26" spans="1:15" ht="61.95" customHeight="1">
      <c r="A26" s="17" t="s">
        <v>242</v>
      </c>
      <c r="B26" s="9" t="s">
        <v>108</v>
      </c>
      <c r="C26" s="9" t="s">
        <v>243</v>
      </c>
      <c r="D26" s="17" t="s">
        <v>1890</v>
      </c>
      <c r="E26" s="9" t="s">
        <v>1891</v>
      </c>
      <c r="F26" s="9" t="s">
        <v>20</v>
      </c>
      <c r="G26" s="9" t="s">
        <v>42</v>
      </c>
      <c r="H26" s="9" t="s">
        <v>1892</v>
      </c>
      <c r="I26" s="13" t="s">
        <v>692</v>
      </c>
      <c r="J26" s="19"/>
      <c r="K26" s="14"/>
      <c r="L26" s="14"/>
      <c r="M26" s="14"/>
      <c r="N26" s="22"/>
      <c r="O26" s="12" t="str">
        <f t="shared" si="0"/>
        <v>Pendiente</v>
      </c>
    </row>
    <row r="27" spans="1:15" ht="94.05" customHeight="1">
      <c r="A27" s="17" t="s">
        <v>246</v>
      </c>
      <c r="B27" s="9" t="s">
        <v>108</v>
      </c>
      <c r="C27" s="9" t="s">
        <v>247</v>
      </c>
      <c r="D27" s="17" t="s">
        <v>1893</v>
      </c>
      <c r="E27" s="9" t="s">
        <v>1894</v>
      </c>
      <c r="F27" s="9" t="s">
        <v>20</v>
      </c>
      <c r="G27" s="9" t="s">
        <v>42</v>
      </c>
      <c r="H27" s="9" t="s">
        <v>1895</v>
      </c>
      <c r="I27" s="13" t="s">
        <v>692</v>
      </c>
      <c r="J27" s="19"/>
      <c r="K27" s="14"/>
      <c r="L27" s="14"/>
      <c r="M27" s="14"/>
      <c r="N27" s="22"/>
      <c r="O27" s="12" t="str">
        <f t="shared" si="0"/>
        <v>Pendiente</v>
      </c>
    </row>
    <row r="28" spans="1:15" ht="61.95" customHeight="1">
      <c r="A28" s="17" t="s">
        <v>268</v>
      </c>
      <c r="B28" s="9" t="s">
        <v>108</v>
      </c>
      <c r="C28" s="9" t="s">
        <v>269</v>
      </c>
      <c r="D28" s="17" t="s">
        <v>1896</v>
      </c>
      <c r="E28" s="9" t="s">
        <v>1897</v>
      </c>
      <c r="F28" s="9" t="s">
        <v>20</v>
      </c>
      <c r="G28" s="9" t="s">
        <v>42</v>
      </c>
      <c r="H28" s="9" t="s">
        <v>1898</v>
      </c>
      <c r="I28" s="13" t="s">
        <v>692</v>
      </c>
      <c r="J28" s="19"/>
      <c r="K28" s="14"/>
      <c r="L28" s="14"/>
      <c r="M28" s="14"/>
      <c r="N28" s="22"/>
      <c r="O28" s="12" t="str">
        <f t="shared" si="0"/>
        <v>Pendiente</v>
      </c>
    </row>
    <row r="29" spans="1:15" ht="78" customHeight="1">
      <c r="A29" s="17" t="s">
        <v>274</v>
      </c>
      <c r="B29" s="9" t="s">
        <v>108</v>
      </c>
      <c r="C29" s="9" t="s">
        <v>275</v>
      </c>
      <c r="D29" s="17" t="s">
        <v>696</v>
      </c>
      <c r="E29" s="9" t="s">
        <v>1899</v>
      </c>
      <c r="F29" s="9" t="s">
        <v>20</v>
      </c>
      <c r="G29" s="9" t="s">
        <v>42</v>
      </c>
      <c r="H29" s="9" t="s">
        <v>1900</v>
      </c>
      <c r="I29" s="13" t="s">
        <v>692</v>
      </c>
      <c r="J29" s="19"/>
      <c r="K29" s="14"/>
      <c r="L29" s="14"/>
      <c r="M29" s="14"/>
      <c r="N29" s="22"/>
      <c r="O29" s="12" t="str">
        <f t="shared" si="0"/>
        <v>Pendiente</v>
      </c>
    </row>
    <row r="30" spans="1:15" ht="61.95" customHeight="1">
      <c r="A30" s="17" t="s">
        <v>292</v>
      </c>
      <c r="B30" s="9" t="s">
        <v>108</v>
      </c>
      <c r="C30" s="9" t="s">
        <v>293</v>
      </c>
      <c r="D30" s="17" t="s">
        <v>1251</v>
      </c>
      <c r="E30" s="9" t="s">
        <v>1901</v>
      </c>
      <c r="F30" s="9" t="s">
        <v>20</v>
      </c>
      <c r="G30" s="9" t="s">
        <v>42</v>
      </c>
      <c r="H30" s="9" t="s">
        <v>1902</v>
      </c>
      <c r="I30" s="13" t="s">
        <v>692</v>
      </c>
      <c r="J30" s="19"/>
      <c r="K30" s="14"/>
      <c r="L30" s="14"/>
      <c r="M30" s="14"/>
      <c r="N30" s="22"/>
      <c r="O30" s="12" t="str">
        <f t="shared" si="0"/>
        <v>Pendiente</v>
      </c>
    </row>
    <row r="31" spans="1:15" ht="109.95" customHeight="1">
      <c r="A31" s="17" t="s">
        <v>296</v>
      </c>
      <c r="B31" s="9" t="s">
        <v>108</v>
      </c>
      <c r="C31" s="9" t="s">
        <v>297</v>
      </c>
      <c r="D31" s="17" t="s">
        <v>1903</v>
      </c>
      <c r="E31" s="9" t="s">
        <v>1904</v>
      </c>
      <c r="F31" s="9" t="s">
        <v>20</v>
      </c>
      <c r="G31" s="9" t="s">
        <v>42</v>
      </c>
      <c r="H31" s="9" t="s">
        <v>1905</v>
      </c>
      <c r="I31" s="13" t="s">
        <v>692</v>
      </c>
      <c r="J31" s="19"/>
      <c r="K31" s="14"/>
      <c r="L31" s="14"/>
      <c r="M31" s="14"/>
      <c r="N31" s="22"/>
      <c r="O31" s="12" t="str">
        <f t="shared" si="0"/>
        <v>Pendiente</v>
      </c>
    </row>
    <row r="32" spans="1:15" ht="61.95" customHeight="1">
      <c r="A32" s="17" t="s">
        <v>298</v>
      </c>
      <c r="B32" s="9" t="s">
        <v>108</v>
      </c>
      <c r="C32" s="9" t="s">
        <v>299</v>
      </c>
      <c r="D32" s="17" t="s">
        <v>1906</v>
      </c>
      <c r="E32" s="9" t="s">
        <v>1907</v>
      </c>
      <c r="F32" s="9" t="s">
        <v>20</v>
      </c>
      <c r="G32" s="9" t="s">
        <v>42</v>
      </c>
      <c r="H32" s="9" t="s">
        <v>1908</v>
      </c>
      <c r="I32" s="13" t="s">
        <v>692</v>
      </c>
      <c r="J32" s="19"/>
      <c r="K32" s="14"/>
      <c r="L32" s="14"/>
      <c r="M32" s="14"/>
      <c r="N32" s="22"/>
      <c r="O32" s="12" t="str">
        <f t="shared" si="0"/>
        <v>Pendiente</v>
      </c>
    </row>
    <row r="33" spans="1:15" ht="49.95" customHeight="1">
      <c r="A33" s="17" t="s">
        <v>340</v>
      </c>
      <c r="B33" s="9" t="s">
        <v>108</v>
      </c>
      <c r="C33" s="9" t="s">
        <v>341</v>
      </c>
      <c r="D33" s="17" t="s">
        <v>700</v>
      </c>
      <c r="E33" s="9" t="s">
        <v>1909</v>
      </c>
      <c r="F33" s="9" t="s">
        <v>20</v>
      </c>
      <c r="G33" s="9" t="s">
        <v>42</v>
      </c>
      <c r="H33" s="9" t="s">
        <v>1910</v>
      </c>
      <c r="I33" s="13" t="s">
        <v>692</v>
      </c>
      <c r="J33" s="19"/>
      <c r="K33" s="14"/>
      <c r="L33" s="14"/>
      <c r="M33" s="14"/>
      <c r="N33" s="22"/>
      <c r="O33" s="12" t="str">
        <f t="shared" si="0"/>
        <v>Pendiente</v>
      </c>
    </row>
    <row r="34" spans="1:15" ht="61.95" customHeight="1">
      <c r="A34" s="17" t="s">
        <v>389</v>
      </c>
      <c r="B34" s="9" t="s">
        <v>357</v>
      </c>
      <c r="C34" s="9" t="s">
        <v>390</v>
      </c>
      <c r="D34" s="17" t="s">
        <v>1911</v>
      </c>
      <c r="E34" s="9" t="s">
        <v>1912</v>
      </c>
      <c r="F34" s="9" t="s">
        <v>20</v>
      </c>
      <c r="G34" s="9" t="s">
        <v>42</v>
      </c>
      <c r="H34" s="9" t="s">
        <v>1913</v>
      </c>
      <c r="I34" s="13" t="s">
        <v>692</v>
      </c>
      <c r="J34" s="19"/>
      <c r="K34" s="14"/>
      <c r="L34" s="14"/>
      <c r="M34" s="14"/>
      <c r="N34" s="22"/>
      <c r="O34" s="12" t="str">
        <f t="shared" si="0"/>
        <v>Pendiente</v>
      </c>
    </row>
    <row r="35" spans="1:15" ht="61.95" customHeight="1">
      <c r="A35" s="17" t="s">
        <v>391</v>
      </c>
      <c r="B35" s="9" t="s">
        <v>357</v>
      </c>
      <c r="C35" s="9" t="s">
        <v>392</v>
      </c>
      <c r="D35" s="17" t="s">
        <v>745</v>
      </c>
      <c r="E35" s="9" t="s">
        <v>575</v>
      </c>
      <c r="F35" s="9" t="s">
        <v>20</v>
      </c>
      <c r="G35" s="9" t="s">
        <v>42</v>
      </c>
      <c r="H35" s="9" t="s">
        <v>1914</v>
      </c>
      <c r="I35" s="13" t="s">
        <v>692</v>
      </c>
      <c r="J35" s="19"/>
      <c r="K35" s="14"/>
      <c r="L35" s="14"/>
      <c r="M35" s="14"/>
      <c r="N35" s="22"/>
      <c r="O35" s="12" t="str">
        <f t="shared" si="0"/>
        <v>Pendiente</v>
      </c>
    </row>
    <row r="36" spans="1:15" ht="49.95" customHeight="1">
      <c r="A36" s="17" t="s">
        <v>393</v>
      </c>
      <c r="B36" s="9" t="s">
        <v>357</v>
      </c>
      <c r="C36" s="9" t="s">
        <v>394</v>
      </c>
      <c r="D36" s="17" t="s">
        <v>1915</v>
      </c>
      <c r="E36" s="9" t="s">
        <v>1916</v>
      </c>
      <c r="F36" s="9" t="s">
        <v>20</v>
      </c>
      <c r="G36" s="9" t="s">
        <v>42</v>
      </c>
      <c r="H36" s="9" t="s">
        <v>1917</v>
      </c>
      <c r="I36" s="13" t="s">
        <v>692</v>
      </c>
      <c r="J36" s="19"/>
      <c r="K36" s="14"/>
      <c r="L36" s="14"/>
      <c r="M36" s="14"/>
      <c r="N36" s="22"/>
      <c r="O36" s="12" t="str">
        <f t="shared" si="0"/>
        <v>Pendiente</v>
      </c>
    </row>
    <row r="37" spans="1:15" ht="49.95" customHeight="1">
      <c r="A37" s="17" t="s">
        <v>395</v>
      </c>
      <c r="B37" s="9" t="s">
        <v>357</v>
      </c>
      <c r="C37" s="9" t="s">
        <v>396</v>
      </c>
      <c r="D37" s="17" t="s">
        <v>1085</v>
      </c>
      <c r="E37" s="9" t="s">
        <v>1918</v>
      </c>
      <c r="F37" s="9" t="s">
        <v>20</v>
      </c>
      <c r="G37" s="9" t="s">
        <v>42</v>
      </c>
      <c r="H37" s="9" t="s">
        <v>1919</v>
      </c>
      <c r="I37" s="13" t="s">
        <v>692</v>
      </c>
      <c r="J37" s="19"/>
      <c r="K37" s="14"/>
      <c r="L37" s="14"/>
      <c r="M37" s="14"/>
      <c r="N37" s="22"/>
      <c r="O37" s="12" t="str">
        <f t="shared" si="0"/>
        <v>Pendiente</v>
      </c>
    </row>
    <row r="38" spans="1:15" ht="78" customHeight="1">
      <c r="A38" s="17" t="s">
        <v>403</v>
      </c>
      <c r="B38" s="9" t="s">
        <v>357</v>
      </c>
      <c r="C38" s="9" t="s">
        <v>404</v>
      </c>
      <c r="D38" s="17" t="s">
        <v>1100</v>
      </c>
      <c r="E38" s="9" t="s">
        <v>1920</v>
      </c>
      <c r="F38" s="9" t="s">
        <v>20</v>
      </c>
      <c r="G38" s="9" t="s">
        <v>42</v>
      </c>
      <c r="H38" s="9" t="s">
        <v>1921</v>
      </c>
      <c r="I38" s="13" t="s">
        <v>692</v>
      </c>
      <c r="J38" s="19"/>
      <c r="K38" s="14"/>
      <c r="L38" s="14"/>
      <c r="M38" s="14"/>
      <c r="N38" s="22"/>
      <c r="O38" s="12" t="str">
        <f t="shared" si="0"/>
        <v>Pendiente</v>
      </c>
    </row>
    <row r="39" spans="1:15" ht="78" customHeight="1">
      <c r="A39" s="17" t="s">
        <v>407</v>
      </c>
      <c r="B39" s="9" t="s">
        <v>357</v>
      </c>
      <c r="C39" s="9" t="s">
        <v>408</v>
      </c>
      <c r="D39" s="17" t="s">
        <v>726</v>
      </c>
      <c r="E39" s="9" t="s">
        <v>1922</v>
      </c>
      <c r="F39" s="9" t="s">
        <v>20</v>
      </c>
      <c r="G39" s="9" t="s">
        <v>42</v>
      </c>
      <c r="H39" s="9" t="s">
        <v>1923</v>
      </c>
      <c r="I39" s="13" t="s">
        <v>692</v>
      </c>
      <c r="J39" s="19"/>
      <c r="K39" s="14"/>
      <c r="L39" s="14"/>
      <c r="M39" s="14"/>
      <c r="N39" s="22"/>
      <c r="O39" s="12" t="str">
        <f t="shared" si="0"/>
        <v>Pendiente</v>
      </c>
    </row>
    <row r="40" spans="1:15" ht="94.05" customHeight="1">
      <c r="A40" s="17" t="s">
        <v>409</v>
      </c>
      <c r="B40" s="9" t="s">
        <v>357</v>
      </c>
      <c r="C40" s="9" t="s">
        <v>410</v>
      </c>
      <c r="D40" s="17" t="s">
        <v>726</v>
      </c>
      <c r="E40" s="9" t="s">
        <v>1922</v>
      </c>
      <c r="F40" s="9" t="s">
        <v>20</v>
      </c>
      <c r="G40" s="9" t="s">
        <v>42</v>
      </c>
      <c r="H40" s="9" t="s">
        <v>1924</v>
      </c>
      <c r="I40" s="13" t="s">
        <v>692</v>
      </c>
      <c r="J40" s="19"/>
      <c r="K40" s="14"/>
      <c r="L40" s="14"/>
      <c r="M40" s="14"/>
      <c r="N40" s="22"/>
      <c r="O40" s="12" t="str">
        <f t="shared" si="0"/>
        <v>Pendiente</v>
      </c>
    </row>
    <row r="41" spans="1:15" ht="61.95" customHeight="1">
      <c r="A41" s="17" t="s">
        <v>413</v>
      </c>
      <c r="B41" s="9" t="s">
        <v>357</v>
      </c>
      <c r="C41" s="9" t="s">
        <v>414</v>
      </c>
      <c r="D41" s="17" t="s">
        <v>1380</v>
      </c>
      <c r="E41" s="9" t="s">
        <v>1925</v>
      </c>
      <c r="F41" s="9" t="s">
        <v>20</v>
      </c>
      <c r="G41" s="9" t="s">
        <v>42</v>
      </c>
      <c r="H41" s="9" t="s">
        <v>1926</v>
      </c>
      <c r="I41" s="13" t="s">
        <v>692</v>
      </c>
      <c r="J41" s="19"/>
      <c r="K41" s="14"/>
      <c r="L41" s="14"/>
      <c r="M41" s="14"/>
      <c r="N41" s="22"/>
      <c r="O41" s="12" t="str">
        <f t="shared" si="0"/>
        <v>Pendiente</v>
      </c>
    </row>
    <row r="42" spans="1:15" ht="61.95" customHeight="1">
      <c r="A42" s="17" t="s">
        <v>415</v>
      </c>
      <c r="B42" s="9" t="s">
        <v>357</v>
      </c>
      <c r="C42" s="9" t="s">
        <v>416</v>
      </c>
      <c r="D42" s="17" t="s">
        <v>1927</v>
      </c>
      <c r="E42" s="9" t="s">
        <v>1928</v>
      </c>
      <c r="F42" s="9" t="s">
        <v>20</v>
      </c>
      <c r="G42" s="9" t="s">
        <v>42</v>
      </c>
      <c r="H42" s="9" t="s">
        <v>1929</v>
      </c>
      <c r="I42" s="13" t="s">
        <v>692</v>
      </c>
      <c r="J42" s="19"/>
      <c r="K42" s="14"/>
      <c r="L42" s="14"/>
      <c r="M42" s="14"/>
      <c r="N42" s="22"/>
      <c r="O42" s="12" t="str">
        <f t="shared" si="0"/>
        <v>Pendiente</v>
      </c>
    </row>
    <row r="43" spans="1:15" ht="94.05" customHeight="1">
      <c r="A43" s="17" t="s">
        <v>433</v>
      </c>
      <c r="B43" s="9" t="s">
        <v>357</v>
      </c>
      <c r="C43" s="9" t="s">
        <v>434</v>
      </c>
      <c r="D43" s="17" t="s">
        <v>1930</v>
      </c>
      <c r="E43" s="9" t="s">
        <v>1931</v>
      </c>
      <c r="F43" s="9" t="s">
        <v>20</v>
      </c>
      <c r="G43" s="9" t="s">
        <v>42</v>
      </c>
      <c r="H43" s="9" t="s">
        <v>1932</v>
      </c>
      <c r="I43" s="13" t="s">
        <v>692</v>
      </c>
      <c r="J43" s="19"/>
      <c r="K43" s="14"/>
      <c r="L43" s="14"/>
      <c r="M43" s="14"/>
      <c r="N43" s="22"/>
      <c r="O43" s="12" t="str">
        <f t="shared" si="0"/>
        <v>Pendiente</v>
      </c>
    </row>
    <row r="44" spans="1:15" ht="78" customHeight="1">
      <c r="A44" s="17" t="s">
        <v>441</v>
      </c>
      <c r="B44" s="9" t="s">
        <v>357</v>
      </c>
      <c r="C44" s="9" t="s">
        <v>442</v>
      </c>
      <c r="D44" s="17" t="s">
        <v>1933</v>
      </c>
      <c r="E44" s="9" t="s">
        <v>1934</v>
      </c>
      <c r="F44" s="9" t="s">
        <v>20</v>
      </c>
      <c r="G44" s="9" t="s">
        <v>42</v>
      </c>
      <c r="H44" s="9" t="s">
        <v>1935</v>
      </c>
      <c r="I44" s="13" t="s">
        <v>692</v>
      </c>
      <c r="J44" s="19"/>
      <c r="K44" s="14"/>
      <c r="L44" s="14"/>
      <c r="M44" s="14"/>
      <c r="N44" s="22"/>
      <c r="O44" s="12" t="str">
        <f t="shared" si="0"/>
        <v>Pendiente</v>
      </c>
    </row>
    <row r="45" spans="1:15" ht="61.95" customHeight="1">
      <c r="A45" s="17" t="s">
        <v>445</v>
      </c>
      <c r="B45" s="9" t="s">
        <v>357</v>
      </c>
      <c r="C45" s="9" t="s">
        <v>446</v>
      </c>
      <c r="D45" s="17" t="s">
        <v>1395</v>
      </c>
      <c r="E45" s="9" t="s">
        <v>824</v>
      </c>
      <c r="F45" s="9" t="s">
        <v>20</v>
      </c>
      <c r="G45" s="9" t="s">
        <v>42</v>
      </c>
      <c r="H45" s="9" t="s">
        <v>1936</v>
      </c>
      <c r="I45" s="13" t="s">
        <v>692</v>
      </c>
      <c r="J45" s="19"/>
      <c r="K45" s="14"/>
      <c r="L45" s="14"/>
      <c r="M45" s="14"/>
      <c r="N45" s="22"/>
      <c r="O45" s="12" t="str">
        <f t="shared" si="0"/>
        <v>Pendiente</v>
      </c>
    </row>
    <row r="46" spans="1:15" ht="109.95" customHeight="1">
      <c r="A46" s="17" t="s">
        <v>457</v>
      </c>
      <c r="B46" s="9" t="s">
        <v>357</v>
      </c>
      <c r="C46" s="9" t="s">
        <v>458</v>
      </c>
      <c r="D46" s="17" t="s">
        <v>1937</v>
      </c>
      <c r="E46" s="9" t="s">
        <v>1938</v>
      </c>
      <c r="F46" s="9" t="s">
        <v>20</v>
      </c>
      <c r="G46" s="9" t="s">
        <v>42</v>
      </c>
      <c r="H46" s="9" t="s">
        <v>1939</v>
      </c>
      <c r="I46" s="13" t="s">
        <v>692</v>
      </c>
      <c r="J46" s="19"/>
      <c r="K46" s="14"/>
      <c r="L46" s="14"/>
      <c r="M46" s="14"/>
      <c r="N46" s="22"/>
      <c r="O46" s="12" t="str">
        <f t="shared" si="0"/>
        <v>Pendiente</v>
      </c>
    </row>
    <row r="47" spans="1:15" ht="78" customHeight="1">
      <c r="A47" s="17" t="s">
        <v>461</v>
      </c>
      <c r="B47" s="9" t="s">
        <v>357</v>
      </c>
      <c r="C47" s="9" t="s">
        <v>462</v>
      </c>
      <c r="D47" s="17" t="s">
        <v>1940</v>
      </c>
      <c r="E47" s="9" t="s">
        <v>1941</v>
      </c>
      <c r="F47" s="9" t="s">
        <v>20</v>
      </c>
      <c r="G47" s="9" t="s">
        <v>42</v>
      </c>
      <c r="H47" s="9" t="s">
        <v>1942</v>
      </c>
      <c r="I47" s="13" t="s">
        <v>692</v>
      </c>
      <c r="J47" s="19"/>
      <c r="K47" s="14"/>
      <c r="L47" s="14"/>
      <c r="M47" s="14"/>
      <c r="N47" s="22"/>
      <c r="O47" s="12" t="str">
        <f t="shared" si="0"/>
        <v>Pendiente</v>
      </c>
    </row>
    <row r="48" spans="1:15" ht="61.95" customHeight="1">
      <c r="A48" s="17" t="s">
        <v>494</v>
      </c>
      <c r="B48" s="9" t="s">
        <v>464</v>
      </c>
      <c r="C48" s="9" t="s">
        <v>495</v>
      </c>
      <c r="D48" s="17" t="s">
        <v>703</v>
      </c>
      <c r="E48" s="9" t="s">
        <v>1943</v>
      </c>
      <c r="F48" s="9" t="s">
        <v>20</v>
      </c>
      <c r="G48" s="9" t="s">
        <v>42</v>
      </c>
      <c r="H48" s="9" t="s">
        <v>1944</v>
      </c>
      <c r="I48" s="13" t="s">
        <v>692</v>
      </c>
      <c r="J48" s="19"/>
      <c r="K48" s="14"/>
      <c r="L48" s="14"/>
      <c r="M48" s="14"/>
      <c r="N48" s="22"/>
      <c r="O48" s="12" t="str">
        <f t="shared" si="0"/>
        <v>Pendiente</v>
      </c>
    </row>
    <row r="49" spans="1:15" ht="78" customHeight="1">
      <c r="A49" s="17" t="s">
        <v>498</v>
      </c>
      <c r="B49" s="9" t="s">
        <v>464</v>
      </c>
      <c r="C49" s="9" t="s">
        <v>499</v>
      </c>
      <c r="D49" s="17" t="s">
        <v>1281</v>
      </c>
      <c r="E49" s="9" t="s">
        <v>1945</v>
      </c>
      <c r="F49" s="9" t="s">
        <v>20</v>
      </c>
      <c r="G49" s="9" t="s">
        <v>42</v>
      </c>
      <c r="H49" s="9" t="s">
        <v>1946</v>
      </c>
      <c r="I49" s="13" t="s">
        <v>692</v>
      </c>
      <c r="J49" s="19"/>
      <c r="K49" s="14"/>
      <c r="L49" s="14"/>
      <c r="M49" s="14"/>
      <c r="N49" s="22"/>
      <c r="O49" s="12" t="str">
        <f t="shared" si="0"/>
        <v>Pendiente</v>
      </c>
    </row>
    <row r="50" spans="1:15" ht="61.95" customHeight="1">
      <c r="A50" s="17" t="s">
        <v>506</v>
      </c>
      <c r="B50" s="9" t="s">
        <v>464</v>
      </c>
      <c r="C50" s="9" t="s">
        <v>507</v>
      </c>
      <c r="D50" s="17" t="s">
        <v>1947</v>
      </c>
      <c r="E50" s="9" t="s">
        <v>1948</v>
      </c>
      <c r="F50" s="9" t="s">
        <v>20</v>
      </c>
      <c r="G50" s="9" t="s">
        <v>42</v>
      </c>
      <c r="H50" s="9" t="s">
        <v>1949</v>
      </c>
      <c r="I50" s="13" t="s">
        <v>692</v>
      </c>
      <c r="J50" s="19"/>
      <c r="K50" s="14"/>
      <c r="L50" s="14"/>
      <c r="M50" s="14"/>
      <c r="N50" s="22"/>
      <c r="O50" s="12" t="str">
        <f t="shared" si="0"/>
        <v>Pendiente</v>
      </c>
    </row>
    <row r="51" spans="1:15" ht="78" customHeight="1">
      <c r="A51" s="17" t="s">
        <v>512</v>
      </c>
      <c r="B51" s="9" t="s">
        <v>464</v>
      </c>
      <c r="C51" s="9" t="s">
        <v>513</v>
      </c>
      <c r="D51" s="17" t="s">
        <v>1950</v>
      </c>
      <c r="E51" s="9" t="s">
        <v>1951</v>
      </c>
      <c r="F51" s="9" t="s">
        <v>20</v>
      </c>
      <c r="G51" s="9" t="s">
        <v>42</v>
      </c>
      <c r="H51" s="9" t="s">
        <v>1952</v>
      </c>
      <c r="I51" s="13" t="s">
        <v>692</v>
      </c>
      <c r="J51" s="19"/>
      <c r="K51" s="14"/>
      <c r="L51" s="14"/>
      <c r="M51" s="14"/>
      <c r="N51" s="22"/>
      <c r="O51" s="12" t="str">
        <f t="shared" si="0"/>
        <v>Pendiente</v>
      </c>
    </row>
    <row r="52" spans="1:15" ht="61.95" customHeight="1">
      <c r="A52" s="17" t="s">
        <v>520</v>
      </c>
      <c r="B52" s="9" t="s">
        <v>464</v>
      </c>
      <c r="C52" s="9" t="s">
        <v>521</v>
      </c>
      <c r="D52" s="17" t="s">
        <v>1323</v>
      </c>
      <c r="E52" s="9" t="s">
        <v>1953</v>
      </c>
      <c r="F52" s="9" t="s">
        <v>20</v>
      </c>
      <c r="G52" s="9" t="s">
        <v>42</v>
      </c>
      <c r="H52" s="9" t="s">
        <v>1954</v>
      </c>
      <c r="I52" s="13" t="s">
        <v>692</v>
      </c>
      <c r="J52" s="19"/>
      <c r="K52" s="14"/>
      <c r="L52" s="14"/>
      <c r="M52" s="14"/>
      <c r="N52" s="22"/>
      <c r="O52" s="12" t="str">
        <f t="shared" si="0"/>
        <v>Pendiente</v>
      </c>
    </row>
    <row r="53" spans="1:15" ht="78" customHeight="1">
      <c r="A53" s="17" t="s">
        <v>524</v>
      </c>
      <c r="B53" s="9" t="s">
        <v>464</v>
      </c>
      <c r="C53" s="9" t="s">
        <v>525</v>
      </c>
      <c r="D53" s="17" t="s">
        <v>1955</v>
      </c>
      <c r="E53" s="9" t="s">
        <v>1956</v>
      </c>
      <c r="F53" s="9" t="s">
        <v>20</v>
      </c>
      <c r="G53" s="9" t="s">
        <v>42</v>
      </c>
      <c r="H53" s="9" t="s">
        <v>1957</v>
      </c>
      <c r="I53" s="13" t="s">
        <v>692</v>
      </c>
      <c r="J53" s="19"/>
      <c r="K53" s="14"/>
      <c r="L53" s="14"/>
      <c r="M53" s="14"/>
      <c r="N53" s="22"/>
      <c r="O53" s="12" t="str">
        <f t="shared" si="0"/>
        <v>Pendiente</v>
      </c>
    </row>
    <row r="54" spans="1:15" ht="61.95" customHeight="1">
      <c r="A54" s="17" t="s">
        <v>536</v>
      </c>
      <c r="B54" s="9" t="s">
        <v>537</v>
      </c>
      <c r="C54" s="9" t="s">
        <v>538</v>
      </c>
      <c r="D54" s="17" t="s">
        <v>1947</v>
      </c>
      <c r="E54" s="9" t="s">
        <v>1948</v>
      </c>
      <c r="F54" s="9" t="s">
        <v>20</v>
      </c>
      <c r="G54" s="9" t="s">
        <v>42</v>
      </c>
      <c r="H54" s="9" t="s">
        <v>1958</v>
      </c>
      <c r="I54" s="13" t="s">
        <v>692</v>
      </c>
      <c r="J54" s="19"/>
      <c r="K54" s="14"/>
      <c r="L54" s="14"/>
      <c r="M54" s="14"/>
      <c r="N54" s="22"/>
      <c r="O54" s="12" t="str">
        <f t="shared" si="0"/>
        <v>Pendiente</v>
      </c>
    </row>
    <row r="55" spans="1:15" ht="61.95" customHeight="1">
      <c r="A55" s="17" t="s">
        <v>539</v>
      </c>
      <c r="B55" s="9" t="s">
        <v>537</v>
      </c>
      <c r="C55" s="9" t="s">
        <v>540</v>
      </c>
      <c r="D55" s="17" t="s">
        <v>1959</v>
      </c>
      <c r="E55" s="9" t="s">
        <v>1960</v>
      </c>
      <c r="F55" s="9" t="s">
        <v>20</v>
      </c>
      <c r="G55" s="9" t="s">
        <v>42</v>
      </c>
      <c r="H55" s="9" t="s">
        <v>1961</v>
      </c>
      <c r="I55" s="13" t="s">
        <v>692</v>
      </c>
      <c r="J55" s="19"/>
      <c r="K55" s="14"/>
      <c r="L55" s="14"/>
      <c r="M55" s="14"/>
      <c r="N55" s="22"/>
      <c r="O55" s="12" t="str">
        <f t="shared" si="0"/>
        <v>Pendiente</v>
      </c>
    </row>
    <row r="56" spans="1:15" ht="49.95" customHeight="1">
      <c r="A56" s="17" t="s">
        <v>541</v>
      </c>
      <c r="B56" s="9" t="s">
        <v>537</v>
      </c>
      <c r="C56" s="9" t="s">
        <v>542</v>
      </c>
      <c r="D56" s="17" t="s">
        <v>1962</v>
      </c>
      <c r="E56" s="9" t="s">
        <v>1963</v>
      </c>
      <c r="F56" s="9" t="s">
        <v>20</v>
      </c>
      <c r="G56" s="9" t="s">
        <v>42</v>
      </c>
      <c r="H56" s="9" t="s">
        <v>1964</v>
      </c>
      <c r="I56" s="13" t="s">
        <v>692</v>
      </c>
      <c r="J56" s="19"/>
      <c r="K56" s="14"/>
      <c r="L56" s="14"/>
      <c r="M56" s="14"/>
      <c r="N56" s="22"/>
      <c r="O56" s="12" t="str">
        <f t="shared" si="0"/>
        <v>Pendiente</v>
      </c>
    </row>
    <row r="57" spans="1:15" ht="78" customHeight="1">
      <c r="A57" s="17" t="s">
        <v>545</v>
      </c>
      <c r="B57" s="9" t="s">
        <v>537</v>
      </c>
      <c r="C57" s="9" t="s">
        <v>442</v>
      </c>
      <c r="D57" s="17" t="s">
        <v>1933</v>
      </c>
      <c r="E57" s="9" t="s">
        <v>1934</v>
      </c>
      <c r="F57" s="9" t="s">
        <v>20</v>
      </c>
      <c r="G57" s="9" t="s">
        <v>42</v>
      </c>
      <c r="H57" s="9" t="s">
        <v>1935</v>
      </c>
      <c r="I57" s="13" t="s">
        <v>692</v>
      </c>
      <c r="J57" s="19"/>
      <c r="K57" s="14"/>
      <c r="L57" s="14"/>
      <c r="M57" s="14"/>
      <c r="N57" s="22"/>
      <c r="O57" s="12" t="str">
        <f t="shared" si="0"/>
        <v>Pendiente</v>
      </c>
    </row>
    <row r="58" spans="1:15" ht="78" customHeight="1">
      <c r="A58" s="17" t="s">
        <v>551</v>
      </c>
      <c r="B58" s="9" t="s">
        <v>537</v>
      </c>
      <c r="C58" s="9" t="s">
        <v>552</v>
      </c>
      <c r="D58" s="17" t="s">
        <v>1950</v>
      </c>
      <c r="E58" s="9" t="s">
        <v>1951</v>
      </c>
      <c r="F58" s="9" t="s">
        <v>20</v>
      </c>
      <c r="G58" s="9" t="s">
        <v>42</v>
      </c>
      <c r="H58" s="9" t="s">
        <v>1952</v>
      </c>
      <c r="I58" s="13" t="s">
        <v>692</v>
      </c>
      <c r="J58" s="19"/>
      <c r="K58" s="14"/>
      <c r="L58" s="14"/>
      <c r="M58" s="14"/>
      <c r="N58" s="22"/>
      <c r="O58" s="12" t="str">
        <f t="shared" si="0"/>
        <v>Pendiente</v>
      </c>
    </row>
    <row r="59" spans="1:15" ht="61.95" customHeight="1">
      <c r="A59" s="17" t="s">
        <v>556</v>
      </c>
      <c r="B59" s="9" t="s">
        <v>537</v>
      </c>
      <c r="C59" s="9" t="s">
        <v>557</v>
      </c>
      <c r="D59" s="17" t="s">
        <v>1965</v>
      </c>
      <c r="E59" s="9" t="s">
        <v>1966</v>
      </c>
      <c r="F59" s="9" t="s">
        <v>20</v>
      </c>
      <c r="G59" s="9" t="s">
        <v>42</v>
      </c>
      <c r="H59" s="9" t="s">
        <v>1967</v>
      </c>
      <c r="I59" s="13" t="s">
        <v>692</v>
      </c>
      <c r="J59" s="19"/>
      <c r="K59" s="14"/>
      <c r="L59" s="14"/>
      <c r="M59" s="14"/>
      <c r="N59" s="22"/>
      <c r="O59" s="12" t="str">
        <f t="shared" si="0"/>
        <v>Pendiente</v>
      </c>
    </row>
    <row r="60" spans="1:15" ht="61.95" customHeight="1">
      <c r="A60" s="17" t="s">
        <v>566</v>
      </c>
      <c r="B60" s="9" t="s">
        <v>537</v>
      </c>
      <c r="C60" s="9" t="s">
        <v>567</v>
      </c>
      <c r="D60" s="17" t="s">
        <v>703</v>
      </c>
      <c r="E60" s="9" t="s">
        <v>1943</v>
      </c>
      <c r="F60" s="9" t="s">
        <v>20</v>
      </c>
      <c r="G60" s="9" t="s">
        <v>42</v>
      </c>
      <c r="H60" s="9" t="s">
        <v>1944</v>
      </c>
      <c r="I60" s="13" t="s">
        <v>692</v>
      </c>
      <c r="J60" s="19"/>
      <c r="K60" s="14"/>
      <c r="L60" s="14"/>
      <c r="M60" s="14"/>
      <c r="N60" s="22"/>
      <c r="O60" s="12" t="str">
        <f t="shared" si="0"/>
        <v>Pendiente</v>
      </c>
    </row>
    <row r="61" spans="1:15" ht="61.95" customHeight="1">
      <c r="A61" s="17" t="s">
        <v>579</v>
      </c>
      <c r="B61" s="9" t="s">
        <v>537</v>
      </c>
      <c r="C61" s="9" t="s">
        <v>580</v>
      </c>
      <c r="D61" s="17" t="s">
        <v>1100</v>
      </c>
      <c r="E61" s="9" t="s">
        <v>1920</v>
      </c>
      <c r="F61" s="9" t="s">
        <v>20</v>
      </c>
      <c r="G61" s="9" t="s">
        <v>42</v>
      </c>
      <c r="H61" s="9" t="s">
        <v>1968</v>
      </c>
      <c r="I61" s="13" t="s">
        <v>692</v>
      </c>
      <c r="J61" s="19"/>
      <c r="K61" s="14"/>
      <c r="L61" s="14"/>
      <c r="M61" s="14"/>
      <c r="N61" s="22"/>
      <c r="O61" s="12" t="str">
        <f t="shared" si="0"/>
        <v>Pendiente</v>
      </c>
    </row>
    <row r="62" spans="1:15" ht="49.95" customHeight="1">
      <c r="A62" s="17" t="s">
        <v>581</v>
      </c>
      <c r="B62" s="9" t="s">
        <v>537</v>
      </c>
      <c r="C62" s="9" t="s">
        <v>394</v>
      </c>
      <c r="D62" s="17" t="s">
        <v>1915</v>
      </c>
      <c r="E62" s="9" t="s">
        <v>1916</v>
      </c>
      <c r="F62" s="9" t="s">
        <v>20</v>
      </c>
      <c r="G62" s="9" t="s">
        <v>42</v>
      </c>
      <c r="H62" s="9" t="s">
        <v>1917</v>
      </c>
      <c r="I62" s="13" t="s">
        <v>692</v>
      </c>
      <c r="J62" s="19"/>
      <c r="K62" s="14"/>
      <c r="L62" s="14"/>
      <c r="M62" s="14"/>
      <c r="N62" s="22"/>
      <c r="O62" s="12" t="str">
        <f t="shared" si="0"/>
        <v>Pendiente</v>
      </c>
    </row>
    <row r="63" spans="1:15" ht="49.95" customHeight="1">
      <c r="A63" s="17" t="s">
        <v>582</v>
      </c>
      <c r="B63" s="9" t="s">
        <v>537</v>
      </c>
      <c r="C63" s="9" t="s">
        <v>396</v>
      </c>
      <c r="D63" s="17" t="s">
        <v>1085</v>
      </c>
      <c r="E63" s="9" t="s">
        <v>1918</v>
      </c>
      <c r="F63" s="9" t="s">
        <v>20</v>
      </c>
      <c r="G63" s="9" t="s">
        <v>42</v>
      </c>
      <c r="H63" s="9" t="s">
        <v>1919</v>
      </c>
      <c r="I63" s="13" t="s">
        <v>692</v>
      </c>
      <c r="J63" s="19"/>
      <c r="K63" s="14"/>
      <c r="L63" s="14"/>
      <c r="M63" s="14"/>
      <c r="N63" s="22"/>
      <c r="O63" s="12" t="str">
        <f t="shared" si="0"/>
        <v>Pendiente</v>
      </c>
    </row>
    <row r="64" spans="1:15" ht="61.95" customHeight="1">
      <c r="A64" s="17" t="s">
        <v>587</v>
      </c>
      <c r="B64" s="9" t="s">
        <v>537</v>
      </c>
      <c r="C64" s="9" t="s">
        <v>588</v>
      </c>
      <c r="D64" s="17" t="s">
        <v>760</v>
      </c>
      <c r="E64" s="9" t="s">
        <v>1969</v>
      </c>
      <c r="F64" s="9" t="s">
        <v>20</v>
      </c>
      <c r="G64" s="9" t="s">
        <v>42</v>
      </c>
      <c r="H64" s="9" t="s">
        <v>1970</v>
      </c>
      <c r="I64" s="13" t="s">
        <v>692</v>
      </c>
      <c r="J64" s="19"/>
      <c r="K64" s="14"/>
      <c r="L64" s="14"/>
      <c r="M64" s="14"/>
      <c r="N64" s="22"/>
      <c r="O64" s="12" t="str">
        <f t="shared" si="0"/>
        <v>Pendiente</v>
      </c>
    </row>
    <row r="65" spans="1:15" ht="78" customHeight="1">
      <c r="A65" s="17" t="s">
        <v>593</v>
      </c>
      <c r="B65" s="9" t="s">
        <v>537</v>
      </c>
      <c r="C65" s="9" t="s">
        <v>594</v>
      </c>
      <c r="D65" s="17" t="s">
        <v>1281</v>
      </c>
      <c r="E65" s="9" t="s">
        <v>1945</v>
      </c>
      <c r="F65" s="9" t="s">
        <v>20</v>
      </c>
      <c r="G65" s="9" t="s">
        <v>42</v>
      </c>
      <c r="H65" s="9" t="s">
        <v>1946</v>
      </c>
      <c r="I65" s="13" t="s">
        <v>692</v>
      </c>
      <c r="J65" s="19"/>
      <c r="K65" s="14"/>
      <c r="L65" s="14"/>
      <c r="M65" s="14"/>
      <c r="N65" s="22"/>
      <c r="O65" s="12" t="str">
        <f t="shared" si="0"/>
        <v>Pendiente</v>
      </c>
    </row>
    <row r="66" spans="1:15" ht="61.95" customHeight="1">
      <c r="A66" s="17" t="s">
        <v>601</v>
      </c>
      <c r="B66" s="9" t="s">
        <v>537</v>
      </c>
      <c r="C66" s="9" t="s">
        <v>602</v>
      </c>
      <c r="D66" s="17" t="s">
        <v>703</v>
      </c>
      <c r="E66" s="9" t="s">
        <v>1943</v>
      </c>
      <c r="F66" s="9" t="s">
        <v>20</v>
      </c>
      <c r="G66" s="9" t="s">
        <v>42</v>
      </c>
      <c r="H66" s="9" t="s">
        <v>1971</v>
      </c>
      <c r="I66" s="13" t="s">
        <v>692</v>
      </c>
      <c r="J66" s="19"/>
      <c r="K66" s="14"/>
      <c r="L66" s="14"/>
      <c r="M66" s="14"/>
      <c r="N66" s="22"/>
      <c r="O66" s="12" t="str">
        <f t="shared" si="0"/>
        <v>Pendiente</v>
      </c>
    </row>
    <row r="67" spans="1:15" ht="61.95" customHeight="1">
      <c r="A67" s="17" t="s">
        <v>603</v>
      </c>
      <c r="B67" s="9" t="s">
        <v>537</v>
      </c>
      <c r="C67" s="9" t="s">
        <v>604</v>
      </c>
      <c r="D67" s="17" t="s">
        <v>1947</v>
      </c>
      <c r="E67" s="9" t="s">
        <v>1948</v>
      </c>
      <c r="F67" s="9" t="s">
        <v>20</v>
      </c>
      <c r="G67" s="9" t="s">
        <v>42</v>
      </c>
      <c r="H67" s="9" t="s">
        <v>1972</v>
      </c>
      <c r="I67" s="13" t="s">
        <v>692</v>
      </c>
      <c r="J67" s="19"/>
      <c r="K67" s="14"/>
      <c r="L67" s="14"/>
      <c r="M67" s="14"/>
      <c r="N67" s="22"/>
      <c r="O67" s="12" t="str">
        <f t="shared" si="0"/>
        <v>Pendiente</v>
      </c>
    </row>
    <row r="68" spans="1:15" ht="61.95" customHeight="1">
      <c r="A68" s="17" t="s">
        <v>607</v>
      </c>
      <c r="B68" s="9" t="s">
        <v>537</v>
      </c>
      <c r="C68" s="9" t="s">
        <v>608</v>
      </c>
      <c r="D68" s="17" t="s">
        <v>1959</v>
      </c>
      <c r="E68" s="9" t="s">
        <v>1960</v>
      </c>
      <c r="F68" s="9" t="s">
        <v>20</v>
      </c>
      <c r="G68" s="9" t="s">
        <v>42</v>
      </c>
      <c r="H68" s="9" t="s">
        <v>1973</v>
      </c>
      <c r="I68" s="13" t="s">
        <v>692</v>
      </c>
      <c r="J68" s="19"/>
      <c r="K68" s="14"/>
      <c r="L68" s="14"/>
      <c r="M68" s="14"/>
      <c r="N68" s="22"/>
      <c r="O68" s="12" t="str">
        <f t="shared" si="0"/>
        <v>Pendiente</v>
      </c>
    </row>
    <row r="69" spans="1:15" ht="61.95" customHeight="1">
      <c r="A69" s="17" t="s">
        <v>609</v>
      </c>
      <c r="B69" s="9" t="s">
        <v>537</v>
      </c>
      <c r="C69" s="9" t="s">
        <v>610</v>
      </c>
      <c r="D69" s="17" t="s">
        <v>1962</v>
      </c>
      <c r="E69" s="9" t="s">
        <v>1963</v>
      </c>
      <c r="F69" s="9" t="s">
        <v>20</v>
      </c>
      <c r="G69" s="9" t="s">
        <v>42</v>
      </c>
      <c r="H69" s="9" t="s">
        <v>1974</v>
      </c>
      <c r="I69" s="13" t="s">
        <v>692</v>
      </c>
      <c r="J69" s="19"/>
      <c r="K69" s="14"/>
      <c r="L69" s="14"/>
      <c r="M69" s="14"/>
      <c r="N69" s="22"/>
      <c r="O69" s="12" t="str">
        <f t="shared" si="0"/>
        <v>Pendiente</v>
      </c>
    </row>
    <row r="70" spans="1:15" ht="94.05" customHeight="1">
      <c r="A70" s="17" t="s">
        <v>617</v>
      </c>
      <c r="B70" s="9" t="s">
        <v>537</v>
      </c>
      <c r="C70" s="9" t="s">
        <v>618</v>
      </c>
      <c r="D70" s="17" t="s">
        <v>1975</v>
      </c>
      <c r="E70" s="9" t="s">
        <v>1976</v>
      </c>
      <c r="F70" s="9" t="s">
        <v>20</v>
      </c>
      <c r="G70" s="9" t="s">
        <v>42</v>
      </c>
      <c r="H70" s="9" t="s">
        <v>1977</v>
      </c>
      <c r="I70" s="13" t="s">
        <v>692</v>
      </c>
      <c r="J70" s="19"/>
      <c r="K70" s="14"/>
      <c r="L70" s="14"/>
      <c r="M70" s="14"/>
      <c r="N70" s="22"/>
      <c r="O70" s="12" t="str">
        <f t="shared" si="0"/>
        <v>Pendiente</v>
      </c>
    </row>
    <row r="71" spans="1:15" ht="61.95" customHeight="1">
      <c r="A71" s="17" t="s">
        <v>621</v>
      </c>
      <c r="B71" s="9" t="s">
        <v>537</v>
      </c>
      <c r="C71" s="9" t="s">
        <v>622</v>
      </c>
      <c r="D71" s="17" t="s">
        <v>1323</v>
      </c>
      <c r="E71" s="9" t="s">
        <v>1953</v>
      </c>
      <c r="F71" s="9" t="s">
        <v>20</v>
      </c>
      <c r="G71" s="9" t="s">
        <v>42</v>
      </c>
      <c r="H71" s="9" t="s">
        <v>1978</v>
      </c>
      <c r="I71" s="13" t="s">
        <v>692</v>
      </c>
      <c r="J71" s="19"/>
      <c r="K71" s="14"/>
      <c r="L71" s="14"/>
      <c r="M71" s="14"/>
      <c r="N71" s="22"/>
      <c r="O71" s="12" t="str">
        <f t="shared" si="0"/>
        <v>Pendiente</v>
      </c>
    </row>
    <row r="72" spans="1:15" ht="61.95" customHeight="1">
      <c r="A72" s="17" t="s">
        <v>625</v>
      </c>
      <c r="B72" s="9" t="s">
        <v>537</v>
      </c>
      <c r="C72" s="9" t="s">
        <v>626</v>
      </c>
      <c r="D72" s="17" t="s">
        <v>1979</v>
      </c>
      <c r="E72" s="9" t="s">
        <v>1980</v>
      </c>
      <c r="F72" s="9" t="s">
        <v>20</v>
      </c>
      <c r="G72" s="9" t="s">
        <v>42</v>
      </c>
      <c r="H72" s="9" t="s">
        <v>1981</v>
      </c>
      <c r="I72" s="13" t="s">
        <v>692</v>
      </c>
      <c r="J72" s="19"/>
      <c r="K72" s="14"/>
      <c r="L72" s="14"/>
      <c r="M72" s="14"/>
      <c r="N72" s="22"/>
      <c r="O72" s="12" t="str">
        <f t="shared" ref="O72:O135" si="1">IF(I72="Pendiente","Pendiente",IF(I72="Equivalente confirmado",IF(OR(J72="",K72=""),"Falta código o nombre",IF(OR(L72="",M72=""),"Falta validación",IF(OR(NOT(ISNUMBER(N72)),N72&lt;=0),"Falta fecha","Homologado"))),IF(I72="Sin equivalente en AVAIN",IF(OR(J72&lt;&gt;"",K72&lt;&gt;""),"Quitar código y nombre",IF(OR(L72="",M72=""),"Falta validación",IF(OR(NOT(ISNUMBER(N72)),N72&lt;=0),"Falta fecha","Sin equivalente confirmado"))),"Revisar decisión")))</f>
        <v>Pendiente</v>
      </c>
    </row>
    <row r="73" spans="1:15" ht="61.95" customHeight="1">
      <c r="A73" s="17" t="s">
        <v>629</v>
      </c>
      <c r="B73" s="9" t="s">
        <v>537</v>
      </c>
      <c r="C73" s="9" t="s">
        <v>630</v>
      </c>
      <c r="D73" s="17" t="s">
        <v>1982</v>
      </c>
      <c r="E73" s="9" t="s">
        <v>1983</v>
      </c>
      <c r="F73" s="9" t="s">
        <v>20</v>
      </c>
      <c r="G73" s="9" t="s">
        <v>42</v>
      </c>
      <c r="H73" s="9" t="s">
        <v>1984</v>
      </c>
      <c r="I73" s="13" t="s">
        <v>692</v>
      </c>
      <c r="J73" s="19"/>
      <c r="K73" s="14"/>
      <c r="L73" s="14"/>
      <c r="M73" s="14"/>
      <c r="N73" s="22"/>
      <c r="O73" s="12" t="str">
        <f t="shared" si="1"/>
        <v>Pendiente</v>
      </c>
    </row>
    <row r="74" spans="1:15" ht="61.95" customHeight="1">
      <c r="A74" s="17" t="s">
        <v>631</v>
      </c>
      <c r="B74" s="9" t="s">
        <v>537</v>
      </c>
      <c r="C74" s="9" t="s">
        <v>392</v>
      </c>
      <c r="D74" s="17" t="s">
        <v>745</v>
      </c>
      <c r="E74" s="9" t="s">
        <v>575</v>
      </c>
      <c r="F74" s="9" t="s">
        <v>20</v>
      </c>
      <c r="G74" s="9" t="s">
        <v>42</v>
      </c>
      <c r="H74" s="9" t="s">
        <v>1914</v>
      </c>
      <c r="I74" s="13" t="s">
        <v>692</v>
      </c>
      <c r="J74" s="19"/>
      <c r="K74" s="14"/>
      <c r="L74" s="14"/>
      <c r="M74" s="14"/>
      <c r="N74" s="22"/>
      <c r="O74" s="12" t="str">
        <f t="shared" si="1"/>
        <v>Pendiente</v>
      </c>
    </row>
    <row r="75" spans="1:15" ht="61.95" customHeight="1">
      <c r="A75" s="17" t="s">
        <v>635</v>
      </c>
      <c r="B75" s="9" t="s">
        <v>537</v>
      </c>
      <c r="C75" s="9" t="s">
        <v>636</v>
      </c>
      <c r="D75" s="17" t="s">
        <v>1985</v>
      </c>
      <c r="E75" s="9" t="s">
        <v>1986</v>
      </c>
      <c r="F75" s="9" t="s">
        <v>20</v>
      </c>
      <c r="G75" s="9" t="s">
        <v>42</v>
      </c>
      <c r="H75" s="9" t="s">
        <v>1987</v>
      </c>
      <c r="I75" s="13" t="s">
        <v>692</v>
      </c>
      <c r="J75" s="19"/>
      <c r="K75" s="14"/>
      <c r="L75" s="14"/>
      <c r="M75" s="14"/>
      <c r="N75" s="22"/>
      <c r="O75" s="12" t="str">
        <f t="shared" si="1"/>
        <v>Pendiente</v>
      </c>
    </row>
    <row r="76" spans="1:15" ht="61.95" customHeight="1">
      <c r="A76" s="17" t="s">
        <v>637</v>
      </c>
      <c r="B76" s="9" t="s">
        <v>537</v>
      </c>
      <c r="C76" s="9" t="s">
        <v>588</v>
      </c>
      <c r="D76" s="17" t="s">
        <v>760</v>
      </c>
      <c r="E76" s="9" t="s">
        <v>1969</v>
      </c>
      <c r="F76" s="9" t="s">
        <v>20</v>
      </c>
      <c r="G76" s="9" t="s">
        <v>42</v>
      </c>
      <c r="H76" s="9" t="s">
        <v>1970</v>
      </c>
      <c r="I76" s="13" t="s">
        <v>692</v>
      </c>
      <c r="J76" s="19"/>
      <c r="K76" s="14"/>
      <c r="L76" s="14"/>
      <c r="M76" s="14"/>
      <c r="N76" s="22"/>
      <c r="O76" s="12" t="str">
        <f t="shared" si="1"/>
        <v>Pendiente</v>
      </c>
    </row>
    <row r="77" spans="1:15" ht="94.05" customHeight="1">
      <c r="A77" s="17" t="s">
        <v>238</v>
      </c>
      <c r="B77" s="9" t="s">
        <v>108</v>
      </c>
      <c r="C77" s="9" t="s">
        <v>239</v>
      </c>
      <c r="D77" s="17" t="s">
        <v>1988</v>
      </c>
      <c r="E77" s="9" t="s">
        <v>1989</v>
      </c>
      <c r="F77" s="9" t="s">
        <v>22</v>
      </c>
      <c r="G77" s="9" t="s">
        <v>42</v>
      </c>
      <c r="H77" s="9" t="s">
        <v>1990</v>
      </c>
      <c r="I77" s="13" t="s">
        <v>692</v>
      </c>
      <c r="J77" s="19"/>
      <c r="K77" s="14"/>
      <c r="L77" s="14"/>
      <c r="M77" s="14"/>
      <c r="N77" s="22"/>
      <c r="O77" s="12" t="str">
        <f t="shared" si="1"/>
        <v>Pendiente</v>
      </c>
    </row>
    <row r="78" spans="1:15" ht="94.05" customHeight="1">
      <c r="A78" s="17" t="s">
        <v>342</v>
      </c>
      <c r="B78" s="9" t="s">
        <v>108</v>
      </c>
      <c r="C78" s="9" t="s">
        <v>343</v>
      </c>
      <c r="D78" s="17" t="s">
        <v>1991</v>
      </c>
      <c r="E78" s="9" t="s">
        <v>1992</v>
      </c>
      <c r="F78" s="9" t="s">
        <v>22</v>
      </c>
      <c r="G78" s="9" t="s">
        <v>42</v>
      </c>
      <c r="H78" s="9" t="s">
        <v>1993</v>
      </c>
      <c r="I78" s="13" t="s">
        <v>692</v>
      </c>
      <c r="J78" s="19"/>
      <c r="K78" s="14"/>
      <c r="L78" s="14"/>
      <c r="M78" s="14"/>
      <c r="N78" s="22"/>
      <c r="O78" s="12" t="str">
        <f t="shared" si="1"/>
        <v>Pendiente</v>
      </c>
    </row>
    <row r="79" spans="1:15" ht="78" customHeight="1">
      <c r="A79" s="17" t="s">
        <v>411</v>
      </c>
      <c r="B79" s="9" t="s">
        <v>357</v>
      </c>
      <c r="C79" s="9" t="s">
        <v>412</v>
      </c>
      <c r="D79" s="17" t="s">
        <v>1994</v>
      </c>
      <c r="E79" s="9" t="s">
        <v>1995</v>
      </c>
      <c r="F79" s="9" t="s">
        <v>22</v>
      </c>
      <c r="G79" s="9" t="s">
        <v>42</v>
      </c>
      <c r="H79" s="9" t="s">
        <v>1996</v>
      </c>
      <c r="I79" s="13" t="s">
        <v>692</v>
      </c>
      <c r="J79" s="19"/>
      <c r="K79" s="14"/>
      <c r="L79" s="14"/>
      <c r="M79" s="14"/>
      <c r="N79" s="22"/>
      <c r="O79" s="12" t="str">
        <f t="shared" si="1"/>
        <v>Pendiente</v>
      </c>
    </row>
    <row r="80" spans="1:15" ht="78" customHeight="1">
      <c r="A80" s="17" t="s">
        <v>435</v>
      </c>
      <c r="B80" s="9" t="s">
        <v>357</v>
      </c>
      <c r="C80" s="9" t="s">
        <v>436</v>
      </c>
      <c r="D80" s="17" t="s">
        <v>1997</v>
      </c>
      <c r="E80" s="9" t="s">
        <v>1998</v>
      </c>
      <c r="F80" s="9" t="s">
        <v>22</v>
      </c>
      <c r="G80" s="9" t="s">
        <v>42</v>
      </c>
      <c r="H80" s="9" t="s">
        <v>1999</v>
      </c>
      <c r="I80" s="13" t="s">
        <v>692</v>
      </c>
      <c r="J80" s="19"/>
      <c r="K80" s="14"/>
      <c r="L80" s="14"/>
      <c r="M80" s="14"/>
      <c r="N80" s="22"/>
      <c r="O80" s="12" t="str">
        <f t="shared" si="1"/>
        <v>Pendiente</v>
      </c>
    </row>
    <row r="81" spans="1:15" ht="78" customHeight="1">
      <c r="A81" s="17" t="s">
        <v>439</v>
      </c>
      <c r="B81" s="9" t="s">
        <v>357</v>
      </c>
      <c r="C81" s="9" t="s">
        <v>440</v>
      </c>
      <c r="D81" s="17" t="s">
        <v>2000</v>
      </c>
      <c r="E81" s="9" t="s">
        <v>2001</v>
      </c>
      <c r="F81" s="9" t="s">
        <v>22</v>
      </c>
      <c r="G81" s="9" t="s">
        <v>42</v>
      </c>
      <c r="H81" s="9" t="s">
        <v>2002</v>
      </c>
      <c r="I81" s="13" t="s">
        <v>692</v>
      </c>
      <c r="J81" s="19"/>
      <c r="K81" s="14"/>
      <c r="L81" s="14"/>
      <c r="M81" s="14"/>
      <c r="N81" s="22"/>
      <c r="O81" s="12" t="str">
        <f t="shared" si="1"/>
        <v>Pendiente</v>
      </c>
    </row>
    <row r="82" spans="1:15" ht="61.95" customHeight="1">
      <c r="A82" s="17" t="s">
        <v>443</v>
      </c>
      <c r="B82" s="9" t="s">
        <v>357</v>
      </c>
      <c r="C82" s="9" t="s">
        <v>444</v>
      </c>
      <c r="D82" s="17" t="s">
        <v>2003</v>
      </c>
      <c r="E82" s="9" t="s">
        <v>2004</v>
      </c>
      <c r="F82" s="9" t="s">
        <v>22</v>
      </c>
      <c r="G82" s="9" t="s">
        <v>42</v>
      </c>
      <c r="H82" s="9" t="s">
        <v>2005</v>
      </c>
      <c r="I82" s="13" t="s">
        <v>692</v>
      </c>
      <c r="J82" s="19"/>
      <c r="K82" s="14"/>
      <c r="L82" s="14"/>
      <c r="M82" s="14"/>
      <c r="N82" s="22"/>
      <c r="O82" s="12" t="str">
        <f t="shared" si="1"/>
        <v>Pendiente</v>
      </c>
    </row>
    <row r="83" spans="1:15" ht="78" customHeight="1">
      <c r="A83" s="17" t="s">
        <v>528</v>
      </c>
      <c r="B83" s="9" t="s">
        <v>464</v>
      </c>
      <c r="C83" s="9" t="s">
        <v>529</v>
      </c>
      <c r="D83" s="17" t="s">
        <v>2006</v>
      </c>
      <c r="E83" s="9" t="s">
        <v>2007</v>
      </c>
      <c r="F83" s="9" t="s">
        <v>22</v>
      </c>
      <c r="G83" s="9" t="s">
        <v>42</v>
      </c>
      <c r="H83" s="9" t="s">
        <v>2008</v>
      </c>
      <c r="I83" s="13" t="s">
        <v>692</v>
      </c>
      <c r="J83" s="19"/>
      <c r="K83" s="14"/>
      <c r="L83" s="14"/>
      <c r="M83" s="14"/>
      <c r="N83" s="22"/>
      <c r="O83" s="12" t="str">
        <f t="shared" si="1"/>
        <v>Pendiente</v>
      </c>
    </row>
    <row r="84" spans="1:15" ht="78" customHeight="1">
      <c r="A84" s="17" t="s">
        <v>543</v>
      </c>
      <c r="B84" s="9" t="s">
        <v>537</v>
      </c>
      <c r="C84" s="9" t="s">
        <v>544</v>
      </c>
      <c r="D84" s="17" t="s">
        <v>2003</v>
      </c>
      <c r="E84" s="9" t="s">
        <v>2004</v>
      </c>
      <c r="F84" s="9" t="s">
        <v>22</v>
      </c>
      <c r="G84" s="9" t="s">
        <v>42</v>
      </c>
      <c r="H84" s="9" t="s">
        <v>2009</v>
      </c>
      <c r="I84" s="13" t="s">
        <v>692</v>
      </c>
      <c r="J84" s="19"/>
      <c r="K84" s="14"/>
      <c r="L84" s="14"/>
      <c r="M84" s="14"/>
      <c r="N84" s="22"/>
      <c r="O84" s="12" t="str">
        <f t="shared" si="1"/>
        <v>Pendiente</v>
      </c>
    </row>
    <row r="85" spans="1:15" ht="78" customHeight="1">
      <c r="A85" s="17" t="s">
        <v>546</v>
      </c>
      <c r="B85" s="9" t="s">
        <v>537</v>
      </c>
      <c r="C85" s="9" t="s">
        <v>547</v>
      </c>
      <c r="D85" s="17" t="s">
        <v>2010</v>
      </c>
      <c r="E85" s="9" t="s">
        <v>2011</v>
      </c>
      <c r="F85" s="9" t="s">
        <v>22</v>
      </c>
      <c r="G85" s="9" t="s">
        <v>42</v>
      </c>
      <c r="H85" s="9" t="s">
        <v>2012</v>
      </c>
      <c r="I85" s="13" t="s">
        <v>692</v>
      </c>
      <c r="J85" s="19"/>
      <c r="K85" s="14"/>
      <c r="L85" s="14"/>
      <c r="M85" s="14"/>
      <c r="N85" s="22"/>
      <c r="O85" s="12" t="str">
        <f t="shared" si="1"/>
        <v>Pendiente</v>
      </c>
    </row>
    <row r="86" spans="1:15" ht="61.95" customHeight="1">
      <c r="A86" s="17" t="s">
        <v>568</v>
      </c>
      <c r="B86" s="9" t="s">
        <v>537</v>
      </c>
      <c r="C86" s="9" t="s">
        <v>569</v>
      </c>
      <c r="D86" s="17" t="s">
        <v>2013</v>
      </c>
      <c r="E86" s="9" t="s">
        <v>2014</v>
      </c>
      <c r="F86" s="9" t="s">
        <v>22</v>
      </c>
      <c r="G86" s="9" t="s">
        <v>42</v>
      </c>
      <c r="H86" s="9" t="s">
        <v>2015</v>
      </c>
      <c r="I86" s="13" t="s">
        <v>692</v>
      </c>
      <c r="J86" s="19"/>
      <c r="K86" s="14"/>
      <c r="L86" s="14"/>
      <c r="M86" s="14"/>
      <c r="N86" s="22"/>
      <c r="O86" s="12" t="str">
        <f t="shared" si="1"/>
        <v>Pendiente</v>
      </c>
    </row>
    <row r="87" spans="1:15" ht="78" customHeight="1">
      <c r="A87" s="17" t="s">
        <v>570</v>
      </c>
      <c r="B87" s="9" t="s">
        <v>537</v>
      </c>
      <c r="C87" s="9" t="s">
        <v>571</v>
      </c>
      <c r="D87" s="17" t="s">
        <v>1994</v>
      </c>
      <c r="E87" s="9" t="s">
        <v>1995</v>
      </c>
      <c r="F87" s="9" t="s">
        <v>22</v>
      </c>
      <c r="G87" s="9" t="s">
        <v>42</v>
      </c>
      <c r="H87" s="9" t="s">
        <v>2016</v>
      </c>
      <c r="I87" s="13" t="s">
        <v>692</v>
      </c>
      <c r="J87" s="19"/>
      <c r="K87" s="14"/>
      <c r="L87" s="14"/>
      <c r="M87" s="14"/>
      <c r="N87" s="22"/>
      <c r="O87" s="12" t="str">
        <f t="shared" si="1"/>
        <v>Pendiente</v>
      </c>
    </row>
    <row r="88" spans="1:15" ht="78" customHeight="1">
      <c r="A88" s="17" t="s">
        <v>576</v>
      </c>
      <c r="B88" s="9" t="s">
        <v>537</v>
      </c>
      <c r="C88" s="9" t="s">
        <v>577</v>
      </c>
      <c r="D88" s="17" t="s">
        <v>2017</v>
      </c>
      <c r="E88" s="9" t="s">
        <v>2018</v>
      </c>
      <c r="F88" s="9" t="s">
        <v>22</v>
      </c>
      <c r="G88" s="9" t="s">
        <v>42</v>
      </c>
      <c r="H88" s="9" t="s">
        <v>2019</v>
      </c>
      <c r="I88" s="13" t="s">
        <v>692</v>
      </c>
      <c r="J88" s="19"/>
      <c r="K88" s="14"/>
      <c r="L88" s="14"/>
      <c r="M88" s="14"/>
      <c r="N88" s="22"/>
      <c r="O88" s="12" t="str">
        <f t="shared" si="1"/>
        <v>Pendiente</v>
      </c>
    </row>
    <row r="89" spans="1:15" ht="61.95" customHeight="1">
      <c r="A89" s="17" t="s">
        <v>623</v>
      </c>
      <c r="B89" s="9" t="s">
        <v>537</v>
      </c>
      <c r="C89" s="9" t="s">
        <v>624</v>
      </c>
      <c r="D89" s="17" t="s">
        <v>2020</v>
      </c>
      <c r="E89" s="9" t="s">
        <v>2021</v>
      </c>
      <c r="F89" s="9" t="s">
        <v>22</v>
      </c>
      <c r="G89" s="9" t="s">
        <v>42</v>
      </c>
      <c r="H89" s="9" t="s">
        <v>2022</v>
      </c>
      <c r="I89" s="13" t="s">
        <v>692</v>
      </c>
      <c r="J89" s="19"/>
      <c r="K89" s="14"/>
      <c r="L89" s="14"/>
      <c r="M89" s="14"/>
      <c r="N89" s="22"/>
      <c r="O89" s="12" t="str">
        <f t="shared" si="1"/>
        <v>Pendiente</v>
      </c>
    </row>
    <row r="90" spans="1:15" ht="78" customHeight="1">
      <c r="A90" s="17" t="s">
        <v>627</v>
      </c>
      <c r="B90" s="9" t="s">
        <v>537</v>
      </c>
      <c r="C90" s="9" t="s">
        <v>628</v>
      </c>
      <c r="D90" s="17" t="s">
        <v>1927</v>
      </c>
      <c r="E90" s="9" t="s">
        <v>1928</v>
      </c>
      <c r="F90" s="9" t="s">
        <v>22</v>
      </c>
      <c r="G90" s="9" t="s">
        <v>42</v>
      </c>
      <c r="H90" s="9" t="s">
        <v>2023</v>
      </c>
      <c r="I90" s="13" t="s">
        <v>692</v>
      </c>
      <c r="J90" s="19"/>
      <c r="K90" s="14"/>
      <c r="L90" s="14"/>
      <c r="M90" s="14"/>
      <c r="N90" s="22"/>
      <c r="O90" s="12" t="str">
        <f t="shared" si="1"/>
        <v>Pendiente</v>
      </c>
    </row>
    <row r="91" spans="1:15" ht="94.05" customHeight="1">
      <c r="A91" s="17" t="s">
        <v>632</v>
      </c>
      <c r="B91" s="9" t="s">
        <v>537</v>
      </c>
      <c r="C91" s="9" t="s">
        <v>343</v>
      </c>
      <c r="D91" s="17" t="s">
        <v>1991</v>
      </c>
      <c r="E91" s="9" t="s">
        <v>1992</v>
      </c>
      <c r="F91" s="9" t="s">
        <v>22</v>
      </c>
      <c r="G91" s="9" t="s">
        <v>42</v>
      </c>
      <c r="H91" s="9" t="s">
        <v>1993</v>
      </c>
      <c r="I91" s="13" t="s">
        <v>692</v>
      </c>
      <c r="J91" s="19"/>
      <c r="K91" s="14"/>
      <c r="L91" s="14"/>
      <c r="M91" s="14"/>
      <c r="N91" s="22"/>
      <c r="O91" s="12" t="str">
        <f t="shared" si="1"/>
        <v>Pendiente</v>
      </c>
    </row>
    <row r="92" spans="1:15" ht="78" customHeight="1">
      <c r="A92" s="17" t="s">
        <v>633</v>
      </c>
      <c r="B92" s="9" t="s">
        <v>537</v>
      </c>
      <c r="C92" s="9" t="s">
        <v>634</v>
      </c>
      <c r="D92" s="17" t="s">
        <v>2024</v>
      </c>
      <c r="E92" s="9" t="s">
        <v>2025</v>
      </c>
      <c r="F92" s="9" t="s">
        <v>22</v>
      </c>
      <c r="G92" s="9" t="s">
        <v>42</v>
      </c>
      <c r="H92" s="9" t="s">
        <v>2026</v>
      </c>
      <c r="I92" s="13" t="s">
        <v>692</v>
      </c>
      <c r="J92" s="19"/>
      <c r="K92" s="14"/>
      <c r="L92" s="14"/>
      <c r="M92" s="14"/>
      <c r="N92" s="22"/>
      <c r="O92" s="12" t="str">
        <f t="shared" si="1"/>
        <v>Pendiente</v>
      </c>
    </row>
    <row r="93" spans="1:15" ht="94.05" customHeight="1">
      <c r="A93" s="17" t="s">
        <v>638</v>
      </c>
      <c r="B93" s="9" t="s">
        <v>537</v>
      </c>
      <c r="C93" s="9" t="s">
        <v>639</v>
      </c>
      <c r="D93" s="17" t="s">
        <v>2027</v>
      </c>
      <c r="E93" s="9" t="s">
        <v>2028</v>
      </c>
      <c r="F93" s="9" t="s">
        <v>22</v>
      </c>
      <c r="G93" s="9" t="s">
        <v>42</v>
      </c>
      <c r="H93" s="9" t="s">
        <v>2029</v>
      </c>
      <c r="I93" s="13" t="s">
        <v>692</v>
      </c>
      <c r="J93" s="19"/>
      <c r="K93" s="14"/>
      <c r="L93" s="14"/>
      <c r="M93" s="14"/>
      <c r="N93" s="22"/>
      <c r="O93" s="12" t="str">
        <f t="shared" si="1"/>
        <v>Pendiente</v>
      </c>
    </row>
    <row r="94" spans="1:15" ht="94.05" customHeight="1">
      <c r="A94" s="17" t="s">
        <v>646</v>
      </c>
      <c r="B94" s="9" t="s">
        <v>537</v>
      </c>
      <c r="C94" s="9" t="s">
        <v>647</v>
      </c>
      <c r="D94" s="17" t="s">
        <v>2030</v>
      </c>
      <c r="E94" s="9" t="s">
        <v>2031</v>
      </c>
      <c r="F94" s="9" t="s">
        <v>22</v>
      </c>
      <c r="G94" s="9" t="s">
        <v>42</v>
      </c>
      <c r="H94" s="9" t="s">
        <v>2032</v>
      </c>
      <c r="I94" s="13" t="s">
        <v>692</v>
      </c>
      <c r="J94" s="19"/>
      <c r="K94" s="14"/>
      <c r="L94" s="14"/>
      <c r="M94" s="14"/>
      <c r="N94" s="22"/>
      <c r="O94" s="12" t="str">
        <f t="shared" si="1"/>
        <v>Pendiente</v>
      </c>
    </row>
    <row r="95" spans="1:15" ht="78" customHeight="1">
      <c r="A95" s="17" t="s">
        <v>648</v>
      </c>
      <c r="B95" s="9" t="s">
        <v>537</v>
      </c>
      <c r="C95" s="9" t="s">
        <v>649</v>
      </c>
      <c r="D95" s="17" t="s">
        <v>2033</v>
      </c>
      <c r="E95" s="9" t="s">
        <v>2034</v>
      </c>
      <c r="F95" s="9" t="s">
        <v>22</v>
      </c>
      <c r="G95" s="9" t="s">
        <v>42</v>
      </c>
      <c r="H95" s="9" t="s">
        <v>2035</v>
      </c>
      <c r="I95" s="13" t="s">
        <v>692</v>
      </c>
      <c r="J95" s="19"/>
      <c r="K95" s="14"/>
      <c r="L95" s="14"/>
      <c r="M95" s="14"/>
      <c r="N95" s="22"/>
      <c r="O95" s="12" t="str">
        <f t="shared" si="1"/>
        <v>Pendiente</v>
      </c>
    </row>
    <row r="96" spans="1:15" ht="78" customHeight="1">
      <c r="A96" s="17" t="s">
        <v>652</v>
      </c>
      <c r="B96" s="9" t="s">
        <v>537</v>
      </c>
      <c r="C96" s="9" t="s">
        <v>653</v>
      </c>
      <c r="D96" s="17" t="s">
        <v>2036</v>
      </c>
      <c r="E96" s="9" t="s">
        <v>2037</v>
      </c>
      <c r="F96" s="9" t="s">
        <v>22</v>
      </c>
      <c r="G96" s="9" t="s">
        <v>42</v>
      </c>
      <c r="H96" s="9" t="s">
        <v>2038</v>
      </c>
      <c r="I96" s="13" t="s">
        <v>692</v>
      </c>
      <c r="J96" s="19"/>
      <c r="K96" s="14"/>
      <c r="L96" s="14"/>
      <c r="M96" s="14"/>
      <c r="N96" s="22"/>
      <c r="O96" s="12" t="str">
        <f t="shared" si="1"/>
        <v>Pendiente</v>
      </c>
    </row>
    <row r="97" spans="1:15" ht="109.95" customHeight="1">
      <c r="A97" s="17" t="s">
        <v>656</v>
      </c>
      <c r="B97" s="9" t="s">
        <v>537</v>
      </c>
      <c r="C97" s="9" t="s">
        <v>657</v>
      </c>
      <c r="D97" s="17" t="s">
        <v>2039</v>
      </c>
      <c r="E97" s="9" t="s">
        <v>2040</v>
      </c>
      <c r="F97" s="9" t="s">
        <v>22</v>
      </c>
      <c r="G97" s="9" t="s">
        <v>42</v>
      </c>
      <c r="H97" s="9" t="s">
        <v>2041</v>
      </c>
      <c r="I97" s="13" t="s">
        <v>692</v>
      </c>
      <c r="J97" s="19"/>
      <c r="K97" s="14"/>
      <c r="L97" s="14"/>
      <c r="M97" s="14"/>
      <c r="N97" s="22"/>
      <c r="O97" s="12" t="str">
        <f t="shared" si="1"/>
        <v>Pendiente</v>
      </c>
    </row>
    <row r="98" spans="1:15" ht="78" customHeight="1">
      <c r="A98" s="17" t="s">
        <v>658</v>
      </c>
      <c r="B98" s="9" t="s">
        <v>537</v>
      </c>
      <c r="C98" s="9" t="s">
        <v>659</v>
      </c>
      <c r="D98" s="17" t="s">
        <v>2042</v>
      </c>
      <c r="E98" s="9" t="s">
        <v>2043</v>
      </c>
      <c r="F98" s="9" t="s">
        <v>22</v>
      </c>
      <c r="G98" s="9" t="s">
        <v>42</v>
      </c>
      <c r="H98" s="9" t="s">
        <v>2044</v>
      </c>
      <c r="I98" s="13" t="s">
        <v>692</v>
      </c>
      <c r="J98" s="19"/>
      <c r="K98" s="14"/>
      <c r="L98" s="14"/>
      <c r="M98" s="14"/>
      <c r="N98" s="22"/>
      <c r="O98" s="12" t="str">
        <f t="shared" si="1"/>
        <v>Pendiente</v>
      </c>
    </row>
    <row r="99" spans="1:15" ht="94.05" customHeight="1">
      <c r="A99" s="17" t="s">
        <v>107</v>
      </c>
      <c r="B99" s="9" t="s">
        <v>108</v>
      </c>
      <c r="C99" s="9" t="s">
        <v>109</v>
      </c>
      <c r="D99" s="17" t="s">
        <v>2045</v>
      </c>
      <c r="E99" s="9" t="s">
        <v>2046</v>
      </c>
      <c r="F99" s="9" t="s">
        <v>16</v>
      </c>
      <c r="G99" s="9" t="s">
        <v>40</v>
      </c>
      <c r="H99" s="9" t="s">
        <v>2047</v>
      </c>
      <c r="I99" s="13" t="s">
        <v>692</v>
      </c>
      <c r="J99" s="19"/>
      <c r="K99" s="14"/>
      <c r="L99" s="14"/>
      <c r="M99" s="14"/>
      <c r="N99" s="22"/>
      <c r="O99" s="12" t="str">
        <f t="shared" si="1"/>
        <v>Pendiente</v>
      </c>
    </row>
    <row r="100" spans="1:15" ht="49.95" customHeight="1">
      <c r="A100" s="17" t="s">
        <v>110</v>
      </c>
      <c r="B100" s="9" t="s">
        <v>108</v>
      </c>
      <c r="C100" s="9" t="s">
        <v>111</v>
      </c>
      <c r="D100" s="17" t="s">
        <v>2048</v>
      </c>
      <c r="E100" s="9" t="s">
        <v>2049</v>
      </c>
      <c r="F100" s="9" t="s">
        <v>16</v>
      </c>
      <c r="G100" s="9" t="s">
        <v>40</v>
      </c>
      <c r="H100" s="9" t="s">
        <v>2050</v>
      </c>
      <c r="I100" s="13" t="s">
        <v>692</v>
      </c>
      <c r="J100" s="19"/>
      <c r="K100" s="14"/>
      <c r="L100" s="14"/>
      <c r="M100" s="14"/>
      <c r="N100" s="22"/>
      <c r="O100" s="12" t="str">
        <f t="shared" si="1"/>
        <v>Pendiente</v>
      </c>
    </row>
    <row r="101" spans="1:15" ht="49.95" customHeight="1">
      <c r="A101" s="17" t="s">
        <v>112</v>
      </c>
      <c r="B101" s="9" t="s">
        <v>108</v>
      </c>
      <c r="C101" s="9" t="s">
        <v>113</v>
      </c>
      <c r="D101" s="17" t="s">
        <v>2051</v>
      </c>
      <c r="E101" s="9" t="s">
        <v>2052</v>
      </c>
      <c r="F101" s="9" t="s">
        <v>16</v>
      </c>
      <c r="G101" s="9" t="s">
        <v>40</v>
      </c>
      <c r="H101" s="9" t="s">
        <v>2053</v>
      </c>
      <c r="I101" s="13" t="s">
        <v>692</v>
      </c>
      <c r="J101" s="19"/>
      <c r="K101" s="14"/>
      <c r="L101" s="14"/>
      <c r="M101" s="14"/>
      <c r="N101" s="22"/>
      <c r="O101" s="12" t="str">
        <f t="shared" si="1"/>
        <v>Pendiente</v>
      </c>
    </row>
    <row r="102" spans="1:15" ht="49.95" customHeight="1">
      <c r="A102" s="17" t="s">
        <v>114</v>
      </c>
      <c r="B102" s="9" t="s">
        <v>108</v>
      </c>
      <c r="C102" s="9" t="s">
        <v>115</v>
      </c>
      <c r="D102" s="17" t="s">
        <v>2054</v>
      </c>
      <c r="E102" s="9" t="s">
        <v>2055</v>
      </c>
      <c r="F102" s="9" t="s">
        <v>16</v>
      </c>
      <c r="G102" s="9" t="s">
        <v>40</v>
      </c>
      <c r="H102" s="9" t="s">
        <v>2056</v>
      </c>
      <c r="I102" s="13" t="s">
        <v>692</v>
      </c>
      <c r="J102" s="19"/>
      <c r="K102" s="14"/>
      <c r="L102" s="14"/>
      <c r="M102" s="14"/>
      <c r="N102" s="22"/>
      <c r="O102" s="12" t="str">
        <f t="shared" si="1"/>
        <v>Pendiente</v>
      </c>
    </row>
    <row r="103" spans="1:15" ht="94.05" customHeight="1">
      <c r="A103" s="17" t="s">
        <v>116</v>
      </c>
      <c r="B103" s="9" t="s">
        <v>108</v>
      </c>
      <c r="C103" s="9" t="s">
        <v>117</v>
      </c>
      <c r="D103" s="17" t="s">
        <v>1314</v>
      </c>
      <c r="E103" s="9" t="s">
        <v>2057</v>
      </c>
      <c r="F103" s="9" t="s">
        <v>16</v>
      </c>
      <c r="G103" s="9" t="s">
        <v>40</v>
      </c>
      <c r="H103" s="9" t="s">
        <v>2058</v>
      </c>
      <c r="I103" s="13" t="s">
        <v>692</v>
      </c>
      <c r="J103" s="19"/>
      <c r="K103" s="14"/>
      <c r="L103" s="14"/>
      <c r="M103" s="14"/>
      <c r="N103" s="22"/>
      <c r="O103" s="12" t="str">
        <f t="shared" si="1"/>
        <v>Pendiente</v>
      </c>
    </row>
    <row r="104" spans="1:15" ht="49.95" customHeight="1">
      <c r="A104" s="17" t="s">
        <v>118</v>
      </c>
      <c r="B104" s="9" t="s">
        <v>108</v>
      </c>
      <c r="C104" s="9" t="s">
        <v>119</v>
      </c>
      <c r="D104" s="17" t="s">
        <v>1843</v>
      </c>
      <c r="E104" s="9" t="s">
        <v>1844</v>
      </c>
      <c r="F104" s="9" t="s">
        <v>16</v>
      </c>
      <c r="G104" s="9" t="s">
        <v>40</v>
      </c>
      <c r="H104" s="9" t="s">
        <v>2059</v>
      </c>
      <c r="I104" s="13" t="s">
        <v>692</v>
      </c>
      <c r="J104" s="19"/>
      <c r="K104" s="14"/>
      <c r="L104" s="14"/>
      <c r="M104" s="14"/>
      <c r="N104" s="22"/>
      <c r="O104" s="12" t="str">
        <f t="shared" si="1"/>
        <v>Pendiente</v>
      </c>
    </row>
    <row r="105" spans="1:15" ht="49.95" customHeight="1">
      <c r="A105" s="17" t="s">
        <v>120</v>
      </c>
      <c r="B105" s="9" t="s">
        <v>108</v>
      </c>
      <c r="C105" s="9" t="s">
        <v>121</v>
      </c>
      <c r="D105" s="17" t="s">
        <v>2060</v>
      </c>
      <c r="E105" s="9" t="s">
        <v>2061</v>
      </c>
      <c r="F105" s="9" t="s">
        <v>16</v>
      </c>
      <c r="G105" s="9" t="s">
        <v>40</v>
      </c>
      <c r="H105" s="9" t="s">
        <v>2062</v>
      </c>
      <c r="I105" s="13" t="s">
        <v>692</v>
      </c>
      <c r="J105" s="19"/>
      <c r="K105" s="14"/>
      <c r="L105" s="14"/>
      <c r="M105" s="14"/>
      <c r="N105" s="22"/>
      <c r="O105" s="12" t="str">
        <f t="shared" si="1"/>
        <v>Pendiente</v>
      </c>
    </row>
    <row r="106" spans="1:15" ht="49.95" customHeight="1">
      <c r="A106" s="17" t="s">
        <v>122</v>
      </c>
      <c r="B106" s="9" t="s">
        <v>108</v>
      </c>
      <c r="C106" s="9" t="s">
        <v>123</v>
      </c>
      <c r="D106" s="17" t="s">
        <v>2063</v>
      </c>
      <c r="E106" s="9" t="s">
        <v>2064</v>
      </c>
      <c r="F106" s="9" t="s">
        <v>16</v>
      </c>
      <c r="G106" s="9" t="s">
        <v>40</v>
      </c>
      <c r="H106" s="9" t="s">
        <v>2065</v>
      </c>
      <c r="I106" s="13" t="s">
        <v>692</v>
      </c>
      <c r="J106" s="19"/>
      <c r="K106" s="14"/>
      <c r="L106" s="14"/>
      <c r="M106" s="14"/>
      <c r="N106" s="22"/>
      <c r="O106" s="12" t="str">
        <f t="shared" si="1"/>
        <v>Pendiente</v>
      </c>
    </row>
    <row r="107" spans="1:15" ht="49.95" customHeight="1">
      <c r="A107" s="17" t="s">
        <v>124</v>
      </c>
      <c r="B107" s="9" t="s">
        <v>108</v>
      </c>
      <c r="C107" s="9" t="s">
        <v>125</v>
      </c>
      <c r="D107" s="17" t="s">
        <v>2066</v>
      </c>
      <c r="E107" s="9" t="s">
        <v>2067</v>
      </c>
      <c r="F107" s="9" t="s">
        <v>16</v>
      </c>
      <c r="G107" s="9" t="s">
        <v>40</v>
      </c>
      <c r="H107" s="9" t="s">
        <v>2068</v>
      </c>
      <c r="I107" s="13" t="s">
        <v>692</v>
      </c>
      <c r="J107" s="19"/>
      <c r="K107" s="14"/>
      <c r="L107" s="14"/>
      <c r="M107" s="14"/>
      <c r="N107" s="22"/>
      <c r="O107" s="12" t="str">
        <f t="shared" si="1"/>
        <v>Pendiente</v>
      </c>
    </row>
    <row r="108" spans="1:15" ht="49.95" customHeight="1">
      <c r="A108" s="17" t="s">
        <v>126</v>
      </c>
      <c r="B108" s="9" t="s">
        <v>108</v>
      </c>
      <c r="C108" s="9" t="s">
        <v>127</v>
      </c>
      <c r="D108" s="17" t="s">
        <v>2069</v>
      </c>
      <c r="E108" s="9" t="s">
        <v>2070</v>
      </c>
      <c r="F108" s="9" t="s">
        <v>16</v>
      </c>
      <c r="G108" s="9" t="s">
        <v>40</v>
      </c>
      <c r="H108" s="9" t="s">
        <v>2071</v>
      </c>
      <c r="I108" s="13" t="s">
        <v>692</v>
      </c>
      <c r="J108" s="19"/>
      <c r="K108" s="14"/>
      <c r="L108" s="14"/>
      <c r="M108" s="14"/>
      <c r="N108" s="22"/>
      <c r="O108" s="12" t="str">
        <f t="shared" si="1"/>
        <v>Pendiente</v>
      </c>
    </row>
    <row r="109" spans="1:15" ht="49.95" customHeight="1">
      <c r="A109" s="17" t="s">
        <v>128</v>
      </c>
      <c r="B109" s="9" t="s">
        <v>108</v>
      </c>
      <c r="C109" s="9" t="s">
        <v>129</v>
      </c>
      <c r="D109" s="17" t="s">
        <v>1317</v>
      </c>
      <c r="E109" s="9" t="s">
        <v>2072</v>
      </c>
      <c r="F109" s="9" t="s">
        <v>16</v>
      </c>
      <c r="G109" s="9" t="s">
        <v>40</v>
      </c>
      <c r="H109" s="9" t="s">
        <v>2073</v>
      </c>
      <c r="I109" s="13" t="s">
        <v>692</v>
      </c>
      <c r="J109" s="19"/>
      <c r="K109" s="14"/>
      <c r="L109" s="14"/>
      <c r="M109" s="14"/>
      <c r="N109" s="22"/>
      <c r="O109" s="12" t="str">
        <f t="shared" si="1"/>
        <v>Pendiente</v>
      </c>
    </row>
    <row r="110" spans="1:15" ht="49.95" customHeight="1">
      <c r="A110" s="17" t="s">
        <v>130</v>
      </c>
      <c r="B110" s="9" t="s">
        <v>108</v>
      </c>
      <c r="C110" s="9" t="s">
        <v>131</v>
      </c>
      <c r="D110" s="17" t="s">
        <v>2074</v>
      </c>
      <c r="E110" s="9" t="s">
        <v>2075</v>
      </c>
      <c r="F110" s="9" t="s">
        <v>16</v>
      </c>
      <c r="G110" s="9" t="s">
        <v>40</v>
      </c>
      <c r="H110" s="9" t="s">
        <v>2076</v>
      </c>
      <c r="I110" s="13" t="s">
        <v>692</v>
      </c>
      <c r="J110" s="19"/>
      <c r="K110" s="14"/>
      <c r="L110" s="14"/>
      <c r="M110" s="14"/>
      <c r="N110" s="22"/>
      <c r="O110" s="12" t="str">
        <f t="shared" si="1"/>
        <v>Pendiente</v>
      </c>
    </row>
    <row r="111" spans="1:15" ht="49.95" customHeight="1">
      <c r="A111" s="17" t="s">
        <v>140</v>
      </c>
      <c r="B111" s="9" t="s">
        <v>108</v>
      </c>
      <c r="C111" s="9" t="s">
        <v>141</v>
      </c>
      <c r="D111" s="17" t="s">
        <v>2077</v>
      </c>
      <c r="E111" s="9" t="s">
        <v>2078</v>
      </c>
      <c r="F111" s="9" t="s">
        <v>16</v>
      </c>
      <c r="G111" s="9" t="s">
        <v>40</v>
      </c>
      <c r="H111" s="9" t="s">
        <v>2079</v>
      </c>
      <c r="I111" s="13" t="s">
        <v>692</v>
      </c>
      <c r="J111" s="19"/>
      <c r="K111" s="14"/>
      <c r="L111" s="14"/>
      <c r="M111" s="14"/>
      <c r="N111" s="22"/>
      <c r="O111" s="12" t="str">
        <f t="shared" si="1"/>
        <v>Pendiente</v>
      </c>
    </row>
    <row r="112" spans="1:15" ht="49.95" customHeight="1">
      <c r="A112" s="17" t="s">
        <v>144</v>
      </c>
      <c r="B112" s="9" t="s">
        <v>108</v>
      </c>
      <c r="C112" s="9" t="s">
        <v>145</v>
      </c>
      <c r="D112" s="17" t="s">
        <v>770</v>
      </c>
      <c r="E112" s="9" t="s">
        <v>2080</v>
      </c>
      <c r="F112" s="9" t="s">
        <v>16</v>
      </c>
      <c r="G112" s="9" t="s">
        <v>40</v>
      </c>
      <c r="H112" s="9" t="s">
        <v>2081</v>
      </c>
      <c r="I112" s="13" t="s">
        <v>692</v>
      </c>
      <c r="J112" s="19"/>
      <c r="K112" s="14"/>
      <c r="L112" s="14"/>
      <c r="M112" s="14"/>
      <c r="N112" s="22"/>
      <c r="O112" s="12" t="str">
        <f t="shared" si="1"/>
        <v>Pendiente</v>
      </c>
    </row>
    <row r="113" spans="1:15" ht="49.95" customHeight="1">
      <c r="A113" s="17" t="s">
        <v>150</v>
      </c>
      <c r="B113" s="9" t="s">
        <v>108</v>
      </c>
      <c r="C113" s="9" t="s">
        <v>151</v>
      </c>
      <c r="D113" s="17" t="s">
        <v>2082</v>
      </c>
      <c r="E113" s="9" t="s">
        <v>2083</v>
      </c>
      <c r="F113" s="9" t="s">
        <v>16</v>
      </c>
      <c r="G113" s="9" t="s">
        <v>40</v>
      </c>
      <c r="H113" s="9" t="s">
        <v>2084</v>
      </c>
      <c r="I113" s="13" t="s">
        <v>692</v>
      </c>
      <c r="J113" s="19"/>
      <c r="K113" s="14"/>
      <c r="L113" s="14"/>
      <c r="M113" s="14"/>
      <c r="N113" s="22"/>
      <c r="O113" s="12" t="str">
        <f t="shared" si="1"/>
        <v>Pendiente</v>
      </c>
    </row>
    <row r="114" spans="1:15" ht="49.95" customHeight="1">
      <c r="A114" s="17" t="s">
        <v>162</v>
      </c>
      <c r="B114" s="9" t="s">
        <v>108</v>
      </c>
      <c r="C114" s="9" t="s">
        <v>163</v>
      </c>
      <c r="D114" s="17" t="s">
        <v>1469</v>
      </c>
      <c r="E114" s="9" t="s">
        <v>2085</v>
      </c>
      <c r="F114" s="9" t="s">
        <v>16</v>
      </c>
      <c r="G114" s="9" t="s">
        <v>40</v>
      </c>
      <c r="H114" s="9" t="s">
        <v>2086</v>
      </c>
      <c r="I114" s="13" t="s">
        <v>692</v>
      </c>
      <c r="J114" s="19"/>
      <c r="K114" s="14"/>
      <c r="L114" s="14"/>
      <c r="M114" s="14"/>
      <c r="N114" s="22"/>
      <c r="O114" s="12" t="str">
        <f t="shared" si="1"/>
        <v>Pendiente</v>
      </c>
    </row>
    <row r="115" spans="1:15" ht="61.95" customHeight="1">
      <c r="A115" s="17" t="s">
        <v>164</v>
      </c>
      <c r="B115" s="9" t="s">
        <v>108</v>
      </c>
      <c r="C115" s="9" t="s">
        <v>165</v>
      </c>
      <c r="D115" s="17" t="s">
        <v>2087</v>
      </c>
      <c r="E115" s="9" t="s">
        <v>2088</v>
      </c>
      <c r="F115" s="9" t="s">
        <v>16</v>
      </c>
      <c r="G115" s="9" t="s">
        <v>40</v>
      </c>
      <c r="H115" s="9" t="s">
        <v>2089</v>
      </c>
      <c r="I115" s="13" t="s">
        <v>692</v>
      </c>
      <c r="J115" s="19"/>
      <c r="K115" s="14"/>
      <c r="L115" s="14"/>
      <c r="M115" s="14"/>
      <c r="N115" s="22"/>
      <c r="O115" s="12" t="str">
        <f t="shared" si="1"/>
        <v>Pendiente</v>
      </c>
    </row>
    <row r="116" spans="1:15" ht="61.95" customHeight="1">
      <c r="A116" s="17" t="s">
        <v>166</v>
      </c>
      <c r="B116" s="9" t="s">
        <v>108</v>
      </c>
      <c r="C116" s="9" t="s">
        <v>167</v>
      </c>
      <c r="D116" s="17" t="s">
        <v>2090</v>
      </c>
      <c r="E116" s="9" t="s">
        <v>2091</v>
      </c>
      <c r="F116" s="9" t="s">
        <v>16</v>
      </c>
      <c r="G116" s="9" t="s">
        <v>40</v>
      </c>
      <c r="H116" s="9" t="s">
        <v>2092</v>
      </c>
      <c r="I116" s="13" t="s">
        <v>692</v>
      </c>
      <c r="J116" s="19"/>
      <c r="K116" s="14"/>
      <c r="L116" s="14"/>
      <c r="M116" s="14"/>
      <c r="N116" s="22"/>
      <c r="O116" s="12" t="str">
        <f t="shared" si="1"/>
        <v>Pendiente</v>
      </c>
    </row>
    <row r="117" spans="1:15" ht="49.95" customHeight="1">
      <c r="A117" s="17" t="s">
        <v>170</v>
      </c>
      <c r="B117" s="9" t="s">
        <v>108</v>
      </c>
      <c r="C117" s="9" t="s">
        <v>171</v>
      </c>
      <c r="D117" s="17" t="s">
        <v>2093</v>
      </c>
      <c r="E117" s="9" t="s">
        <v>2094</v>
      </c>
      <c r="F117" s="9" t="s">
        <v>16</v>
      </c>
      <c r="G117" s="9" t="s">
        <v>40</v>
      </c>
      <c r="H117" s="9" t="s">
        <v>2095</v>
      </c>
      <c r="I117" s="13" t="s">
        <v>692</v>
      </c>
      <c r="J117" s="19"/>
      <c r="K117" s="14"/>
      <c r="L117" s="14"/>
      <c r="M117" s="14"/>
      <c r="N117" s="22"/>
      <c r="O117" s="12" t="str">
        <f t="shared" si="1"/>
        <v>Pendiente</v>
      </c>
    </row>
    <row r="118" spans="1:15" ht="49.95" customHeight="1">
      <c r="A118" s="17" t="s">
        <v>172</v>
      </c>
      <c r="B118" s="9" t="s">
        <v>108</v>
      </c>
      <c r="C118" s="9" t="s">
        <v>173</v>
      </c>
      <c r="D118" s="17" t="s">
        <v>2096</v>
      </c>
      <c r="E118" s="9" t="s">
        <v>2097</v>
      </c>
      <c r="F118" s="9" t="s">
        <v>16</v>
      </c>
      <c r="G118" s="9" t="s">
        <v>40</v>
      </c>
      <c r="H118" s="9" t="s">
        <v>2098</v>
      </c>
      <c r="I118" s="13" t="s">
        <v>692</v>
      </c>
      <c r="J118" s="19"/>
      <c r="K118" s="14"/>
      <c r="L118" s="14"/>
      <c r="M118" s="14"/>
      <c r="N118" s="22"/>
      <c r="O118" s="12" t="str">
        <f t="shared" si="1"/>
        <v>Pendiente</v>
      </c>
    </row>
    <row r="119" spans="1:15" ht="49.95" customHeight="1">
      <c r="A119" s="17" t="s">
        <v>178</v>
      </c>
      <c r="B119" s="9" t="s">
        <v>108</v>
      </c>
      <c r="C119" s="9" t="s">
        <v>179</v>
      </c>
      <c r="D119" s="17" t="s">
        <v>2099</v>
      </c>
      <c r="E119" s="9" t="s">
        <v>2100</v>
      </c>
      <c r="F119" s="9" t="s">
        <v>16</v>
      </c>
      <c r="G119" s="9" t="s">
        <v>40</v>
      </c>
      <c r="H119" s="9" t="s">
        <v>2101</v>
      </c>
      <c r="I119" s="13" t="s">
        <v>692</v>
      </c>
      <c r="J119" s="19"/>
      <c r="K119" s="14"/>
      <c r="L119" s="14"/>
      <c r="M119" s="14"/>
      <c r="N119" s="22"/>
      <c r="O119" s="12" t="str">
        <f t="shared" si="1"/>
        <v>Pendiente</v>
      </c>
    </row>
    <row r="120" spans="1:15" ht="49.95" customHeight="1">
      <c r="A120" s="17" t="s">
        <v>182</v>
      </c>
      <c r="B120" s="9" t="s">
        <v>108</v>
      </c>
      <c r="C120" s="9" t="s">
        <v>183</v>
      </c>
      <c r="D120" s="17" t="s">
        <v>2102</v>
      </c>
      <c r="E120" s="9" t="s">
        <v>2103</v>
      </c>
      <c r="F120" s="9" t="s">
        <v>16</v>
      </c>
      <c r="G120" s="9" t="s">
        <v>40</v>
      </c>
      <c r="H120" s="9" t="s">
        <v>2104</v>
      </c>
      <c r="I120" s="13" t="s">
        <v>692</v>
      </c>
      <c r="J120" s="19"/>
      <c r="K120" s="14"/>
      <c r="L120" s="14"/>
      <c r="M120" s="14"/>
      <c r="N120" s="22"/>
      <c r="O120" s="12" t="str">
        <f t="shared" si="1"/>
        <v>Pendiente</v>
      </c>
    </row>
    <row r="121" spans="1:15" ht="49.95" customHeight="1">
      <c r="A121" s="17" t="s">
        <v>184</v>
      </c>
      <c r="B121" s="9" t="s">
        <v>108</v>
      </c>
      <c r="C121" s="9" t="s">
        <v>185</v>
      </c>
      <c r="D121" s="17" t="s">
        <v>2105</v>
      </c>
      <c r="E121" s="9" t="s">
        <v>2106</v>
      </c>
      <c r="F121" s="9" t="s">
        <v>16</v>
      </c>
      <c r="G121" s="9" t="s">
        <v>40</v>
      </c>
      <c r="H121" s="9" t="s">
        <v>2107</v>
      </c>
      <c r="I121" s="13" t="s">
        <v>692</v>
      </c>
      <c r="J121" s="19"/>
      <c r="K121" s="14"/>
      <c r="L121" s="14"/>
      <c r="M121" s="14"/>
      <c r="N121" s="22"/>
      <c r="O121" s="12" t="str">
        <f t="shared" si="1"/>
        <v>Pendiente</v>
      </c>
    </row>
    <row r="122" spans="1:15" ht="49.95" customHeight="1">
      <c r="A122" s="17" t="s">
        <v>186</v>
      </c>
      <c r="B122" s="9" t="s">
        <v>108</v>
      </c>
      <c r="C122" s="9" t="s">
        <v>187</v>
      </c>
      <c r="D122" s="17" t="s">
        <v>2108</v>
      </c>
      <c r="E122" s="9" t="s">
        <v>2109</v>
      </c>
      <c r="F122" s="9" t="s">
        <v>16</v>
      </c>
      <c r="G122" s="9" t="s">
        <v>40</v>
      </c>
      <c r="H122" s="9" t="s">
        <v>2110</v>
      </c>
      <c r="I122" s="13" t="s">
        <v>692</v>
      </c>
      <c r="J122" s="19"/>
      <c r="K122" s="14"/>
      <c r="L122" s="14"/>
      <c r="M122" s="14"/>
      <c r="N122" s="22"/>
      <c r="O122" s="12" t="str">
        <f t="shared" si="1"/>
        <v>Pendiente</v>
      </c>
    </row>
    <row r="123" spans="1:15" ht="49.95" customHeight="1">
      <c r="A123" s="17" t="s">
        <v>188</v>
      </c>
      <c r="B123" s="9" t="s">
        <v>108</v>
      </c>
      <c r="C123" s="9" t="s">
        <v>189</v>
      </c>
      <c r="D123" s="17" t="s">
        <v>811</v>
      </c>
      <c r="E123" s="9" t="s">
        <v>2111</v>
      </c>
      <c r="F123" s="9" t="s">
        <v>16</v>
      </c>
      <c r="G123" s="9" t="s">
        <v>40</v>
      </c>
      <c r="H123" s="9" t="s">
        <v>2112</v>
      </c>
      <c r="I123" s="13" t="s">
        <v>692</v>
      </c>
      <c r="J123" s="19"/>
      <c r="K123" s="14"/>
      <c r="L123" s="14"/>
      <c r="M123" s="14"/>
      <c r="N123" s="22"/>
      <c r="O123" s="12" t="str">
        <f t="shared" si="1"/>
        <v>Pendiente</v>
      </c>
    </row>
    <row r="124" spans="1:15" ht="78" customHeight="1">
      <c r="A124" s="17" t="s">
        <v>196</v>
      </c>
      <c r="B124" s="9" t="s">
        <v>108</v>
      </c>
      <c r="C124" s="9" t="s">
        <v>197</v>
      </c>
      <c r="D124" s="17" t="s">
        <v>987</v>
      </c>
      <c r="E124" s="9" t="s">
        <v>2113</v>
      </c>
      <c r="F124" s="9" t="s">
        <v>16</v>
      </c>
      <c r="G124" s="9" t="s">
        <v>40</v>
      </c>
      <c r="H124" s="9" t="s">
        <v>2114</v>
      </c>
      <c r="I124" s="13" t="s">
        <v>692</v>
      </c>
      <c r="J124" s="19"/>
      <c r="K124" s="14"/>
      <c r="L124" s="14"/>
      <c r="M124" s="14"/>
      <c r="N124" s="22"/>
      <c r="O124" s="12" t="str">
        <f t="shared" si="1"/>
        <v>Pendiente</v>
      </c>
    </row>
    <row r="125" spans="1:15" ht="49.95" customHeight="1">
      <c r="A125" s="17" t="s">
        <v>204</v>
      </c>
      <c r="B125" s="9" t="s">
        <v>108</v>
      </c>
      <c r="C125" s="9" t="s">
        <v>205</v>
      </c>
      <c r="D125" s="17" t="s">
        <v>1154</v>
      </c>
      <c r="E125" s="9" t="s">
        <v>2115</v>
      </c>
      <c r="F125" s="9" t="s">
        <v>16</v>
      </c>
      <c r="G125" s="9" t="s">
        <v>40</v>
      </c>
      <c r="H125" s="9" t="s">
        <v>2116</v>
      </c>
      <c r="I125" s="13" t="s">
        <v>692</v>
      </c>
      <c r="J125" s="19"/>
      <c r="K125" s="14"/>
      <c r="L125" s="14"/>
      <c r="M125" s="14"/>
      <c r="N125" s="22"/>
      <c r="O125" s="12" t="str">
        <f t="shared" si="1"/>
        <v>Pendiente</v>
      </c>
    </row>
    <row r="126" spans="1:15" ht="49.95" customHeight="1">
      <c r="A126" s="17" t="s">
        <v>206</v>
      </c>
      <c r="B126" s="9" t="s">
        <v>108</v>
      </c>
      <c r="C126" s="9" t="s">
        <v>207</v>
      </c>
      <c r="D126" s="17" t="s">
        <v>2117</v>
      </c>
      <c r="E126" s="9" t="s">
        <v>2118</v>
      </c>
      <c r="F126" s="9" t="s">
        <v>16</v>
      </c>
      <c r="G126" s="9" t="s">
        <v>40</v>
      </c>
      <c r="H126" s="9" t="s">
        <v>2119</v>
      </c>
      <c r="I126" s="13" t="s">
        <v>692</v>
      </c>
      <c r="J126" s="19"/>
      <c r="K126" s="14"/>
      <c r="L126" s="14"/>
      <c r="M126" s="14"/>
      <c r="N126" s="22"/>
      <c r="O126" s="12" t="str">
        <f t="shared" si="1"/>
        <v>Pendiente</v>
      </c>
    </row>
    <row r="127" spans="1:15" ht="49.95" customHeight="1">
      <c r="A127" s="17" t="s">
        <v>210</v>
      </c>
      <c r="B127" s="9" t="s">
        <v>108</v>
      </c>
      <c r="C127" s="9" t="s">
        <v>211</v>
      </c>
      <c r="D127" s="17" t="s">
        <v>2120</v>
      </c>
      <c r="E127" s="9" t="s">
        <v>2121</v>
      </c>
      <c r="F127" s="9" t="s">
        <v>16</v>
      </c>
      <c r="G127" s="9" t="s">
        <v>40</v>
      </c>
      <c r="H127" s="9" t="s">
        <v>2122</v>
      </c>
      <c r="I127" s="13" t="s">
        <v>692</v>
      </c>
      <c r="J127" s="19"/>
      <c r="K127" s="14"/>
      <c r="L127" s="14"/>
      <c r="M127" s="14"/>
      <c r="N127" s="22"/>
      <c r="O127" s="12" t="str">
        <f t="shared" si="1"/>
        <v>Pendiente</v>
      </c>
    </row>
    <row r="128" spans="1:15" ht="49.95" customHeight="1">
      <c r="A128" s="17" t="s">
        <v>212</v>
      </c>
      <c r="B128" s="9" t="s">
        <v>108</v>
      </c>
      <c r="C128" s="9" t="s">
        <v>213</v>
      </c>
      <c r="D128" s="17" t="s">
        <v>2123</v>
      </c>
      <c r="E128" s="9" t="s">
        <v>2124</v>
      </c>
      <c r="F128" s="9" t="s">
        <v>16</v>
      </c>
      <c r="G128" s="9" t="s">
        <v>40</v>
      </c>
      <c r="H128" s="9" t="s">
        <v>2125</v>
      </c>
      <c r="I128" s="13" t="s">
        <v>692</v>
      </c>
      <c r="J128" s="19"/>
      <c r="K128" s="14"/>
      <c r="L128" s="14"/>
      <c r="M128" s="14"/>
      <c r="N128" s="22"/>
      <c r="O128" s="12" t="str">
        <f t="shared" si="1"/>
        <v>Pendiente</v>
      </c>
    </row>
    <row r="129" spans="1:15" ht="109.95" customHeight="1">
      <c r="A129" s="17" t="s">
        <v>216</v>
      </c>
      <c r="B129" s="9" t="s">
        <v>108</v>
      </c>
      <c r="C129" s="9" t="s">
        <v>217</v>
      </c>
      <c r="D129" s="17" t="s">
        <v>866</v>
      </c>
      <c r="E129" s="9" t="s">
        <v>2126</v>
      </c>
      <c r="F129" s="9" t="s">
        <v>16</v>
      </c>
      <c r="G129" s="9" t="s">
        <v>40</v>
      </c>
      <c r="H129" s="9" t="s">
        <v>2127</v>
      </c>
      <c r="I129" s="13" t="s">
        <v>692</v>
      </c>
      <c r="J129" s="19"/>
      <c r="K129" s="14"/>
      <c r="L129" s="14"/>
      <c r="M129" s="14"/>
      <c r="N129" s="22"/>
      <c r="O129" s="12" t="str">
        <f t="shared" si="1"/>
        <v>Pendiente</v>
      </c>
    </row>
    <row r="130" spans="1:15" ht="49.95" customHeight="1">
      <c r="A130" s="17" t="s">
        <v>220</v>
      </c>
      <c r="B130" s="9" t="s">
        <v>108</v>
      </c>
      <c r="C130" s="9" t="s">
        <v>221</v>
      </c>
      <c r="D130" s="17" t="s">
        <v>1046</v>
      </c>
      <c r="E130" s="9" t="s">
        <v>2128</v>
      </c>
      <c r="F130" s="9" t="s">
        <v>16</v>
      </c>
      <c r="G130" s="9" t="s">
        <v>40</v>
      </c>
      <c r="H130" s="9" t="s">
        <v>2129</v>
      </c>
      <c r="I130" s="13" t="s">
        <v>692</v>
      </c>
      <c r="J130" s="19"/>
      <c r="K130" s="14"/>
      <c r="L130" s="14"/>
      <c r="M130" s="14"/>
      <c r="N130" s="22"/>
      <c r="O130" s="12" t="str">
        <f t="shared" si="1"/>
        <v>Pendiente</v>
      </c>
    </row>
    <row r="131" spans="1:15" ht="49.95" customHeight="1">
      <c r="A131" s="17" t="s">
        <v>222</v>
      </c>
      <c r="B131" s="9" t="s">
        <v>108</v>
      </c>
      <c r="C131" s="9" t="s">
        <v>223</v>
      </c>
      <c r="D131" s="17" t="s">
        <v>709</v>
      </c>
      <c r="E131" s="9" t="s">
        <v>2130</v>
      </c>
      <c r="F131" s="9" t="s">
        <v>16</v>
      </c>
      <c r="G131" s="9" t="s">
        <v>40</v>
      </c>
      <c r="H131" s="9" t="s">
        <v>2131</v>
      </c>
      <c r="I131" s="13" t="s">
        <v>692</v>
      </c>
      <c r="J131" s="19"/>
      <c r="K131" s="14"/>
      <c r="L131" s="14"/>
      <c r="M131" s="14"/>
      <c r="N131" s="22"/>
      <c r="O131" s="12" t="str">
        <f t="shared" si="1"/>
        <v>Pendiente</v>
      </c>
    </row>
    <row r="132" spans="1:15" ht="49.95" customHeight="1">
      <c r="A132" s="17" t="s">
        <v>224</v>
      </c>
      <c r="B132" s="9" t="s">
        <v>108</v>
      </c>
      <c r="C132" s="9" t="s">
        <v>225</v>
      </c>
      <c r="D132" s="17" t="s">
        <v>2132</v>
      </c>
      <c r="E132" s="9" t="s">
        <v>2133</v>
      </c>
      <c r="F132" s="9" t="s">
        <v>16</v>
      </c>
      <c r="G132" s="9" t="s">
        <v>40</v>
      </c>
      <c r="H132" s="9" t="s">
        <v>2134</v>
      </c>
      <c r="I132" s="13" t="s">
        <v>692</v>
      </c>
      <c r="J132" s="19"/>
      <c r="K132" s="14"/>
      <c r="L132" s="14"/>
      <c r="M132" s="14"/>
      <c r="N132" s="22"/>
      <c r="O132" s="12" t="str">
        <f t="shared" si="1"/>
        <v>Pendiente</v>
      </c>
    </row>
    <row r="133" spans="1:15" ht="49.95" customHeight="1">
      <c r="A133" s="17" t="s">
        <v>230</v>
      </c>
      <c r="B133" s="9" t="s">
        <v>108</v>
      </c>
      <c r="C133" s="9" t="s">
        <v>231</v>
      </c>
      <c r="D133" s="17" t="s">
        <v>2135</v>
      </c>
      <c r="E133" s="9" t="s">
        <v>2136</v>
      </c>
      <c r="F133" s="9" t="s">
        <v>16</v>
      </c>
      <c r="G133" s="9" t="s">
        <v>40</v>
      </c>
      <c r="H133" s="9" t="s">
        <v>2137</v>
      </c>
      <c r="I133" s="13" t="s">
        <v>692</v>
      </c>
      <c r="J133" s="19"/>
      <c r="K133" s="14"/>
      <c r="L133" s="14"/>
      <c r="M133" s="14"/>
      <c r="N133" s="22"/>
      <c r="O133" s="12" t="str">
        <f t="shared" si="1"/>
        <v>Pendiente</v>
      </c>
    </row>
    <row r="134" spans="1:15" ht="49.95" customHeight="1">
      <c r="A134" s="17" t="s">
        <v>232</v>
      </c>
      <c r="B134" s="9" t="s">
        <v>108</v>
      </c>
      <c r="C134" s="9" t="s">
        <v>233</v>
      </c>
      <c r="D134" s="17" t="s">
        <v>2138</v>
      </c>
      <c r="E134" s="9" t="s">
        <v>2139</v>
      </c>
      <c r="F134" s="9" t="s">
        <v>16</v>
      </c>
      <c r="G134" s="9" t="s">
        <v>40</v>
      </c>
      <c r="H134" s="9" t="s">
        <v>2140</v>
      </c>
      <c r="I134" s="13" t="s">
        <v>692</v>
      </c>
      <c r="J134" s="19"/>
      <c r="K134" s="14"/>
      <c r="L134" s="14"/>
      <c r="M134" s="14"/>
      <c r="N134" s="22"/>
      <c r="O134" s="12" t="str">
        <f t="shared" si="1"/>
        <v>Pendiente</v>
      </c>
    </row>
    <row r="135" spans="1:15" ht="49.95" customHeight="1">
      <c r="A135" s="17" t="s">
        <v>236</v>
      </c>
      <c r="B135" s="9" t="s">
        <v>108</v>
      </c>
      <c r="C135" s="9" t="s">
        <v>237</v>
      </c>
      <c r="D135" s="17" t="s">
        <v>2141</v>
      </c>
      <c r="E135" s="9" t="s">
        <v>2142</v>
      </c>
      <c r="F135" s="9" t="s">
        <v>16</v>
      </c>
      <c r="G135" s="9" t="s">
        <v>40</v>
      </c>
      <c r="H135" s="9" t="s">
        <v>2143</v>
      </c>
      <c r="I135" s="13" t="s">
        <v>692</v>
      </c>
      <c r="J135" s="19"/>
      <c r="K135" s="14"/>
      <c r="L135" s="14"/>
      <c r="M135" s="14"/>
      <c r="N135" s="22"/>
      <c r="O135" s="12" t="str">
        <f t="shared" si="1"/>
        <v>Pendiente</v>
      </c>
    </row>
    <row r="136" spans="1:15" ht="49.95" customHeight="1">
      <c r="A136" s="17" t="s">
        <v>244</v>
      </c>
      <c r="B136" s="9" t="s">
        <v>108</v>
      </c>
      <c r="C136" s="9" t="s">
        <v>245</v>
      </c>
      <c r="D136" s="17" t="s">
        <v>1290</v>
      </c>
      <c r="E136" s="9" t="s">
        <v>2144</v>
      </c>
      <c r="F136" s="9" t="s">
        <v>16</v>
      </c>
      <c r="G136" s="9" t="s">
        <v>40</v>
      </c>
      <c r="H136" s="9" t="s">
        <v>2145</v>
      </c>
      <c r="I136" s="13" t="s">
        <v>692</v>
      </c>
      <c r="J136" s="19"/>
      <c r="K136" s="14"/>
      <c r="L136" s="14"/>
      <c r="M136" s="14"/>
      <c r="N136" s="22"/>
      <c r="O136" s="12" t="str">
        <f t="shared" ref="O136:O199" si="2">IF(I136="Pendiente","Pendiente",IF(I136="Equivalente confirmado",IF(OR(J136="",K136=""),"Falta código o nombre",IF(OR(L136="",M136=""),"Falta validación",IF(OR(NOT(ISNUMBER(N136)),N136&lt;=0),"Falta fecha","Homologado"))),IF(I136="Sin equivalente en AVAIN",IF(OR(J136&lt;&gt;"",K136&lt;&gt;""),"Quitar código y nombre",IF(OR(L136="",M136=""),"Falta validación",IF(OR(NOT(ISNUMBER(N136)),N136&lt;=0),"Falta fecha","Sin equivalente confirmado"))),"Revisar decisión")))</f>
        <v>Pendiente</v>
      </c>
    </row>
    <row r="137" spans="1:15" ht="49.95" customHeight="1">
      <c r="A137" s="17" t="s">
        <v>248</v>
      </c>
      <c r="B137" s="9" t="s">
        <v>108</v>
      </c>
      <c r="C137" s="9" t="s">
        <v>249</v>
      </c>
      <c r="D137" s="17" t="s">
        <v>2146</v>
      </c>
      <c r="E137" s="9" t="s">
        <v>2147</v>
      </c>
      <c r="F137" s="9" t="s">
        <v>16</v>
      </c>
      <c r="G137" s="9" t="s">
        <v>40</v>
      </c>
      <c r="H137" s="9" t="s">
        <v>2148</v>
      </c>
      <c r="I137" s="13" t="s">
        <v>692</v>
      </c>
      <c r="J137" s="19"/>
      <c r="K137" s="14"/>
      <c r="L137" s="14"/>
      <c r="M137" s="14"/>
      <c r="N137" s="22"/>
      <c r="O137" s="12" t="str">
        <f t="shared" si="2"/>
        <v>Pendiente</v>
      </c>
    </row>
    <row r="138" spans="1:15" ht="78" customHeight="1">
      <c r="A138" s="17" t="s">
        <v>252</v>
      </c>
      <c r="B138" s="9" t="s">
        <v>108</v>
      </c>
      <c r="C138" s="9" t="s">
        <v>253</v>
      </c>
      <c r="D138" s="17" t="s">
        <v>2149</v>
      </c>
      <c r="E138" s="9" t="s">
        <v>2150</v>
      </c>
      <c r="F138" s="9" t="s">
        <v>16</v>
      </c>
      <c r="G138" s="9" t="s">
        <v>40</v>
      </c>
      <c r="H138" s="9" t="s">
        <v>2151</v>
      </c>
      <c r="I138" s="13" t="s">
        <v>692</v>
      </c>
      <c r="J138" s="19"/>
      <c r="K138" s="14"/>
      <c r="L138" s="14"/>
      <c r="M138" s="14"/>
      <c r="N138" s="22"/>
      <c r="O138" s="12" t="str">
        <f t="shared" si="2"/>
        <v>Pendiente</v>
      </c>
    </row>
    <row r="139" spans="1:15" ht="49.95" customHeight="1">
      <c r="A139" s="17" t="s">
        <v>254</v>
      </c>
      <c r="B139" s="9" t="s">
        <v>108</v>
      </c>
      <c r="C139" s="9" t="s">
        <v>255</v>
      </c>
      <c r="D139" s="17" t="s">
        <v>2152</v>
      </c>
      <c r="E139" s="9" t="s">
        <v>2153</v>
      </c>
      <c r="F139" s="9" t="s">
        <v>16</v>
      </c>
      <c r="G139" s="9" t="s">
        <v>40</v>
      </c>
      <c r="H139" s="9" t="s">
        <v>2154</v>
      </c>
      <c r="I139" s="13" t="s">
        <v>692</v>
      </c>
      <c r="J139" s="19"/>
      <c r="K139" s="14"/>
      <c r="L139" s="14"/>
      <c r="M139" s="14"/>
      <c r="N139" s="22"/>
      <c r="O139" s="12" t="str">
        <f t="shared" si="2"/>
        <v>Pendiente</v>
      </c>
    </row>
    <row r="140" spans="1:15" ht="49.95" customHeight="1">
      <c r="A140" s="17" t="s">
        <v>256</v>
      </c>
      <c r="B140" s="9" t="s">
        <v>108</v>
      </c>
      <c r="C140" s="9" t="s">
        <v>257</v>
      </c>
      <c r="D140" s="17" t="s">
        <v>2155</v>
      </c>
      <c r="E140" s="9" t="s">
        <v>2156</v>
      </c>
      <c r="F140" s="9" t="s">
        <v>16</v>
      </c>
      <c r="G140" s="9" t="s">
        <v>40</v>
      </c>
      <c r="H140" s="9" t="s">
        <v>2157</v>
      </c>
      <c r="I140" s="13" t="s">
        <v>692</v>
      </c>
      <c r="J140" s="19"/>
      <c r="K140" s="14"/>
      <c r="L140" s="14"/>
      <c r="M140" s="14"/>
      <c r="N140" s="22"/>
      <c r="O140" s="12" t="str">
        <f t="shared" si="2"/>
        <v>Pendiente</v>
      </c>
    </row>
    <row r="141" spans="1:15" ht="49.95" customHeight="1">
      <c r="A141" s="17" t="s">
        <v>258</v>
      </c>
      <c r="B141" s="9" t="s">
        <v>108</v>
      </c>
      <c r="C141" s="9" t="s">
        <v>259</v>
      </c>
      <c r="D141" s="17" t="s">
        <v>2158</v>
      </c>
      <c r="E141" s="9" t="s">
        <v>2159</v>
      </c>
      <c r="F141" s="9" t="s">
        <v>16</v>
      </c>
      <c r="G141" s="9" t="s">
        <v>40</v>
      </c>
      <c r="H141" s="9" t="s">
        <v>2160</v>
      </c>
      <c r="I141" s="13" t="s">
        <v>692</v>
      </c>
      <c r="J141" s="19"/>
      <c r="K141" s="14"/>
      <c r="L141" s="14"/>
      <c r="M141" s="14"/>
      <c r="N141" s="22"/>
      <c r="O141" s="12" t="str">
        <f t="shared" si="2"/>
        <v>Pendiente</v>
      </c>
    </row>
    <row r="142" spans="1:15" ht="49.95" customHeight="1">
      <c r="A142" s="17" t="s">
        <v>260</v>
      </c>
      <c r="B142" s="9" t="s">
        <v>108</v>
      </c>
      <c r="C142" s="9" t="s">
        <v>261</v>
      </c>
      <c r="D142" s="17" t="s">
        <v>2161</v>
      </c>
      <c r="E142" s="9" t="s">
        <v>2162</v>
      </c>
      <c r="F142" s="9" t="s">
        <v>16</v>
      </c>
      <c r="G142" s="9" t="s">
        <v>40</v>
      </c>
      <c r="H142" s="9" t="s">
        <v>2163</v>
      </c>
      <c r="I142" s="13" t="s">
        <v>692</v>
      </c>
      <c r="J142" s="19"/>
      <c r="K142" s="14"/>
      <c r="L142" s="14"/>
      <c r="M142" s="14"/>
      <c r="N142" s="22"/>
      <c r="O142" s="12" t="str">
        <f t="shared" si="2"/>
        <v>Pendiente</v>
      </c>
    </row>
    <row r="143" spans="1:15" ht="49.95" customHeight="1">
      <c r="A143" s="17" t="s">
        <v>262</v>
      </c>
      <c r="B143" s="9" t="s">
        <v>108</v>
      </c>
      <c r="C143" s="9" t="s">
        <v>263</v>
      </c>
      <c r="D143" s="17" t="s">
        <v>2164</v>
      </c>
      <c r="E143" s="9" t="s">
        <v>2165</v>
      </c>
      <c r="F143" s="9" t="s">
        <v>16</v>
      </c>
      <c r="G143" s="9" t="s">
        <v>40</v>
      </c>
      <c r="H143" s="9" t="s">
        <v>2166</v>
      </c>
      <c r="I143" s="13" t="s">
        <v>692</v>
      </c>
      <c r="J143" s="19"/>
      <c r="K143" s="14"/>
      <c r="L143" s="14"/>
      <c r="M143" s="14"/>
      <c r="N143" s="22"/>
      <c r="O143" s="12" t="str">
        <f t="shared" si="2"/>
        <v>Pendiente</v>
      </c>
    </row>
    <row r="144" spans="1:15" ht="49.95" customHeight="1">
      <c r="A144" s="17" t="s">
        <v>266</v>
      </c>
      <c r="B144" s="9" t="s">
        <v>108</v>
      </c>
      <c r="C144" s="9" t="s">
        <v>267</v>
      </c>
      <c r="D144" s="17" t="s">
        <v>2167</v>
      </c>
      <c r="E144" s="9" t="s">
        <v>2168</v>
      </c>
      <c r="F144" s="9" t="s">
        <v>16</v>
      </c>
      <c r="G144" s="9" t="s">
        <v>40</v>
      </c>
      <c r="H144" s="9" t="s">
        <v>2169</v>
      </c>
      <c r="I144" s="13" t="s">
        <v>692</v>
      </c>
      <c r="J144" s="19"/>
      <c r="K144" s="14"/>
      <c r="L144" s="14"/>
      <c r="M144" s="14"/>
      <c r="N144" s="22"/>
      <c r="O144" s="12" t="str">
        <f t="shared" si="2"/>
        <v>Pendiente</v>
      </c>
    </row>
    <row r="145" spans="1:15" ht="49.95" customHeight="1">
      <c r="A145" s="17" t="s">
        <v>270</v>
      </c>
      <c r="B145" s="9" t="s">
        <v>108</v>
      </c>
      <c r="C145" s="9" t="s">
        <v>271</v>
      </c>
      <c r="D145" s="17" t="s">
        <v>2170</v>
      </c>
      <c r="E145" s="9" t="s">
        <v>2171</v>
      </c>
      <c r="F145" s="9" t="s">
        <v>16</v>
      </c>
      <c r="G145" s="9" t="s">
        <v>40</v>
      </c>
      <c r="H145" s="9" t="s">
        <v>2172</v>
      </c>
      <c r="I145" s="13" t="s">
        <v>692</v>
      </c>
      <c r="J145" s="19"/>
      <c r="K145" s="14"/>
      <c r="L145" s="14"/>
      <c r="M145" s="14"/>
      <c r="N145" s="22"/>
      <c r="O145" s="12" t="str">
        <f t="shared" si="2"/>
        <v>Pendiente</v>
      </c>
    </row>
    <row r="146" spans="1:15" ht="49.95" customHeight="1">
      <c r="A146" s="17" t="s">
        <v>272</v>
      </c>
      <c r="B146" s="9" t="s">
        <v>108</v>
      </c>
      <c r="C146" s="9" t="s">
        <v>273</v>
      </c>
      <c r="D146" s="17" t="s">
        <v>2173</v>
      </c>
      <c r="E146" s="9" t="s">
        <v>2174</v>
      </c>
      <c r="F146" s="9" t="s">
        <v>16</v>
      </c>
      <c r="G146" s="9" t="s">
        <v>40</v>
      </c>
      <c r="H146" s="9" t="s">
        <v>2175</v>
      </c>
      <c r="I146" s="13" t="s">
        <v>692</v>
      </c>
      <c r="J146" s="19"/>
      <c r="K146" s="14"/>
      <c r="L146" s="14"/>
      <c r="M146" s="14"/>
      <c r="N146" s="22"/>
      <c r="O146" s="12" t="str">
        <f t="shared" si="2"/>
        <v>Pendiente</v>
      </c>
    </row>
    <row r="147" spans="1:15" ht="49.95" customHeight="1">
      <c r="A147" s="17" t="s">
        <v>276</v>
      </c>
      <c r="B147" s="9" t="s">
        <v>108</v>
      </c>
      <c r="C147" s="9" t="s">
        <v>277</v>
      </c>
      <c r="D147" s="17" t="s">
        <v>1392</v>
      </c>
      <c r="E147" s="9" t="s">
        <v>2176</v>
      </c>
      <c r="F147" s="9" t="s">
        <v>16</v>
      </c>
      <c r="G147" s="9" t="s">
        <v>40</v>
      </c>
      <c r="H147" s="9" t="s">
        <v>2177</v>
      </c>
      <c r="I147" s="13" t="s">
        <v>692</v>
      </c>
      <c r="J147" s="19"/>
      <c r="K147" s="14"/>
      <c r="L147" s="14"/>
      <c r="M147" s="14"/>
      <c r="N147" s="22"/>
      <c r="O147" s="12" t="str">
        <f t="shared" si="2"/>
        <v>Pendiente</v>
      </c>
    </row>
    <row r="148" spans="1:15" ht="49.95" customHeight="1">
      <c r="A148" s="17" t="s">
        <v>280</v>
      </c>
      <c r="B148" s="9" t="s">
        <v>108</v>
      </c>
      <c r="C148" s="9" t="s">
        <v>281</v>
      </c>
      <c r="D148" s="17" t="s">
        <v>2178</v>
      </c>
      <c r="E148" s="9" t="s">
        <v>2179</v>
      </c>
      <c r="F148" s="9" t="s">
        <v>16</v>
      </c>
      <c r="G148" s="9" t="s">
        <v>40</v>
      </c>
      <c r="H148" s="9" t="s">
        <v>2180</v>
      </c>
      <c r="I148" s="13" t="s">
        <v>692</v>
      </c>
      <c r="J148" s="19"/>
      <c r="K148" s="14"/>
      <c r="L148" s="14"/>
      <c r="M148" s="14"/>
      <c r="N148" s="22"/>
      <c r="O148" s="12" t="str">
        <f t="shared" si="2"/>
        <v>Pendiente</v>
      </c>
    </row>
    <row r="149" spans="1:15" ht="49.95" customHeight="1">
      <c r="A149" s="17" t="s">
        <v>284</v>
      </c>
      <c r="B149" s="9" t="s">
        <v>108</v>
      </c>
      <c r="C149" s="9" t="s">
        <v>285</v>
      </c>
      <c r="D149" s="17" t="s">
        <v>2181</v>
      </c>
      <c r="E149" s="9" t="s">
        <v>2182</v>
      </c>
      <c r="F149" s="9" t="s">
        <v>16</v>
      </c>
      <c r="G149" s="9" t="s">
        <v>40</v>
      </c>
      <c r="H149" s="9" t="s">
        <v>2183</v>
      </c>
      <c r="I149" s="13" t="s">
        <v>692</v>
      </c>
      <c r="J149" s="19"/>
      <c r="K149" s="14"/>
      <c r="L149" s="14"/>
      <c r="M149" s="14"/>
      <c r="N149" s="22"/>
      <c r="O149" s="12" t="str">
        <f t="shared" si="2"/>
        <v>Pendiente</v>
      </c>
    </row>
    <row r="150" spans="1:15" ht="49.95" customHeight="1">
      <c r="A150" s="17" t="s">
        <v>286</v>
      </c>
      <c r="B150" s="9" t="s">
        <v>108</v>
      </c>
      <c r="C150" s="9" t="s">
        <v>287</v>
      </c>
      <c r="D150" s="17" t="s">
        <v>2184</v>
      </c>
      <c r="E150" s="9" t="s">
        <v>2185</v>
      </c>
      <c r="F150" s="9" t="s">
        <v>16</v>
      </c>
      <c r="G150" s="9" t="s">
        <v>40</v>
      </c>
      <c r="H150" s="9" t="s">
        <v>2186</v>
      </c>
      <c r="I150" s="13" t="s">
        <v>692</v>
      </c>
      <c r="J150" s="19"/>
      <c r="K150" s="14"/>
      <c r="L150" s="14"/>
      <c r="M150" s="14"/>
      <c r="N150" s="22"/>
      <c r="O150" s="12" t="str">
        <f t="shared" si="2"/>
        <v>Pendiente</v>
      </c>
    </row>
    <row r="151" spans="1:15" ht="49.95" customHeight="1">
      <c r="A151" s="17" t="s">
        <v>290</v>
      </c>
      <c r="B151" s="9" t="s">
        <v>108</v>
      </c>
      <c r="C151" s="9" t="s">
        <v>291</v>
      </c>
      <c r="D151" s="17" t="s">
        <v>2187</v>
      </c>
      <c r="E151" s="9" t="s">
        <v>2188</v>
      </c>
      <c r="F151" s="9" t="s">
        <v>16</v>
      </c>
      <c r="G151" s="9" t="s">
        <v>40</v>
      </c>
      <c r="H151" s="9" t="s">
        <v>2189</v>
      </c>
      <c r="I151" s="13" t="s">
        <v>692</v>
      </c>
      <c r="J151" s="19"/>
      <c r="K151" s="14"/>
      <c r="L151" s="14"/>
      <c r="M151" s="14"/>
      <c r="N151" s="22"/>
      <c r="O151" s="12" t="str">
        <f t="shared" si="2"/>
        <v>Pendiente</v>
      </c>
    </row>
    <row r="152" spans="1:15" ht="49.95" customHeight="1">
      <c r="A152" s="17" t="s">
        <v>302</v>
      </c>
      <c r="B152" s="9" t="s">
        <v>108</v>
      </c>
      <c r="C152" s="9" t="s">
        <v>303</v>
      </c>
      <c r="D152" s="17" t="s">
        <v>2190</v>
      </c>
      <c r="E152" s="9" t="s">
        <v>2191</v>
      </c>
      <c r="F152" s="9" t="s">
        <v>16</v>
      </c>
      <c r="G152" s="9" t="s">
        <v>40</v>
      </c>
      <c r="H152" s="9" t="s">
        <v>2192</v>
      </c>
      <c r="I152" s="13" t="s">
        <v>692</v>
      </c>
      <c r="J152" s="19"/>
      <c r="K152" s="14"/>
      <c r="L152" s="14"/>
      <c r="M152" s="14"/>
      <c r="N152" s="22"/>
      <c r="O152" s="12" t="str">
        <f t="shared" si="2"/>
        <v>Pendiente</v>
      </c>
    </row>
    <row r="153" spans="1:15" ht="49.95" customHeight="1">
      <c r="A153" s="17" t="s">
        <v>304</v>
      </c>
      <c r="B153" s="9" t="s">
        <v>108</v>
      </c>
      <c r="C153" s="9" t="s">
        <v>305</v>
      </c>
      <c r="D153" s="17" t="s">
        <v>2193</v>
      </c>
      <c r="E153" s="9" t="s">
        <v>2194</v>
      </c>
      <c r="F153" s="9" t="s">
        <v>16</v>
      </c>
      <c r="G153" s="9" t="s">
        <v>40</v>
      </c>
      <c r="H153" s="9" t="s">
        <v>2195</v>
      </c>
      <c r="I153" s="13" t="s">
        <v>692</v>
      </c>
      <c r="J153" s="19"/>
      <c r="K153" s="14"/>
      <c r="L153" s="14"/>
      <c r="M153" s="14"/>
      <c r="N153" s="22"/>
      <c r="O153" s="12" t="str">
        <f t="shared" si="2"/>
        <v>Pendiente</v>
      </c>
    </row>
    <row r="154" spans="1:15" ht="49.95" customHeight="1">
      <c r="A154" s="17" t="s">
        <v>306</v>
      </c>
      <c r="B154" s="9" t="s">
        <v>108</v>
      </c>
      <c r="C154" s="9" t="s">
        <v>307</v>
      </c>
      <c r="D154" s="17" t="s">
        <v>2196</v>
      </c>
      <c r="E154" s="9" t="s">
        <v>2197</v>
      </c>
      <c r="F154" s="9" t="s">
        <v>16</v>
      </c>
      <c r="G154" s="9" t="s">
        <v>40</v>
      </c>
      <c r="H154" s="9" t="s">
        <v>2198</v>
      </c>
      <c r="I154" s="13" t="s">
        <v>692</v>
      </c>
      <c r="J154" s="19"/>
      <c r="K154" s="14"/>
      <c r="L154" s="14"/>
      <c r="M154" s="14"/>
      <c r="N154" s="22"/>
      <c r="O154" s="12" t="str">
        <f t="shared" si="2"/>
        <v>Pendiente</v>
      </c>
    </row>
    <row r="155" spans="1:15" ht="49.95" customHeight="1">
      <c r="A155" s="17" t="s">
        <v>308</v>
      </c>
      <c r="B155" s="9" t="s">
        <v>108</v>
      </c>
      <c r="C155" s="9" t="s">
        <v>309</v>
      </c>
      <c r="D155" s="17" t="s">
        <v>2199</v>
      </c>
      <c r="E155" s="9" t="s">
        <v>2200</v>
      </c>
      <c r="F155" s="9" t="s">
        <v>16</v>
      </c>
      <c r="G155" s="9" t="s">
        <v>40</v>
      </c>
      <c r="H155" s="9" t="s">
        <v>2201</v>
      </c>
      <c r="I155" s="13" t="s">
        <v>692</v>
      </c>
      <c r="J155" s="19"/>
      <c r="K155" s="14"/>
      <c r="L155" s="14"/>
      <c r="M155" s="14"/>
      <c r="N155" s="22"/>
      <c r="O155" s="12" t="str">
        <f t="shared" si="2"/>
        <v>Pendiente</v>
      </c>
    </row>
    <row r="156" spans="1:15" ht="49.95" customHeight="1">
      <c r="A156" s="17" t="s">
        <v>314</v>
      </c>
      <c r="B156" s="9" t="s">
        <v>108</v>
      </c>
      <c r="C156" s="9" t="s">
        <v>315</v>
      </c>
      <c r="D156" s="17" t="s">
        <v>1985</v>
      </c>
      <c r="E156" s="9" t="s">
        <v>1986</v>
      </c>
      <c r="F156" s="9" t="s">
        <v>16</v>
      </c>
      <c r="G156" s="9" t="s">
        <v>40</v>
      </c>
      <c r="H156" s="9" t="s">
        <v>2202</v>
      </c>
      <c r="I156" s="13" t="s">
        <v>692</v>
      </c>
      <c r="J156" s="19"/>
      <c r="K156" s="14"/>
      <c r="L156" s="14"/>
      <c r="M156" s="14"/>
      <c r="N156" s="22"/>
      <c r="O156" s="12" t="str">
        <f t="shared" si="2"/>
        <v>Pendiente</v>
      </c>
    </row>
    <row r="157" spans="1:15" ht="61.95" customHeight="1">
      <c r="A157" s="17" t="s">
        <v>316</v>
      </c>
      <c r="B157" s="9" t="s">
        <v>108</v>
      </c>
      <c r="C157" s="9" t="s">
        <v>317</v>
      </c>
      <c r="D157" s="17" t="s">
        <v>990</v>
      </c>
      <c r="E157" s="9" t="s">
        <v>2203</v>
      </c>
      <c r="F157" s="9" t="s">
        <v>16</v>
      </c>
      <c r="G157" s="9" t="s">
        <v>40</v>
      </c>
      <c r="H157" s="9" t="s">
        <v>2204</v>
      </c>
      <c r="I157" s="13" t="s">
        <v>692</v>
      </c>
      <c r="J157" s="19"/>
      <c r="K157" s="14"/>
      <c r="L157" s="14"/>
      <c r="M157" s="14"/>
      <c r="N157" s="22"/>
      <c r="O157" s="12" t="str">
        <f t="shared" si="2"/>
        <v>Pendiente</v>
      </c>
    </row>
    <row r="158" spans="1:15" ht="49.95" customHeight="1">
      <c r="A158" s="17" t="s">
        <v>318</v>
      </c>
      <c r="B158" s="9" t="s">
        <v>108</v>
      </c>
      <c r="C158" s="9" t="s">
        <v>319</v>
      </c>
      <c r="D158" s="17" t="s">
        <v>2205</v>
      </c>
      <c r="E158" s="9" t="s">
        <v>2206</v>
      </c>
      <c r="F158" s="9" t="s">
        <v>16</v>
      </c>
      <c r="G158" s="9" t="s">
        <v>40</v>
      </c>
      <c r="H158" s="9" t="s">
        <v>2207</v>
      </c>
      <c r="I158" s="13" t="s">
        <v>692</v>
      </c>
      <c r="J158" s="19"/>
      <c r="K158" s="14"/>
      <c r="L158" s="14"/>
      <c r="M158" s="14"/>
      <c r="N158" s="22"/>
      <c r="O158" s="12" t="str">
        <f t="shared" si="2"/>
        <v>Pendiente</v>
      </c>
    </row>
    <row r="159" spans="1:15" ht="49.95" customHeight="1">
      <c r="A159" s="17" t="s">
        <v>322</v>
      </c>
      <c r="B159" s="9" t="s">
        <v>108</v>
      </c>
      <c r="C159" s="9" t="s">
        <v>323</v>
      </c>
      <c r="D159" s="17" t="s">
        <v>791</v>
      </c>
      <c r="E159" s="9" t="s">
        <v>1854</v>
      </c>
      <c r="F159" s="9" t="s">
        <v>16</v>
      </c>
      <c r="G159" s="9" t="s">
        <v>40</v>
      </c>
      <c r="H159" s="9" t="s">
        <v>2208</v>
      </c>
      <c r="I159" s="13" t="s">
        <v>692</v>
      </c>
      <c r="J159" s="19"/>
      <c r="K159" s="14"/>
      <c r="L159" s="14"/>
      <c r="M159" s="14"/>
      <c r="N159" s="22"/>
      <c r="O159" s="12" t="str">
        <f t="shared" si="2"/>
        <v>Pendiente</v>
      </c>
    </row>
    <row r="160" spans="1:15" ht="49.95" customHeight="1">
      <c r="A160" s="17" t="s">
        <v>328</v>
      </c>
      <c r="B160" s="9" t="s">
        <v>108</v>
      </c>
      <c r="C160" s="9" t="s">
        <v>329</v>
      </c>
      <c r="D160" s="17" t="s">
        <v>2209</v>
      </c>
      <c r="E160" s="9" t="s">
        <v>2210</v>
      </c>
      <c r="F160" s="9" t="s">
        <v>16</v>
      </c>
      <c r="G160" s="9" t="s">
        <v>40</v>
      </c>
      <c r="H160" s="9" t="s">
        <v>2211</v>
      </c>
      <c r="I160" s="13" t="s">
        <v>692</v>
      </c>
      <c r="J160" s="19"/>
      <c r="K160" s="14"/>
      <c r="L160" s="14"/>
      <c r="M160" s="14"/>
      <c r="N160" s="22"/>
      <c r="O160" s="12" t="str">
        <f t="shared" si="2"/>
        <v>Pendiente</v>
      </c>
    </row>
    <row r="161" spans="1:15" ht="49.95" customHeight="1">
      <c r="A161" s="17" t="s">
        <v>332</v>
      </c>
      <c r="B161" s="9" t="s">
        <v>108</v>
      </c>
      <c r="C161" s="9" t="s">
        <v>333</v>
      </c>
      <c r="D161" s="17" t="s">
        <v>2212</v>
      </c>
      <c r="E161" s="9" t="s">
        <v>2213</v>
      </c>
      <c r="F161" s="9" t="s">
        <v>16</v>
      </c>
      <c r="G161" s="9" t="s">
        <v>40</v>
      </c>
      <c r="H161" s="9" t="s">
        <v>2214</v>
      </c>
      <c r="I161" s="13" t="s">
        <v>692</v>
      </c>
      <c r="J161" s="19"/>
      <c r="K161" s="14"/>
      <c r="L161" s="14"/>
      <c r="M161" s="14"/>
      <c r="N161" s="22"/>
      <c r="O161" s="12" t="str">
        <f t="shared" si="2"/>
        <v>Pendiente</v>
      </c>
    </row>
    <row r="162" spans="1:15" ht="49.95" customHeight="1">
      <c r="A162" s="17" t="s">
        <v>336</v>
      </c>
      <c r="B162" s="9" t="s">
        <v>108</v>
      </c>
      <c r="C162" s="9" t="s">
        <v>337</v>
      </c>
      <c r="D162" s="17" t="s">
        <v>1184</v>
      </c>
      <c r="E162" s="9" t="s">
        <v>2215</v>
      </c>
      <c r="F162" s="9" t="s">
        <v>16</v>
      </c>
      <c r="G162" s="9" t="s">
        <v>40</v>
      </c>
      <c r="H162" s="9" t="s">
        <v>2216</v>
      </c>
      <c r="I162" s="13" t="s">
        <v>692</v>
      </c>
      <c r="J162" s="19"/>
      <c r="K162" s="14"/>
      <c r="L162" s="14"/>
      <c r="M162" s="14"/>
      <c r="N162" s="22"/>
      <c r="O162" s="12" t="str">
        <f t="shared" si="2"/>
        <v>Pendiente</v>
      </c>
    </row>
    <row r="163" spans="1:15" ht="49.95" customHeight="1">
      <c r="A163" s="17" t="s">
        <v>346</v>
      </c>
      <c r="B163" s="9" t="s">
        <v>108</v>
      </c>
      <c r="C163" s="9" t="s">
        <v>347</v>
      </c>
      <c r="D163" s="17" t="s">
        <v>2217</v>
      </c>
      <c r="E163" s="9" t="s">
        <v>1788</v>
      </c>
      <c r="F163" s="9" t="s">
        <v>16</v>
      </c>
      <c r="G163" s="9" t="s">
        <v>40</v>
      </c>
      <c r="H163" s="9" t="s">
        <v>2218</v>
      </c>
      <c r="I163" s="13" t="s">
        <v>692</v>
      </c>
      <c r="J163" s="19"/>
      <c r="K163" s="14"/>
      <c r="L163" s="14"/>
      <c r="M163" s="14"/>
      <c r="N163" s="22"/>
      <c r="O163" s="12" t="str">
        <f t="shared" si="2"/>
        <v>Pendiente</v>
      </c>
    </row>
    <row r="164" spans="1:15" ht="49.95" customHeight="1">
      <c r="A164" s="17" t="s">
        <v>352</v>
      </c>
      <c r="B164" s="9" t="s">
        <v>108</v>
      </c>
      <c r="C164" s="9" t="s">
        <v>353</v>
      </c>
      <c r="D164" s="17" t="s">
        <v>2219</v>
      </c>
      <c r="E164" s="9" t="s">
        <v>2220</v>
      </c>
      <c r="F164" s="9" t="s">
        <v>16</v>
      </c>
      <c r="G164" s="9" t="s">
        <v>40</v>
      </c>
      <c r="H164" s="9" t="s">
        <v>2221</v>
      </c>
      <c r="I164" s="13" t="s">
        <v>692</v>
      </c>
      <c r="J164" s="19"/>
      <c r="K164" s="14"/>
      <c r="L164" s="14"/>
      <c r="M164" s="14"/>
      <c r="N164" s="22"/>
      <c r="O164" s="12" t="str">
        <f t="shared" si="2"/>
        <v>Pendiente</v>
      </c>
    </row>
    <row r="165" spans="1:15" ht="49.95" customHeight="1">
      <c r="A165" s="17" t="s">
        <v>354</v>
      </c>
      <c r="B165" s="9" t="s">
        <v>108</v>
      </c>
      <c r="C165" s="9" t="s">
        <v>355</v>
      </c>
      <c r="D165" s="17" t="s">
        <v>2222</v>
      </c>
      <c r="E165" s="9" t="s">
        <v>2223</v>
      </c>
      <c r="F165" s="9" t="s">
        <v>16</v>
      </c>
      <c r="G165" s="9" t="s">
        <v>40</v>
      </c>
      <c r="H165" s="9" t="s">
        <v>2224</v>
      </c>
      <c r="I165" s="13" t="s">
        <v>692</v>
      </c>
      <c r="J165" s="19"/>
      <c r="K165" s="14"/>
      <c r="L165" s="14"/>
      <c r="M165" s="14"/>
      <c r="N165" s="22"/>
      <c r="O165" s="12" t="str">
        <f t="shared" si="2"/>
        <v>Pendiente</v>
      </c>
    </row>
    <row r="166" spans="1:15" ht="49.95" customHeight="1">
      <c r="A166" s="17" t="s">
        <v>356</v>
      </c>
      <c r="B166" s="9" t="s">
        <v>357</v>
      </c>
      <c r="C166" s="9" t="s">
        <v>358</v>
      </c>
      <c r="D166" s="17" t="s">
        <v>706</v>
      </c>
      <c r="E166" s="9" t="s">
        <v>2225</v>
      </c>
      <c r="F166" s="9" t="s">
        <v>16</v>
      </c>
      <c r="G166" s="9" t="s">
        <v>40</v>
      </c>
      <c r="H166" s="9" t="s">
        <v>2226</v>
      </c>
      <c r="I166" s="13" t="s">
        <v>692</v>
      </c>
      <c r="J166" s="19"/>
      <c r="K166" s="14"/>
      <c r="L166" s="14"/>
      <c r="M166" s="14"/>
      <c r="N166" s="22"/>
      <c r="O166" s="12" t="str">
        <f t="shared" si="2"/>
        <v>Pendiente</v>
      </c>
    </row>
    <row r="167" spans="1:15" ht="49.95" customHeight="1">
      <c r="A167" s="17" t="s">
        <v>359</v>
      </c>
      <c r="B167" s="9" t="s">
        <v>357</v>
      </c>
      <c r="C167" s="9" t="s">
        <v>360</v>
      </c>
      <c r="D167" s="17" t="s">
        <v>1019</v>
      </c>
      <c r="E167" s="9" t="s">
        <v>2227</v>
      </c>
      <c r="F167" s="9" t="s">
        <v>16</v>
      </c>
      <c r="G167" s="9" t="s">
        <v>40</v>
      </c>
      <c r="H167" s="9" t="s">
        <v>2228</v>
      </c>
      <c r="I167" s="13" t="s">
        <v>692</v>
      </c>
      <c r="J167" s="19"/>
      <c r="K167" s="14"/>
      <c r="L167" s="14"/>
      <c r="M167" s="14"/>
      <c r="N167" s="22"/>
      <c r="O167" s="12" t="str">
        <f t="shared" si="2"/>
        <v>Pendiente</v>
      </c>
    </row>
    <row r="168" spans="1:15" ht="49.95" customHeight="1">
      <c r="A168" s="17" t="s">
        <v>361</v>
      </c>
      <c r="B168" s="9" t="s">
        <v>357</v>
      </c>
      <c r="C168" s="9" t="s">
        <v>362</v>
      </c>
      <c r="D168" s="17" t="s">
        <v>2229</v>
      </c>
      <c r="E168" s="9" t="s">
        <v>2230</v>
      </c>
      <c r="F168" s="9" t="s">
        <v>16</v>
      </c>
      <c r="G168" s="9" t="s">
        <v>40</v>
      </c>
      <c r="H168" s="9" t="s">
        <v>2231</v>
      </c>
      <c r="I168" s="13" t="s">
        <v>692</v>
      </c>
      <c r="J168" s="19"/>
      <c r="K168" s="14"/>
      <c r="L168" s="14"/>
      <c r="M168" s="14"/>
      <c r="N168" s="22"/>
      <c r="O168" s="12" t="str">
        <f t="shared" si="2"/>
        <v>Pendiente</v>
      </c>
    </row>
    <row r="169" spans="1:15" ht="49.95" customHeight="1">
      <c r="A169" s="17" t="s">
        <v>363</v>
      </c>
      <c r="B169" s="9" t="s">
        <v>357</v>
      </c>
      <c r="C169" s="9" t="s">
        <v>364</v>
      </c>
      <c r="D169" s="17" t="s">
        <v>2232</v>
      </c>
      <c r="E169" s="9" t="s">
        <v>2233</v>
      </c>
      <c r="F169" s="9" t="s">
        <v>16</v>
      </c>
      <c r="G169" s="9" t="s">
        <v>40</v>
      </c>
      <c r="H169" s="9" t="s">
        <v>2234</v>
      </c>
      <c r="I169" s="13" t="s">
        <v>692</v>
      </c>
      <c r="J169" s="19"/>
      <c r="K169" s="14"/>
      <c r="L169" s="14"/>
      <c r="M169" s="14"/>
      <c r="N169" s="22"/>
      <c r="O169" s="12" t="str">
        <f t="shared" si="2"/>
        <v>Pendiente</v>
      </c>
    </row>
    <row r="170" spans="1:15" ht="49.95" customHeight="1">
      <c r="A170" s="17" t="s">
        <v>365</v>
      </c>
      <c r="B170" s="9" t="s">
        <v>357</v>
      </c>
      <c r="C170" s="9" t="s">
        <v>366</v>
      </c>
      <c r="D170" s="17" t="s">
        <v>1121</v>
      </c>
      <c r="E170" s="9" t="s">
        <v>2235</v>
      </c>
      <c r="F170" s="9" t="s">
        <v>16</v>
      </c>
      <c r="G170" s="9" t="s">
        <v>40</v>
      </c>
      <c r="H170" s="9" t="s">
        <v>2236</v>
      </c>
      <c r="I170" s="13" t="s">
        <v>692</v>
      </c>
      <c r="J170" s="19"/>
      <c r="K170" s="14"/>
      <c r="L170" s="14"/>
      <c r="M170" s="14"/>
      <c r="N170" s="22"/>
      <c r="O170" s="12" t="str">
        <f t="shared" si="2"/>
        <v>Pendiente</v>
      </c>
    </row>
    <row r="171" spans="1:15" ht="49.95" customHeight="1">
      <c r="A171" s="17" t="s">
        <v>367</v>
      </c>
      <c r="B171" s="9" t="s">
        <v>357</v>
      </c>
      <c r="C171" s="9" t="s">
        <v>368</v>
      </c>
      <c r="D171" s="17" t="s">
        <v>2237</v>
      </c>
      <c r="E171" s="9" t="s">
        <v>2238</v>
      </c>
      <c r="F171" s="9" t="s">
        <v>16</v>
      </c>
      <c r="G171" s="9" t="s">
        <v>40</v>
      </c>
      <c r="H171" s="9" t="s">
        <v>2239</v>
      </c>
      <c r="I171" s="13" t="s">
        <v>692</v>
      </c>
      <c r="J171" s="19"/>
      <c r="K171" s="14"/>
      <c r="L171" s="14"/>
      <c r="M171" s="14"/>
      <c r="N171" s="22"/>
      <c r="O171" s="12" t="str">
        <f t="shared" si="2"/>
        <v>Pendiente</v>
      </c>
    </row>
    <row r="172" spans="1:15" ht="49.95" customHeight="1">
      <c r="A172" s="17" t="s">
        <v>369</v>
      </c>
      <c r="B172" s="9" t="s">
        <v>357</v>
      </c>
      <c r="C172" s="9" t="s">
        <v>370</v>
      </c>
      <c r="D172" s="17" t="s">
        <v>2240</v>
      </c>
      <c r="E172" s="9" t="s">
        <v>1440</v>
      </c>
      <c r="F172" s="9" t="s">
        <v>16</v>
      </c>
      <c r="G172" s="9" t="s">
        <v>40</v>
      </c>
      <c r="H172" s="9" t="s">
        <v>2241</v>
      </c>
      <c r="I172" s="13" t="s">
        <v>692</v>
      </c>
      <c r="J172" s="19"/>
      <c r="K172" s="14"/>
      <c r="L172" s="14"/>
      <c r="M172" s="14"/>
      <c r="N172" s="22"/>
      <c r="O172" s="12" t="str">
        <f t="shared" si="2"/>
        <v>Pendiente</v>
      </c>
    </row>
    <row r="173" spans="1:15" ht="49.95" customHeight="1">
      <c r="A173" s="17" t="s">
        <v>371</v>
      </c>
      <c r="B173" s="9" t="s">
        <v>357</v>
      </c>
      <c r="C173" s="9" t="s">
        <v>372</v>
      </c>
      <c r="D173" s="17" t="s">
        <v>2242</v>
      </c>
      <c r="E173" s="9" t="s">
        <v>2243</v>
      </c>
      <c r="F173" s="9" t="s">
        <v>16</v>
      </c>
      <c r="G173" s="9" t="s">
        <v>40</v>
      </c>
      <c r="H173" s="9" t="s">
        <v>2244</v>
      </c>
      <c r="I173" s="13" t="s">
        <v>692</v>
      </c>
      <c r="J173" s="19"/>
      <c r="K173" s="14"/>
      <c r="L173" s="14"/>
      <c r="M173" s="14"/>
      <c r="N173" s="22"/>
      <c r="O173" s="12" t="str">
        <f t="shared" si="2"/>
        <v>Pendiente</v>
      </c>
    </row>
    <row r="174" spans="1:15" ht="49.95" customHeight="1">
      <c r="A174" s="17" t="s">
        <v>375</v>
      </c>
      <c r="B174" s="9" t="s">
        <v>357</v>
      </c>
      <c r="C174" s="9" t="s">
        <v>376</v>
      </c>
      <c r="D174" s="17" t="s">
        <v>1260</v>
      </c>
      <c r="E174" s="9" t="s">
        <v>1797</v>
      </c>
      <c r="F174" s="9" t="s">
        <v>16</v>
      </c>
      <c r="G174" s="9" t="s">
        <v>40</v>
      </c>
      <c r="H174" s="9" t="s">
        <v>2245</v>
      </c>
      <c r="I174" s="13" t="s">
        <v>692</v>
      </c>
      <c r="J174" s="19"/>
      <c r="K174" s="14"/>
      <c r="L174" s="14"/>
      <c r="M174" s="14"/>
      <c r="N174" s="22"/>
      <c r="O174" s="12" t="str">
        <f t="shared" si="2"/>
        <v>Pendiente</v>
      </c>
    </row>
    <row r="175" spans="1:15" ht="49.95" customHeight="1">
      <c r="A175" s="17" t="s">
        <v>377</v>
      </c>
      <c r="B175" s="9" t="s">
        <v>357</v>
      </c>
      <c r="C175" s="9" t="s">
        <v>378</v>
      </c>
      <c r="D175" s="17" t="s">
        <v>2246</v>
      </c>
      <c r="E175" s="9" t="s">
        <v>1800</v>
      </c>
      <c r="F175" s="9" t="s">
        <v>16</v>
      </c>
      <c r="G175" s="9" t="s">
        <v>40</v>
      </c>
      <c r="H175" s="9" t="s">
        <v>2247</v>
      </c>
      <c r="I175" s="13" t="s">
        <v>692</v>
      </c>
      <c r="J175" s="19"/>
      <c r="K175" s="14"/>
      <c r="L175" s="14"/>
      <c r="M175" s="14"/>
      <c r="N175" s="22"/>
      <c r="O175" s="12" t="str">
        <f t="shared" si="2"/>
        <v>Pendiente</v>
      </c>
    </row>
    <row r="176" spans="1:15" ht="49.95" customHeight="1">
      <c r="A176" s="17" t="s">
        <v>379</v>
      </c>
      <c r="B176" s="9" t="s">
        <v>357</v>
      </c>
      <c r="C176" s="9" t="s">
        <v>380</v>
      </c>
      <c r="D176" s="17" t="s">
        <v>2248</v>
      </c>
      <c r="E176" s="9" t="s">
        <v>1802</v>
      </c>
      <c r="F176" s="9" t="s">
        <v>16</v>
      </c>
      <c r="G176" s="9" t="s">
        <v>40</v>
      </c>
      <c r="H176" s="9" t="s">
        <v>2249</v>
      </c>
      <c r="I176" s="13" t="s">
        <v>692</v>
      </c>
      <c r="J176" s="19"/>
      <c r="K176" s="14"/>
      <c r="L176" s="14"/>
      <c r="M176" s="14"/>
      <c r="N176" s="22"/>
      <c r="O176" s="12" t="str">
        <f t="shared" si="2"/>
        <v>Pendiente</v>
      </c>
    </row>
    <row r="177" spans="1:15" ht="49.95" customHeight="1">
      <c r="A177" s="17" t="s">
        <v>381</v>
      </c>
      <c r="B177" s="9" t="s">
        <v>357</v>
      </c>
      <c r="C177" s="9" t="s">
        <v>382</v>
      </c>
      <c r="D177" s="17" t="s">
        <v>2250</v>
      </c>
      <c r="E177" s="9" t="s">
        <v>1804</v>
      </c>
      <c r="F177" s="9" t="s">
        <v>16</v>
      </c>
      <c r="G177" s="9" t="s">
        <v>40</v>
      </c>
      <c r="H177" s="9" t="s">
        <v>2251</v>
      </c>
      <c r="I177" s="13" t="s">
        <v>692</v>
      </c>
      <c r="J177" s="19"/>
      <c r="K177" s="14"/>
      <c r="L177" s="14"/>
      <c r="M177" s="14"/>
      <c r="N177" s="22"/>
      <c r="O177" s="12" t="str">
        <f t="shared" si="2"/>
        <v>Pendiente</v>
      </c>
    </row>
    <row r="178" spans="1:15" ht="49.95" customHeight="1">
      <c r="A178" s="17" t="s">
        <v>383</v>
      </c>
      <c r="B178" s="9" t="s">
        <v>357</v>
      </c>
      <c r="C178" s="9" t="s">
        <v>384</v>
      </c>
      <c r="D178" s="17" t="s">
        <v>2252</v>
      </c>
      <c r="E178" s="9" t="s">
        <v>1807</v>
      </c>
      <c r="F178" s="9" t="s">
        <v>16</v>
      </c>
      <c r="G178" s="9" t="s">
        <v>40</v>
      </c>
      <c r="H178" s="9" t="s">
        <v>2253</v>
      </c>
      <c r="I178" s="13" t="s">
        <v>692</v>
      </c>
      <c r="J178" s="19"/>
      <c r="K178" s="14"/>
      <c r="L178" s="14"/>
      <c r="M178" s="14"/>
      <c r="N178" s="22"/>
      <c r="O178" s="12" t="str">
        <f t="shared" si="2"/>
        <v>Pendiente</v>
      </c>
    </row>
    <row r="179" spans="1:15" ht="49.95" customHeight="1">
      <c r="A179" s="17" t="s">
        <v>385</v>
      </c>
      <c r="B179" s="9" t="s">
        <v>357</v>
      </c>
      <c r="C179" s="9" t="s">
        <v>386</v>
      </c>
      <c r="D179" s="17" t="s">
        <v>2254</v>
      </c>
      <c r="E179" s="9" t="s">
        <v>1809</v>
      </c>
      <c r="F179" s="9" t="s">
        <v>16</v>
      </c>
      <c r="G179" s="9" t="s">
        <v>40</v>
      </c>
      <c r="H179" s="9" t="s">
        <v>2255</v>
      </c>
      <c r="I179" s="13" t="s">
        <v>692</v>
      </c>
      <c r="J179" s="19"/>
      <c r="K179" s="14"/>
      <c r="L179" s="14"/>
      <c r="M179" s="14"/>
      <c r="N179" s="22"/>
      <c r="O179" s="12" t="str">
        <f t="shared" si="2"/>
        <v>Pendiente</v>
      </c>
    </row>
    <row r="180" spans="1:15" ht="49.95" customHeight="1">
      <c r="A180" s="17" t="s">
        <v>387</v>
      </c>
      <c r="B180" s="9" t="s">
        <v>357</v>
      </c>
      <c r="C180" s="9" t="s">
        <v>388</v>
      </c>
      <c r="D180" s="17" t="s">
        <v>2256</v>
      </c>
      <c r="E180" s="9" t="s">
        <v>1811</v>
      </c>
      <c r="F180" s="9" t="s">
        <v>16</v>
      </c>
      <c r="G180" s="9" t="s">
        <v>40</v>
      </c>
      <c r="H180" s="9" t="s">
        <v>2257</v>
      </c>
      <c r="I180" s="13" t="s">
        <v>692</v>
      </c>
      <c r="J180" s="19"/>
      <c r="K180" s="14"/>
      <c r="L180" s="14"/>
      <c r="M180" s="14"/>
      <c r="N180" s="22"/>
      <c r="O180" s="12" t="str">
        <f t="shared" si="2"/>
        <v>Pendiente</v>
      </c>
    </row>
    <row r="181" spans="1:15" ht="49.95" customHeight="1">
      <c r="A181" s="17" t="s">
        <v>397</v>
      </c>
      <c r="B181" s="9" t="s">
        <v>357</v>
      </c>
      <c r="C181" s="9" t="s">
        <v>398</v>
      </c>
      <c r="D181" s="17" t="s">
        <v>2258</v>
      </c>
      <c r="E181" s="9" t="s">
        <v>2259</v>
      </c>
      <c r="F181" s="9" t="s">
        <v>16</v>
      </c>
      <c r="G181" s="9" t="s">
        <v>40</v>
      </c>
      <c r="H181" s="9" t="s">
        <v>2260</v>
      </c>
      <c r="I181" s="13" t="s">
        <v>692</v>
      </c>
      <c r="J181" s="19"/>
      <c r="K181" s="14"/>
      <c r="L181" s="14"/>
      <c r="M181" s="14"/>
      <c r="N181" s="22"/>
      <c r="O181" s="12" t="str">
        <f t="shared" si="2"/>
        <v>Pendiente</v>
      </c>
    </row>
    <row r="182" spans="1:15" ht="49.95" customHeight="1">
      <c r="A182" s="17" t="s">
        <v>399</v>
      </c>
      <c r="B182" s="9" t="s">
        <v>357</v>
      </c>
      <c r="C182" s="9" t="s">
        <v>400</v>
      </c>
      <c r="D182" s="17" t="s">
        <v>2261</v>
      </c>
      <c r="E182" s="9" t="s">
        <v>400</v>
      </c>
      <c r="F182" s="9" t="s">
        <v>16</v>
      </c>
      <c r="G182" s="9" t="s">
        <v>40</v>
      </c>
      <c r="H182" s="9" t="s">
        <v>2262</v>
      </c>
      <c r="I182" s="13" t="s">
        <v>692</v>
      </c>
      <c r="J182" s="19"/>
      <c r="K182" s="14"/>
      <c r="L182" s="14"/>
      <c r="M182" s="14"/>
      <c r="N182" s="22"/>
      <c r="O182" s="12" t="str">
        <f t="shared" si="2"/>
        <v>Pendiente</v>
      </c>
    </row>
    <row r="183" spans="1:15" ht="49.95" customHeight="1">
      <c r="A183" s="17" t="s">
        <v>401</v>
      </c>
      <c r="B183" s="9" t="s">
        <v>357</v>
      </c>
      <c r="C183" s="9" t="s">
        <v>402</v>
      </c>
      <c r="D183" s="17" t="s">
        <v>2263</v>
      </c>
      <c r="E183" s="9" t="s">
        <v>2264</v>
      </c>
      <c r="F183" s="9" t="s">
        <v>16</v>
      </c>
      <c r="G183" s="9" t="s">
        <v>40</v>
      </c>
      <c r="H183" s="9" t="s">
        <v>2265</v>
      </c>
      <c r="I183" s="13" t="s">
        <v>692</v>
      </c>
      <c r="J183" s="19"/>
      <c r="K183" s="14"/>
      <c r="L183" s="14"/>
      <c r="M183" s="14"/>
      <c r="N183" s="22"/>
      <c r="O183" s="12" t="str">
        <f t="shared" si="2"/>
        <v>Pendiente</v>
      </c>
    </row>
    <row r="184" spans="1:15" ht="49.95" customHeight="1">
      <c r="A184" s="17" t="s">
        <v>405</v>
      </c>
      <c r="B184" s="9" t="s">
        <v>357</v>
      </c>
      <c r="C184" s="9" t="s">
        <v>406</v>
      </c>
      <c r="D184" s="17" t="s">
        <v>2266</v>
      </c>
      <c r="E184" s="9" t="s">
        <v>406</v>
      </c>
      <c r="F184" s="9" t="s">
        <v>16</v>
      </c>
      <c r="G184" s="9" t="s">
        <v>40</v>
      </c>
      <c r="H184" s="9" t="s">
        <v>2267</v>
      </c>
      <c r="I184" s="13" t="s">
        <v>692</v>
      </c>
      <c r="J184" s="19"/>
      <c r="K184" s="14"/>
      <c r="L184" s="14"/>
      <c r="M184" s="14"/>
      <c r="N184" s="22"/>
      <c r="O184" s="12" t="str">
        <f t="shared" si="2"/>
        <v>Pendiente</v>
      </c>
    </row>
    <row r="185" spans="1:15" ht="49.95" customHeight="1">
      <c r="A185" s="17" t="s">
        <v>417</v>
      </c>
      <c r="B185" s="9" t="s">
        <v>357</v>
      </c>
      <c r="C185" s="9" t="s">
        <v>418</v>
      </c>
      <c r="D185" s="17" t="s">
        <v>2268</v>
      </c>
      <c r="E185" s="9" t="s">
        <v>2269</v>
      </c>
      <c r="F185" s="9" t="s">
        <v>16</v>
      </c>
      <c r="G185" s="9" t="s">
        <v>40</v>
      </c>
      <c r="H185" s="9" t="s">
        <v>2270</v>
      </c>
      <c r="I185" s="13" t="s">
        <v>692</v>
      </c>
      <c r="J185" s="19"/>
      <c r="K185" s="14"/>
      <c r="L185" s="14"/>
      <c r="M185" s="14"/>
      <c r="N185" s="22"/>
      <c r="O185" s="12" t="str">
        <f t="shared" si="2"/>
        <v>Pendiente</v>
      </c>
    </row>
    <row r="186" spans="1:15" ht="49.95" customHeight="1">
      <c r="A186" s="17" t="s">
        <v>419</v>
      </c>
      <c r="B186" s="9" t="s">
        <v>357</v>
      </c>
      <c r="C186" s="9" t="s">
        <v>420</v>
      </c>
      <c r="D186" s="17" t="s">
        <v>2271</v>
      </c>
      <c r="E186" s="9" t="s">
        <v>420</v>
      </c>
      <c r="F186" s="9" t="s">
        <v>16</v>
      </c>
      <c r="G186" s="9" t="s">
        <v>40</v>
      </c>
      <c r="H186" s="9" t="s">
        <v>2272</v>
      </c>
      <c r="I186" s="13" t="s">
        <v>692</v>
      </c>
      <c r="J186" s="19"/>
      <c r="K186" s="14"/>
      <c r="L186" s="14"/>
      <c r="M186" s="14"/>
      <c r="N186" s="22"/>
      <c r="O186" s="12" t="str">
        <f t="shared" si="2"/>
        <v>Pendiente</v>
      </c>
    </row>
    <row r="187" spans="1:15" ht="49.95" customHeight="1">
      <c r="A187" s="17" t="s">
        <v>425</v>
      </c>
      <c r="B187" s="9" t="s">
        <v>357</v>
      </c>
      <c r="C187" s="9" t="s">
        <v>426</v>
      </c>
      <c r="D187" s="17" t="s">
        <v>1959</v>
      </c>
      <c r="E187" s="9" t="s">
        <v>1960</v>
      </c>
      <c r="F187" s="9" t="s">
        <v>16</v>
      </c>
      <c r="G187" s="9" t="s">
        <v>40</v>
      </c>
      <c r="H187" s="9" t="s">
        <v>2273</v>
      </c>
      <c r="I187" s="13" t="s">
        <v>692</v>
      </c>
      <c r="J187" s="19"/>
      <c r="K187" s="14"/>
      <c r="L187" s="14"/>
      <c r="M187" s="14"/>
      <c r="N187" s="22"/>
      <c r="O187" s="12" t="str">
        <f t="shared" si="2"/>
        <v>Pendiente</v>
      </c>
    </row>
    <row r="188" spans="1:15" ht="49.95" customHeight="1">
      <c r="A188" s="17" t="s">
        <v>427</v>
      </c>
      <c r="B188" s="9" t="s">
        <v>357</v>
      </c>
      <c r="C188" s="9" t="s">
        <v>428</v>
      </c>
      <c r="D188" s="17" t="s">
        <v>1962</v>
      </c>
      <c r="E188" s="9" t="s">
        <v>1963</v>
      </c>
      <c r="F188" s="9" t="s">
        <v>16</v>
      </c>
      <c r="G188" s="9" t="s">
        <v>40</v>
      </c>
      <c r="H188" s="9" t="s">
        <v>2274</v>
      </c>
      <c r="I188" s="13" t="s">
        <v>692</v>
      </c>
      <c r="J188" s="19"/>
      <c r="K188" s="14"/>
      <c r="L188" s="14"/>
      <c r="M188" s="14"/>
      <c r="N188" s="22"/>
      <c r="O188" s="12" t="str">
        <f t="shared" si="2"/>
        <v>Pendiente</v>
      </c>
    </row>
    <row r="189" spans="1:15" ht="49.95" customHeight="1">
      <c r="A189" s="17" t="s">
        <v>429</v>
      </c>
      <c r="B189" s="9" t="s">
        <v>357</v>
      </c>
      <c r="C189" s="9" t="s">
        <v>430</v>
      </c>
      <c r="D189" s="17" t="s">
        <v>2275</v>
      </c>
      <c r="E189" s="9" t="s">
        <v>2276</v>
      </c>
      <c r="F189" s="9" t="s">
        <v>16</v>
      </c>
      <c r="G189" s="9" t="s">
        <v>40</v>
      </c>
      <c r="H189" s="9" t="s">
        <v>2277</v>
      </c>
      <c r="I189" s="13" t="s">
        <v>692</v>
      </c>
      <c r="J189" s="19"/>
      <c r="K189" s="14"/>
      <c r="L189" s="14"/>
      <c r="M189" s="14"/>
      <c r="N189" s="22"/>
      <c r="O189" s="12" t="str">
        <f t="shared" si="2"/>
        <v>Pendiente</v>
      </c>
    </row>
    <row r="190" spans="1:15" ht="49.95" customHeight="1">
      <c r="A190" s="17" t="s">
        <v>431</v>
      </c>
      <c r="B190" s="9" t="s">
        <v>357</v>
      </c>
      <c r="C190" s="9" t="s">
        <v>432</v>
      </c>
      <c r="D190" s="17" t="s">
        <v>1965</v>
      </c>
      <c r="E190" s="9" t="s">
        <v>1966</v>
      </c>
      <c r="F190" s="9" t="s">
        <v>16</v>
      </c>
      <c r="G190" s="9" t="s">
        <v>40</v>
      </c>
      <c r="H190" s="9" t="s">
        <v>2278</v>
      </c>
      <c r="I190" s="13" t="s">
        <v>692</v>
      </c>
      <c r="J190" s="19"/>
      <c r="K190" s="14"/>
      <c r="L190" s="14"/>
      <c r="M190" s="14"/>
      <c r="N190" s="22"/>
      <c r="O190" s="12" t="str">
        <f t="shared" si="2"/>
        <v>Pendiente</v>
      </c>
    </row>
    <row r="191" spans="1:15" ht="49.95" customHeight="1">
      <c r="A191" s="17" t="s">
        <v>437</v>
      </c>
      <c r="B191" s="9" t="s">
        <v>357</v>
      </c>
      <c r="C191" s="9" t="s">
        <v>438</v>
      </c>
      <c r="D191" s="17" t="s">
        <v>2279</v>
      </c>
      <c r="E191" s="9" t="s">
        <v>2280</v>
      </c>
      <c r="F191" s="9" t="s">
        <v>16</v>
      </c>
      <c r="G191" s="9" t="s">
        <v>40</v>
      </c>
      <c r="H191" s="9" t="s">
        <v>2281</v>
      </c>
      <c r="I191" s="13" t="s">
        <v>692</v>
      </c>
      <c r="J191" s="19"/>
      <c r="K191" s="14"/>
      <c r="L191" s="14"/>
      <c r="M191" s="14"/>
      <c r="N191" s="22"/>
      <c r="O191" s="12" t="str">
        <f t="shared" si="2"/>
        <v>Pendiente</v>
      </c>
    </row>
    <row r="192" spans="1:15" ht="94.05" customHeight="1">
      <c r="A192" s="17" t="s">
        <v>447</v>
      </c>
      <c r="B192" s="9" t="s">
        <v>357</v>
      </c>
      <c r="C192" s="9" t="s">
        <v>448</v>
      </c>
      <c r="D192" s="17" t="s">
        <v>2282</v>
      </c>
      <c r="E192" s="9" t="s">
        <v>2283</v>
      </c>
      <c r="F192" s="9" t="s">
        <v>16</v>
      </c>
      <c r="G192" s="9" t="s">
        <v>40</v>
      </c>
      <c r="H192" s="9" t="s">
        <v>2284</v>
      </c>
      <c r="I192" s="13" t="s">
        <v>692</v>
      </c>
      <c r="J192" s="19"/>
      <c r="K192" s="14"/>
      <c r="L192" s="14"/>
      <c r="M192" s="14"/>
      <c r="N192" s="22"/>
      <c r="O192" s="12" t="str">
        <f t="shared" si="2"/>
        <v>Pendiente</v>
      </c>
    </row>
    <row r="193" spans="1:15" ht="49.95" customHeight="1">
      <c r="A193" s="17" t="s">
        <v>453</v>
      </c>
      <c r="B193" s="9" t="s">
        <v>357</v>
      </c>
      <c r="C193" s="9" t="s">
        <v>454</v>
      </c>
      <c r="D193" s="17" t="s">
        <v>2285</v>
      </c>
      <c r="E193" s="9" t="s">
        <v>832</v>
      </c>
      <c r="F193" s="9" t="s">
        <v>16</v>
      </c>
      <c r="G193" s="9" t="s">
        <v>40</v>
      </c>
      <c r="H193" s="9" t="s">
        <v>2286</v>
      </c>
      <c r="I193" s="13" t="s">
        <v>692</v>
      </c>
      <c r="J193" s="19"/>
      <c r="K193" s="14"/>
      <c r="L193" s="14"/>
      <c r="M193" s="14"/>
      <c r="N193" s="22"/>
      <c r="O193" s="12" t="str">
        <f t="shared" si="2"/>
        <v>Pendiente</v>
      </c>
    </row>
    <row r="194" spans="1:15" ht="49.95" customHeight="1">
      <c r="A194" s="17" t="s">
        <v>455</v>
      </c>
      <c r="B194" s="9" t="s">
        <v>357</v>
      </c>
      <c r="C194" s="9" t="s">
        <v>456</v>
      </c>
      <c r="D194" s="17" t="s">
        <v>2287</v>
      </c>
      <c r="E194" s="9" t="s">
        <v>2288</v>
      </c>
      <c r="F194" s="9" t="s">
        <v>16</v>
      </c>
      <c r="G194" s="9" t="s">
        <v>40</v>
      </c>
      <c r="H194" s="9" t="s">
        <v>2289</v>
      </c>
      <c r="I194" s="13" t="s">
        <v>692</v>
      </c>
      <c r="J194" s="19"/>
      <c r="K194" s="14"/>
      <c r="L194" s="14"/>
      <c r="M194" s="14"/>
      <c r="N194" s="22"/>
      <c r="O194" s="12" t="str">
        <f t="shared" si="2"/>
        <v>Pendiente</v>
      </c>
    </row>
    <row r="195" spans="1:15" ht="49.95" customHeight="1">
      <c r="A195" s="17" t="s">
        <v>459</v>
      </c>
      <c r="B195" s="9" t="s">
        <v>357</v>
      </c>
      <c r="C195" s="9" t="s">
        <v>460</v>
      </c>
      <c r="D195" s="17" t="s">
        <v>2290</v>
      </c>
      <c r="E195" s="9" t="s">
        <v>2291</v>
      </c>
      <c r="F195" s="9" t="s">
        <v>16</v>
      </c>
      <c r="G195" s="9" t="s">
        <v>40</v>
      </c>
      <c r="H195" s="9" t="s">
        <v>2292</v>
      </c>
      <c r="I195" s="13" t="s">
        <v>692</v>
      </c>
      <c r="J195" s="19"/>
      <c r="K195" s="14"/>
      <c r="L195" s="14"/>
      <c r="M195" s="14"/>
      <c r="N195" s="22"/>
      <c r="O195" s="12" t="str">
        <f t="shared" si="2"/>
        <v>Pendiente</v>
      </c>
    </row>
    <row r="196" spans="1:15" ht="49.95" customHeight="1">
      <c r="A196" s="17" t="s">
        <v>472</v>
      </c>
      <c r="B196" s="9" t="s">
        <v>464</v>
      </c>
      <c r="C196" s="9" t="s">
        <v>473</v>
      </c>
      <c r="D196" s="17" t="s">
        <v>2293</v>
      </c>
      <c r="E196" s="9" t="s">
        <v>2294</v>
      </c>
      <c r="F196" s="9" t="s">
        <v>16</v>
      </c>
      <c r="G196" s="9" t="s">
        <v>40</v>
      </c>
      <c r="H196" s="9" t="s">
        <v>2295</v>
      </c>
      <c r="I196" s="13" t="s">
        <v>692</v>
      </c>
      <c r="J196" s="19"/>
      <c r="K196" s="14"/>
      <c r="L196" s="14"/>
      <c r="M196" s="14"/>
      <c r="N196" s="22"/>
      <c r="O196" s="12" t="str">
        <f t="shared" si="2"/>
        <v>Pendiente</v>
      </c>
    </row>
    <row r="197" spans="1:15" ht="49.95" customHeight="1">
      <c r="A197" s="17" t="s">
        <v>474</v>
      </c>
      <c r="B197" s="9" t="s">
        <v>464</v>
      </c>
      <c r="C197" s="9" t="s">
        <v>475</v>
      </c>
      <c r="D197" s="17" t="s">
        <v>2296</v>
      </c>
      <c r="E197" s="9" t="s">
        <v>2297</v>
      </c>
      <c r="F197" s="9" t="s">
        <v>16</v>
      </c>
      <c r="G197" s="9" t="s">
        <v>40</v>
      </c>
      <c r="H197" s="9" t="s">
        <v>2298</v>
      </c>
      <c r="I197" s="13" t="s">
        <v>692</v>
      </c>
      <c r="J197" s="19"/>
      <c r="K197" s="14"/>
      <c r="L197" s="14"/>
      <c r="M197" s="14"/>
      <c r="N197" s="22"/>
      <c r="O197" s="12" t="str">
        <f t="shared" si="2"/>
        <v>Pendiente</v>
      </c>
    </row>
    <row r="198" spans="1:15" ht="49.95" customHeight="1">
      <c r="A198" s="17" t="s">
        <v>500</v>
      </c>
      <c r="B198" s="9" t="s">
        <v>464</v>
      </c>
      <c r="C198" s="9" t="s">
        <v>501</v>
      </c>
      <c r="D198" s="17" t="s">
        <v>2299</v>
      </c>
      <c r="E198" s="9" t="s">
        <v>2300</v>
      </c>
      <c r="F198" s="9" t="s">
        <v>16</v>
      </c>
      <c r="G198" s="9" t="s">
        <v>40</v>
      </c>
      <c r="H198" s="9" t="s">
        <v>2301</v>
      </c>
      <c r="I198" s="13" t="s">
        <v>692</v>
      </c>
      <c r="J198" s="19"/>
      <c r="K198" s="14"/>
      <c r="L198" s="14"/>
      <c r="M198" s="14"/>
      <c r="N198" s="22"/>
      <c r="O198" s="12" t="str">
        <f t="shared" si="2"/>
        <v>Pendiente</v>
      </c>
    </row>
    <row r="199" spans="1:15" ht="49.95" customHeight="1">
      <c r="A199" s="17" t="s">
        <v>508</v>
      </c>
      <c r="B199" s="9" t="s">
        <v>464</v>
      </c>
      <c r="C199" s="9" t="s">
        <v>509</v>
      </c>
      <c r="D199" s="17" t="s">
        <v>2302</v>
      </c>
      <c r="E199" s="9" t="s">
        <v>2303</v>
      </c>
      <c r="F199" s="9" t="s">
        <v>16</v>
      </c>
      <c r="G199" s="9" t="s">
        <v>40</v>
      </c>
      <c r="H199" s="9" t="s">
        <v>2304</v>
      </c>
      <c r="I199" s="13" t="s">
        <v>692</v>
      </c>
      <c r="J199" s="19"/>
      <c r="K199" s="14"/>
      <c r="L199" s="14"/>
      <c r="M199" s="14"/>
      <c r="N199" s="22"/>
      <c r="O199" s="12" t="str">
        <f t="shared" si="2"/>
        <v>Pendiente</v>
      </c>
    </row>
    <row r="200" spans="1:15" ht="49.95" customHeight="1">
      <c r="A200" s="17" t="s">
        <v>526</v>
      </c>
      <c r="B200" s="9" t="s">
        <v>464</v>
      </c>
      <c r="C200" s="9" t="s">
        <v>527</v>
      </c>
      <c r="D200" s="17" t="s">
        <v>1097</v>
      </c>
      <c r="E200" s="9" t="s">
        <v>2305</v>
      </c>
      <c r="F200" s="9" t="s">
        <v>16</v>
      </c>
      <c r="G200" s="9" t="s">
        <v>40</v>
      </c>
      <c r="H200" s="9" t="s">
        <v>2306</v>
      </c>
      <c r="I200" s="13" t="s">
        <v>692</v>
      </c>
      <c r="J200" s="19"/>
      <c r="K200" s="14"/>
      <c r="L200" s="14"/>
      <c r="M200" s="14"/>
      <c r="N200" s="22"/>
      <c r="O200" s="12" t="str">
        <f t="shared" ref="O200:O263" si="3">IF(I200="Pendiente","Pendiente",IF(I200="Equivalente confirmado",IF(OR(J200="",K200=""),"Falta código o nombre",IF(OR(L200="",M200=""),"Falta validación",IF(OR(NOT(ISNUMBER(N200)),N200&lt;=0),"Falta fecha","Homologado"))),IF(I200="Sin equivalente en AVAIN",IF(OR(J200&lt;&gt;"",K200&lt;&gt;""),"Quitar código y nombre",IF(OR(L200="",M200=""),"Falta validación",IF(OR(NOT(ISNUMBER(N200)),N200&lt;=0),"Falta fecha","Sin equivalente confirmado"))),"Revisar decisión")))</f>
        <v>Pendiente</v>
      </c>
    </row>
    <row r="201" spans="1:15" ht="49.95" customHeight="1">
      <c r="A201" s="17" t="s">
        <v>548</v>
      </c>
      <c r="B201" s="9" t="s">
        <v>537</v>
      </c>
      <c r="C201" s="9" t="s">
        <v>509</v>
      </c>
      <c r="D201" s="17" t="s">
        <v>2302</v>
      </c>
      <c r="E201" s="9" t="s">
        <v>2303</v>
      </c>
      <c r="F201" s="9" t="s">
        <v>16</v>
      </c>
      <c r="G201" s="9" t="s">
        <v>40</v>
      </c>
      <c r="H201" s="9" t="s">
        <v>2304</v>
      </c>
      <c r="I201" s="13" t="s">
        <v>692</v>
      </c>
      <c r="J201" s="19"/>
      <c r="K201" s="14"/>
      <c r="L201" s="14"/>
      <c r="M201" s="14"/>
      <c r="N201" s="22"/>
      <c r="O201" s="12" t="str">
        <f t="shared" si="3"/>
        <v>Pendiente</v>
      </c>
    </row>
    <row r="202" spans="1:15" ht="49.95" customHeight="1">
      <c r="A202" s="17" t="s">
        <v>560</v>
      </c>
      <c r="B202" s="9" t="s">
        <v>537</v>
      </c>
      <c r="C202" s="9" t="s">
        <v>561</v>
      </c>
      <c r="D202" s="17" t="s">
        <v>2275</v>
      </c>
      <c r="E202" s="9" t="s">
        <v>2276</v>
      </c>
      <c r="F202" s="9" t="s">
        <v>16</v>
      </c>
      <c r="G202" s="9" t="s">
        <v>40</v>
      </c>
      <c r="H202" s="9" t="s">
        <v>2277</v>
      </c>
      <c r="I202" s="13" t="s">
        <v>692</v>
      </c>
      <c r="J202" s="19"/>
      <c r="K202" s="14"/>
      <c r="L202" s="14"/>
      <c r="M202" s="14"/>
      <c r="N202" s="22"/>
      <c r="O202" s="12" t="str">
        <f t="shared" si="3"/>
        <v>Pendiente</v>
      </c>
    </row>
    <row r="203" spans="1:15" ht="49.95" customHeight="1">
      <c r="A203" s="17" t="s">
        <v>564</v>
      </c>
      <c r="B203" s="9" t="s">
        <v>537</v>
      </c>
      <c r="C203" s="9" t="s">
        <v>565</v>
      </c>
      <c r="D203" s="17" t="s">
        <v>2296</v>
      </c>
      <c r="E203" s="9" t="s">
        <v>2297</v>
      </c>
      <c r="F203" s="9" t="s">
        <v>16</v>
      </c>
      <c r="G203" s="9" t="s">
        <v>40</v>
      </c>
      <c r="H203" s="9" t="s">
        <v>2298</v>
      </c>
      <c r="I203" s="13" t="s">
        <v>692</v>
      </c>
      <c r="J203" s="19"/>
      <c r="K203" s="14"/>
      <c r="L203" s="14"/>
      <c r="M203" s="14"/>
      <c r="N203" s="22"/>
      <c r="O203" s="12" t="str">
        <f t="shared" si="3"/>
        <v>Pendiente</v>
      </c>
    </row>
    <row r="204" spans="1:15" ht="49.95" customHeight="1">
      <c r="A204" s="17" t="s">
        <v>572</v>
      </c>
      <c r="B204" s="9" t="s">
        <v>537</v>
      </c>
      <c r="C204" s="9" t="s">
        <v>573</v>
      </c>
      <c r="D204" s="17" t="s">
        <v>1350</v>
      </c>
      <c r="E204" s="9" t="s">
        <v>2307</v>
      </c>
      <c r="F204" s="9" t="s">
        <v>16</v>
      </c>
      <c r="G204" s="9" t="s">
        <v>40</v>
      </c>
      <c r="H204" s="9" t="s">
        <v>2308</v>
      </c>
      <c r="I204" s="13" t="s">
        <v>692</v>
      </c>
      <c r="J204" s="19"/>
      <c r="K204" s="14"/>
      <c r="L204" s="14"/>
      <c r="M204" s="14"/>
      <c r="N204" s="22"/>
      <c r="O204" s="12" t="str">
        <f t="shared" si="3"/>
        <v>Pendiente</v>
      </c>
    </row>
    <row r="205" spans="1:15" ht="49.95" customHeight="1">
      <c r="A205" s="17" t="s">
        <v>574</v>
      </c>
      <c r="B205" s="9" t="s">
        <v>537</v>
      </c>
      <c r="C205" s="9" t="s">
        <v>575</v>
      </c>
      <c r="D205" s="17" t="s">
        <v>745</v>
      </c>
      <c r="E205" s="9" t="s">
        <v>575</v>
      </c>
      <c r="F205" s="9" t="s">
        <v>16</v>
      </c>
      <c r="G205" s="9" t="s">
        <v>40</v>
      </c>
      <c r="H205" s="9" t="s">
        <v>2309</v>
      </c>
      <c r="I205" s="13" t="s">
        <v>692</v>
      </c>
      <c r="J205" s="19"/>
      <c r="K205" s="14"/>
      <c r="L205" s="14"/>
      <c r="M205" s="14"/>
      <c r="N205" s="22"/>
      <c r="O205" s="12" t="str">
        <f t="shared" si="3"/>
        <v>Pendiente</v>
      </c>
    </row>
    <row r="206" spans="1:15" ht="49.95" customHeight="1">
      <c r="A206" s="17" t="s">
        <v>578</v>
      </c>
      <c r="B206" s="9" t="s">
        <v>537</v>
      </c>
      <c r="C206" s="9" t="s">
        <v>501</v>
      </c>
      <c r="D206" s="17" t="s">
        <v>2299</v>
      </c>
      <c r="E206" s="9" t="s">
        <v>2300</v>
      </c>
      <c r="F206" s="9" t="s">
        <v>16</v>
      </c>
      <c r="G206" s="9" t="s">
        <v>40</v>
      </c>
      <c r="H206" s="9" t="s">
        <v>2301</v>
      </c>
      <c r="I206" s="13" t="s">
        <v>692</v>
      </c>
      <c r="J206" s="19"/>
      <c r="K206" s="14"/>
      <c r="L206" s="14"/>
      <c r="M206" s="14"/>
      <c r="N206" s="22"/>
      <c r="O206" s="12" t="str">
        <f t="shared" si="3"/>
        <v>Pendiente</v>
      </c>
    </row>
    <row r="207" spans="1:15" ht="49.95" customHeight="1">
      <c r="A207" s="17" t="s">
        <v>585</v>
      </c>
      <c r="B207" s="9" t="s">
        <v>537</v>
      </c>
      <c r="C207" s="9" t="s">
        <v>586</v>
      </c>
      <c r="D207" s="17" t="s">
        <v>1911</v>
      </c>
      <c r="E207" s="9" t="s">
        <v>1912</v>
      </c>
      <c r="F207" s="9" t="s">
        <v>16</v>
      </c>
      <c r="G207" s="9" t="s">
        <v>40</v>
      </c>
      <c r="H207" s="9" t="s">
        <v>2310</v>
      </c>
      <c r="I207" s="13" t="s">
        <v>692</v>
      </c>
      <c r="J207" s="19"/>
      <c r="K207" s="14"/>
      <c r="L207" s="14"/>
      <c r="M207" s="14"/>
      <c r="N207" s="22"/>
      <c r="O207" s="12" t="str">
        <f t="shared" si="3"/>
        <v>Pendiente</v>
      </c>
    </row>
    <row r="208" spans="1:15" ht="49.95" customHeight="1">
      <c r="A208" s="17" t="s">
        <v>589</v>
      </c>
      <c r="B208" s="9" t="s">
        <v>537</v>
      </c>
      <c r="C208" s="9" t="s">
        <v>590</v>
      </c>
      <c r="D208" s="17" t="s">
        <v>1979</v>
      </c>
      <c r="E208" s="9" t="s">
        <v>1980</v>
      </c>
      <c r="F208" s="9" t="s">
        <v>16</v>
      </c>
      <c r="G208" s="9" t="s">
        <v>40</v>
      </c>
      <c r="H208" s="9" t="s">
        <v>2311</v>
      </c>
      <c r="I208" s="13" t="s">
        <v>692</v>
      </c>
      <c r="J208" s="19"/>
      <c r="K208" s="14"/>
      <c r="L208" s="14"/>
      <c r="M208" s="14"/>
      <c r="N208" s="22"/>
      <c r="O208" s="12" t="str">
        <f t="shared" si="3"/>
        <v>Pendiente</v>
      </c>
    </row>
    <row r="209" spans="1:15" ht="49.95" customHeight="1">
      <c r="A209" s="17" t="s">
        <v>595</v>
      </c>
      <c r="B209" s="9" t="s">
        <v>537</v>
      </c>
      <c r="C209" s="9" t="s">
        <v>596</v>
      </c>
      <c r="D209" s="17" t="s">
        <v>2006</v>
      </c>
      <c r="E209" s="9" t="s">
        <v>2007</v>
      </c>
      <c r="F209" s="9" t="s">
        <v>16</v>
      </c>
      <c r="G209" s="9" t="s">
        <v>40</v>
      </c>
      <c r="H209" s="9" t="s">
        <v>2312</v>
      </c>
      <c r="I209" s="13" t="s">
        <v>692</v>
      </c>
      <c r="J209" s="19"/>
      <c r="K209" s="14"/>
      <c r="L209" s="14"/>
      <c r="M209" s="14"/>
      <c r="N209" s="22"/>
      <c r="O209" s="12" t="str">
        <f t="shared" si="3"/>
        <v>Pendiente</v>
      </c>
    </row>
    <row r="210" spans="1:15" ht="78" customHeight="1">
      <c r="A210" s="17" t="s">
        <v>605</v>
      </c>
      <c r="B210" s="9" t="s">
        <v>537</v>
      </c>
      <c r="C210" s="9" t="s">
        <v>606</v>
      </c>
      <c r="D210" s="17" t="s">
        <v>1190</v>
      </c>
      <c r="E210" s="9" t="s">
        <v>2313</v>
      </c>
      <c r="F210" s="9" t="s">
        <v>16</v>
      </c>
      <c r="G210" s="9" t="s">
        <v>40</v>
      </c>
      <c r="H210" s="9" t="s">
        <v>2314</v>
      </c>
      <c r="I210" s="13" t="s">
        <v>692</v>
      </c>
      <c r="J210" s="19"/>
      <c r="K210" s="14"/>
      <c r="L210" s="14"/>
      <c r="M210" s="14"/>
      <c r="N210" s="22"/>
      <c r="O210" s="12" t="str">
        <f t="shared" si="3"/>
        <v>Pendiente</v>
      </c>
    </row>
    <row r="211" spans="1:15" ht="49.95" customHeight="1">
      <c r="A211" s="17" t="s">
        <v>615</v>
      </c>
      <c r="B211" s="9" t="s">
        <v>537</v>
      </c>
      <c r="C211" s="9" t="s">
        <v>616</v>
      </c>
      <c r="D211" s="17" t="s">
        <v>723</v>
      </c>
      <c r="E211" s="9" t="s">
        <v>2315</v>
      </c>
      <c r="F211" s="9" t="s">
        <v>16</v>
      </c>
      <c r="G211" s="9" t="s">
        <v>40</v>
      </c>
      <c r="H211" s="9" t="s">
        <v>2316</v>
      </c>
      <c r="I211" s="13" t="s">
        <v>692</v>
      </c>
      <c r="J211" s="19"/>
      <c r="K211" s="14"/>
      <c r="L211" s="14"/>
      <c r="M211" s="14"/>
      <c r="N211" s="22"/>
      <c r="O211" s="12" t="str">
        <f t="shared" si="3"/>
        <v>Pendiente</v>
      </c>
    </row>
    <row r="212" spans="1:15" ht="49.95" customHeight="1">
      <c r="A212" s="17" t="s">
        <v>642</v>
      </c>
      <c r="B212" s="9" t="s">
        <v>537</v>
      </c>
      <c r="C212" s="9" t="s">
        <v>643</v>
      </c>
      <c r="D212" s="17" t="s">
        <v>703</v>
      </c>
      <c r="E212" s="9" t="s">
        <v>1943</v>
      </c>
      <c r="F212" s="9" t="s">
        <v>16</v>
      </c>
      <c r="G212" s="9" t="s">
        <v>40</v>
      </c>
      <c r="H212" s="9" t="s">
        <v>2317</v>
      </c>
      <c r="I212" s="13" t="s">
        <v>692</v>
      </c>
      <c r="J212" s="19"/>
      <c r="K212" s="14"/>
      <c r="L212" s="14"/>
      <c r="M212" s="14"/>
      <c r="N212" s="22"/>
      <c r="O212" s="12" t="str">
        <f t="shared" si="3"/>
        <v>Pendiente</v>
      </c>
    </row>
    <row r="213" spans="1:15" ht="49.95" customHeight="1">
      <c r="A213" s="17" t="s">
        <v>644</v>
      </c>
      <c r="B213" s="9" t="s">
        <v>537</v>
      </c>
      <c r="C213" s="9" t="s">
        <v>645</v>
      </c>
      <c r="D213" s="17" t="s">
        <v>1947</v>
      </c>
      <c r="E213" s="9" t="s">
        <v>1948</v>
      </c>
      <c r="F213" s="9" t="s">
        <v>16</v>
      </c>
      <c r="G213" s="9" t="s">
        <v>40</v>
      </c>
      <c r="H213" s="9" t="s">
        <v>2318</v>
      </c>
      <c r="I213" s="13" t="s">
        <v>692</v>
      </c>
      <c r="J213" s="19"/>
      <c r="K213" s="14"/>
      <c r="L213" s="14"/>
      <c r="M213" s="14"/>
      <c r="N213" s="22"/>
      <c r="O213" s="12" t="str">
        <f t="shared" si="3"/>
        <v>Pendiente</v>
      </c>
    </row>
    <row r="214" spans="1:15" ht="49.95" customHeight="1">
      <c r="A214" s="17" t="s">
        <v>650</v>
      </c>
      <c r="B214" s="9" t="s">
        <v>537</v>
      </c>
      <c r="C214" s="9" t="s">
        <v>651</v>
      </c>
      <c r="D214" s="17" t="s">
        <v>1007</v>
      </c>
      <c r="E214" s="9" t="s">
        <v>2319</v>
      </c>
      <c r="F214" s="9" t="s">
        <v>16</v>
      </c>
      <c r="G214" s="9" t="s">
        <v>40</v>
      </c>
      <c r="H214" s="9" t="s">
        <v>2320</v>
      </c>
      <c r="I214" s="13" t="s">
        <v>692</v>
      </c>
      <c r="J214" s="19"/>
      <c r="K214" s="14"/>
      <c r="L214" s="14"/>
      <c r="M214" s="14"/>
      <c r="N214" s="22"/>
      <c r="O214" s="12" t="str">
        <f t="shared" si="3"/>
        <v>Pendiente</v>
      </c>
    </row>
    <row r="215" spans="1:15" ht="49.95" customHeight="1">
      <c r="A215" s="17" t="s">
        <v>662</v>
      </c>
      <c r="B215" s="9" t="s">
        <v>537</v>
      </c>
      <c r="C215" s="9" t="s">
        <v>663</v>
      </c>
      <c r="D215" s="17" t="s">
        <v>2321</v>
      </c>
      <c r="E215" s="9" t="s">
        <v>2322</v>
      </c>
      <c r="F215" s="9" t="s">
        <v>16</v>
      </c>
      <c r="G215" s="9" t="s">
        <v>40</v>
      </c>
      <c r="H215" s="9" t="s">
        <v>2323</v>
      </c>
      <c r="I215" s="13" t="s">
        <v>692</v>
      </c>
      <c r="J215" s="19"/>
      <c r="K215" s="14"/>
      <c r="L215" s="14"/>
      <c r="M215" s="14"/>
      <c r="N215" s="22"/>
      <c r="O215" s="12" t="str">
        <f t="shared" si="3"/>
        <v>Pendiente</v>
      </c>
    </row>
    <row r="216" spans="1:15" ht="49.95" customHeight="1">
      <c r="A216" s="17" t="s">
        <v>664</v>
      </c>
      <c r="B216" s="9" t="s">
        <v>537</v>
      </c>
      <c r="C216" s="9" t="s">
        <v>665</v>
      </c>
      <c r="D216" s="17" t="s">
        <v>1103</v>
      </c>
      <c r="E216" s="9" t="s">
        <v>2324</v>
      </c>
      <c r="F216" s="9" t="s">
        <v>16</v>
      </c>
      <c r="G216" s="9" t="s">
        <v>40</v>
      </c>
      <c r="H216" s="9" t="s">
        <v>2325</v>
      </c>
      <c r="I216" s="13" t="s">
        <v>692</v>
      </c>
      <c r="J216" s="19"/>
      <c r="K216" s="14"/>
      <c r="L216" s="14"/>
      <c r="M216" s="14"/>
      <c r="N216" s="22"/>
      <c r="O216" s="12" t="str">
        <f t="shared" si="3"/>
        <v>Pendiente</v>
      </c>
    </row>
    <row r="217" spans="1:15" ht="61.95" customHeight="1">
      <c r="A217" s="17" t="s">
        <v>666</v>
      </c>
      <c r="B217" s="9" t="s">
        <v>537</v>
      </c>
      <c r="C217" s="9" t="s">
        <v>667</v>
      </c>
      <c r="D217" s="17" t="s">
        <v>1911</v>
      </c>
      <c r="E217" s="9" t="s">
        <v>1912</v>
      </c>
      <c r="F217" s="9" t="s">
        <v>16</v>
      </c>
      <c r="G217" s="9" t="s">
        <v>40</v>
      </c>
      <c r="H217" s="9" t="s">
        <v>2326</v>
      </c>
      <c r="I217" s="13" t="s">
        <v>692</v>
      </c>
      <c r="J217" s="19"/>
      <c r="K217" s="14"/>
      <c r="L217" s="14"/>
      <c r="M217" s="14"/>
      <c r="N217" s="22"/>
      <c r="O217" s="12" t="str">
        <f t="shared" si="3"/>
        <v>Pendiente</v>
      </c>
    </row>
    <row r="218" spans="1:15" ht="49.95" customHeight="1">
      <c r="A218" s="17" t="s">
        <v>668</v>
      </c>
      <c r="B218" s="9" t="s">
        <v>537</v>
      </c>
      <c r="C218" s="9" t="s">
        <v>573</v>
      </c>
      <c r="D218" s="17" t="s">
        <v>1350</v>
      </c>
      <c r="E218" s="9" t="s">
        <v>2307</v>
      </c>
      <c r="F218" s="9" t="s">
        <v>16</v>
      </c>
      <c r="G218" s="9" t="s">
        <v>40</v>
      </c>
      <c r="H218" s="9" t="s">
        <v>2308</v>
      </c>
      <c r="I218" s="13" t="s">
        <v>692</v>
      </c>
      <c r="J218" s="19"/>
      <c r="K218" s="14"/>
      <c r="L218" s="14"/>
      <c r="M218" s="14"/>
      <c r="N218" s="22"/>
      <c r="O218" s="12" t="str">
        <f t="shared" si="3"/>
        <v>Pendiente</v>
      </c>
    </row>
    <row r="219" spans="1:15" ht="61.95" customHeight="1">
      <c r="A219" s="17" t="s">
        <v>132</v>
      </c>
      <c r="B219" s="9" t="s">
        <v>108</v>
      </c>
      <c r="C219" s="9" t="s">
        <v>133</v>
      </c>
      <c r="D219" s="17"/>
      <c r="E219" s="9"/>
      <c r="F219" s="9" t="s">
        <v>24</v>
      </c>
      <c r="G219" s="9" t="s">
        <v>24</v>
      </c>
      <c r="H219" s="9" t="s">
        <v>2327</v>
      </c>
      <c r="I219" s="13" t="s">
        <v>692</v>
      </c>
      <c r="J219" s="19"/>
      <c r="K219" s="14"/>
      <c r="L219" s="14"/>
      <c r="M219" s="14"/>
      <c r="N219" s="22"/>
      <c r="O219" s="12" t="str">
        <f t="shared" si="3"/>
        <v>Pendiente</v>
      </c>
    </row>
    <row r="220" spans="1:15" ht="61.95" customHeight="1">
      <c r="A220" s="17" t="s">
        <v>134</v>
      </c>
      <c r="B220" s="9" t="s">
        <v>108</v>
      </c>
      <c r="C220" s="9" t="s">
        <v>135</v>
      </c>
      <c r="D220" s="17"/>
      <c r="E220" s="9"/>
      <c r="F220" s="9" t="s">
        <v>24</v>
      </c>
      <c r="G220" s="9" t="s">
        <v>24</v>
      </c>
      <c r="H220" s="9" t="s">
        <v>2327</v>
      </c>
      <c r="I220" s="13" t="s">
        <v>692</v>
      </c>
      <c r="J220" s="19"/>
      <c r="K220" s="14"/>
      <c r="L220" s="14"/>
      <c r="M220" s="14"/>
      <c r="N220" s="22"/>
      <c r="O220" s="12" t="str">
        <f t="shared" si="3"/>
        <v>Pendiente</v>
      </c>
    </row>
    <row r="221" spans="1:15" ht="49.95" customHeight="1">
      <c r="A221" s="17" t="s">
        <v>138</v>
      </c>
      <c r="B221" s="9" t="s">
        <v>108</v>
      </c>
      <c r="C221" s="9" t="s">
        <v>139</v>
      </c>
      <c r="D221" s="17"/>
      <c r="E221" s="9"/>
      <c r="F221" s="9" t="s">
        <v>24</v>
      </c>
      <c r="G221" s="9" t="s">
        <v>24</v>
      </c>
      <c r="H221" s="9" t="s">
        <v>2328</v>
      </c>
      <c r="I221" s="13" t="s">
        <v>692</v>
      </c>
      <c r="J221" s="19"/>
      <c r="K221" s="14"/>
      <c r="L221" s="14"/>
      <c r="M221" s="14"/>
      <c r="N221" s="22"/>
      <c r="O221" s="12" t="str">
        <f t="shared" si="3"/>
        <v>Pendiente</v>
      </c>
    </row>
    <row r="222" spans="1:15" ht="61.95" customHeight="1">
      <c r="A222" s="17" t="s">
        <v>146</v>
      </c>
      <c r="B222" s="9" t="s">
        <v>108</v>
      </c>
      <c r="C222" s="9" t="s">
        <v>147</v>
      </c>
      <c r="D222" s="17"/>
      <c r="E222" s="9"/>
      <c r="F222" s="9" t="s">
        <v>24</v>
      </c>
      <c r="G222" s="9" t="s">
        <v>24</v>
      </c>
      <c r="H222" s="9" t="s">
        <v>2327</v>
      </c>
      <c r="I222" s="13" t="s">
        <v>692</v>
      </c>
      <c r="J222" s="19"/>
      <c r="K222" s="14"/>
      <c r="L222" s="14"/>
      <c r="M222" s="14"/>
      <c r="N222" s="22"/>
      <c r="O222" s="12" t="str">
        <f t="shared" si="3"/>
        <v>Pendiente</v>
      </c>
    </row>
    <row r="223" spans="1:15" ht="61.95" customHeight="1">
      <c r="A223" s="17" t="s">
        <v>148</v>
      </c>
      <c r="B223" s="9" t="s">
        <v>108</v>
      </c>
      <c r="C223" s="9" t="s">
        <v>149</v>
      </c>
      <c r="D223" s="17"/>
      <c r="E223" s="9"/>
      <c r="F223" s="9" t="s">
        <v>24</v>
      </c>
      <c r="G223" s="9" t="s">
        <v>24</v>
      </c>
      <c r="H223" s="9" t="s">
        <v>2327</v>
      </c>
      <c r="I223" s="13" t="s">
        <v>692</v>
      </c>
      <c r="J223" s="19"/>
      <c r="K223" s="14"/>
      <c r="L223" s="14"/>
      <c r="M223" s="14"/>
      <c r="N223" s="22"/>
      <c r="O223" s="12" t="str">
        <f t="shared" si="3"/>
        <v>Pendiente</v>
      </c>
    </row>
    <row r="224" spans="1:15" ht="61.95" customHeight="1">
      <c r="A224" s="17" t="s">
        <v>152</v>
      </c>
      <c r="B224" s="9" t="s">
        <v>108</v>
      </c>
      <c r="C224" s="9" t="s">
        <v>153</v>
      </c>
      <c r="D224" s="17"/>
      <c r="E224" s="9"/>
      <c r="F224" s="9" t="s">
        <v>24</v>
      </c>
      <c r="G224" s="9" t="s">
        <v>24</v>
      </c>
      <c r="H224" s="9" t="s">
        <v>2327</v>
      </c>
      <c r="I224" s="13" t="s">
        <v>692</v>
      </c>
      <c r="J224" s="19"/>
      <c r="K224" s="14"/>
      <c r="L224" s="14"/>
      <c r="M224" s="14"/>
      <c r="N224" s="22"/>
      <c r="O224" s="12" t="str">
        <f t="shared" si="3"/>
        <v>Pendiente</v>
      </c>
    </row>
    <row r="225" spans="1:15" ht="61.95" customHeight="1">
      <c r="A225" s="17" t="s">
        <v>154</v>
      </c>
      <c r="B225" s="9" t="s">
        <v>108</v>
      </c>
      <c r="C225" s="9" t="s">
        <v>155</v>
      </c>
      <c r="D225" s="17"/>
      <c r="E225" s="9"/>
      <c r="F225" s="9" t="s">
        <v>24</v>
      </c>
      <c r="G225" s="9" t="s">
        <v>24</v>
      </c>
      <c r="H225" s="9" t="s">
        <v>2327</v>
      </c>
      <c r="I225" s="13" t="s">
        <v>692</v>
      </c>
      <c r="J225" s="19"/>
      <c r="K225" s="14"/>
      <c r="L225" s="14"/>
      <c r="M225" s="14"/>
      <c r="N225" s="22"/>
      <c r="O225" s="12" t="str">
        <f t="shared" si="3"/>
        <v>Pendiente</v>
      </c>
    </row>
    <row r="226" spans="1:15" ht="61.95" customHeight="1">
      <c r="A226" s="17" t="s">
        <v>156</v>
      </c>
      <c r="B226" s="9" t="s">
        <v>108</v>
      </c>
      <c r="C226" s="9" t="s">
        <v>157</v>
      </c>
      <c r="D226" s="17"/>
      <c r="E226" s="9"/>
      <c r="F226" s="9" t="s">
        <v>24</v>
      </c>
      <c r="G226" s="9" t="s">
        <v>24</v>
      </c>
      <c r="H226" s="9" t="s">
        <v>2327</v>
      </c>
      <c r="I226" s="13" t="s">
        <v>692</v>
      </c>
      <c r="J226" s="19"/>
      <c r="K226" s="14"/>
      <c r="L226" s="14"/>
      <c r="M226" s="14"/>
      <c r="N226" s="22"/>
      <c r="O226" s="12" t="str">
        <f t="shared" si="3"/>
        <v>Pendiente</v>
      </c>
    </row>
    <row r="227" spans="1:15" ht="61.95" customHeight="1">
      <c r="A227" s="17" t="s">
        <v>174</v>
      </c>
      <c r="B227" s="9" t="s">
        <v>108</v>
      </c>
      <c r="C227" s="9" t="s">
        <v>175</v>
      </c>
      <c r="D227" s="17"/>
      <c r="E227" s="9"/>
      <c r="F227" s="9" t="s">
        <v>24</v>
      </c>
      <c r="G227" s="9" t="s">
        <v>24</v>
      </c>
      <c r="H227" s="9" t="s">
        <v>2327</v>
      </c>
      <c r="I227" s="13" t="s">
        <v>692</v>
      </c>
      <c r="J227" s="19"/>
      <c r="K227" s="14"/>
      <c r="L227" s="14"/>
      <c r="M227" s="14"/>
      <c r="N227" s="22"/>
      <c r="O227" s="12" t="str">
        <f t="shared" si="3"/>
        <v>Pendiente</v>
      </c>
    </row>
    <row r="228" spans="1:15" ht="61.95" customHeight="1">
      <c r="A228" s="17" t="s">
        <v>176</v>
      </c>
      <c r="B228" s="9" t="s">
        <v>108</v>
      </c>
      <c r="C228" s="9" t="s">
        <v>177</v>
      </c>
      <c r="D228" s="17"/>
      <c r="E228" s="9"/>
      <c r="F228" s="9" t="s">
        <v>24</v>
      </c>
      <c r="G228" s="9" t="s">
        <v>24</v>
      </c>
      <c r="H228" s="9" t="s">
        <v>2327</v>
      </c>
      <c r="I228" s="13" t="s">
        <v>692</v>
      </c>
      <c r="J228" s="19"/>
      <c r="K228" s="14"/>
      <c r="L228" s="14"/>
      <c r="M228" s="14"/>
      <c r="N228" s="22"/>
      <c r="O228" s="12" t="str">
        <f t="shared" si="3"/>
        <v>Pendiente</v>
      </c>
    </row>
    <row r="229" spans="1:15" ht="49.95" customHeight="1">
      <c r="A229" s="17" t="s">
        <v>198</v>
      </c>
      <c r="B229" s="9" t="s">
        <v>108</v>
      </c>
      <c r="C229" s="9" t="s">
        <v>199</v>
      </c>
      <c r="D229" s="17"/>
      <c r="E229" s="9"/>
      <c r="F229" s="9" t="s">
        <v>24</v>
      </c>
      <c r="G229" s="9" t="s">
        <v>24</v>
      </c>
      <c r="H229" s="9" t="s">
        <v>2329</v>
      </c>
      <c r="I229" s="13" t="s">
        <v>692</v>
      </c>
      <c r="J229" s="19"/>
      <c r="K229" s="14"/>
      <c r="L229" s="14"/>
      <c r="M229" s="14"/>
      <c r="N229" s="22"/>
      <c r="O229" s="12" t="str">
        <f t="shared" si="3"/>
        <v>Pendiente</v>
      </c>
    </row>
    <row r="230" spans="1:15" ht="61.95" customHeight="1">
      <c r="A230" s="17" t="s">
        <v>200</v>
      </c>
      <c r="B230" s="9" t="s">
        <v>108</v>
      </c>
      <c r="C230" s="9" t="s">
        <v>201</v>
      </c>
      <c r="D230" s="17"/>
      <c r="E230" s="9"/>
      <c r="F230" s="9" t="s">
        <v>24</v>
      </c>
      <c r="G230" s="9" t="s">
        <v>24</v>
      </c>
      <c r="H230" s="9" t="s">
        <v>2327</v>
      </c>
      <c r="I230" s="13" t="s">
        <v>692</v>
      </c>
      <c r="J230" s="19"/>
      <c r="K230" s="14"/>
      <c r="L230" s="14"/>
      <c r="M230" s="14"/>
      <c r="N230" s="22"/>
      <c r="O230" s="12" t="str">
        <f t="shared" si="3"/>
        <v>Pendiente</v>
      </c>
    </row>
    <row r="231" spans="1:15" ht="61.95" customHeight="1">
      <c r="A231" s="17" t="s">
        <v>202</v>
      </c>
      <c r="B231" s="9" t="s">
        <v>108</v>
      </c>
      <c r="C231" s="9" t="s">
        <v>203</v>
      </c>
      <c r="D231" s="17"/>
      <c r="E231" s="9"/>
      <c r="F231" s="9" t="s">
        <v>24</v>
      </c>
      <c r="G231" s="9" t="s">
        <v>24</v>
      </c>
      <c r="H231" s="9" t="s">
        <v>2327</v>
      </c>
      <c r="I231" s="13" t="s">
        <v>692</v>
      </c>
      <c r="J231" s="19"/>
      <c r="K231" s="14"/>
      <c r="L231" s="14"/>
      <c r="M231" s="14"/>
      <c r="N231" s="22"/>
      <c r="O231" s="12" t="str">
        <f t="shared" si="3"/>
        <v>Pendiente</v>
      </c>
    </row>
    <row r="232" spans="1:15" ht="61.95" customHeight="1">
      <c r="A232" s="17" t="s">
        <v>208</v>
      </c>
      <c r="B232" s="9" t="s">
        <v>108</v>
      </c>
      <c r="C232" s="9" t="s">
        <v>209</v>
      </c>
      <c r="D232" s="17"/>
      <c r="E232" s="9"/>
      <c r="F232" s="9" t="s">
        <v>24</v>
      </c>
      <c r="G232" s="9" t="s">
        <v>24</v>
      </c>
      <c r="H232" s="9" t="s">
        <v>2327</v>
      </c>
      <c r="I232" s="13" t="s">
        <v>692</v>
      </c>
      <c r="J232" s="19"/>
      <c r="K232" s="14"/>
      <c r="L232" s="14"/>
      <c r="M232" s="14"/>
      <c r="N232" s="22"/>
      <c r="O232" s="12" t="str">
        <f t="shared" si="3"/>
        <v>Pendiente</v>
      </c>
    </row>
    <row r="233" spans="1:15" ht="61.95" customHeight="1">
      <c r="A233" s="17" t="s">
        <v>218</v>
      </c>
      <c r="B233" s="9" t="s">
        <v>108</v>
      </c>
      <c r="C233" s="9" t="s">
        <v>219</v>
      </c>
      <c r="D233" s="17"/>
      <c r="E233" s="9"/>
      <c r="F233" s="9" t="s">
        <v>24</v>
      </c>
      <c r="G233" s="9" t="s">
        <v>24</v>
      </c>
      <c r="H233" s="9" t="s">
        <v>2330</v>
      </c>
      <c r="I233" s="13" t="s">
        <v>692</v>
      </c>
      <c r="J233" s="19"/>
      <c r="K233" s="14"/>
      <c r="L233" s="14"/>
      <c r="M233" s="14"/>
      <c r="N233" s="22"/>
      <c r="O233" s="12" t="str">
        <f t="shared" si="3"/>
        <v>Pendiente</v>
      </c>
    </row>
    <row r="234" spans="1:15" ht="49.95" customHeight="1">
      <c r="A234" s="17" t="s">
        <v>234</v>
      </c>
      <c r="B234" s="9" t="s">
        <v>108</v>
      </c>
      <c r="C234" s="9" t="s">
        <v>235</v>
      </c>
      <c r="D234" s="17"/>
      <c r="E234" s="9"/>
      <c r="F234" s="9" t="s">
        <v>24</v>
      </c>
      <c r="G234" s="9" t="s">
        <v>24</v>
      </c>
      <c r="H234" s="9" t="s">
        <v>2331</v>
      </c>
      <c r="I234" s="13" t="s">
        <v>692</v>
      </c>
      <c r="J234" s="19"/>
      <c r="K234" s="14"/>
      <c r="L234" s="14"/>
      <c r="M234" s="14"/>
      <c r="N234" s="22"/>
      <c r="O234" s="12" t="str">
        <f t="shared" si="3"/>
        <v>Pendiente</v>
      </c>
    </row>
    <row r="235" spans="1:15" ht="61.95" customHeight="1">
      <c r="A235" s="17" t="s">
        <v>250</v>
      </c>
      <c r="B235" s="9" t="s">
        <v>108</v>
      </c>
      <c r="C235" s="9" t="s">
        <v>251</v>
      </c>
      <c r="D235" s="17"/>
      <c r="E235" s="9"/>
      <c r="F235" s="9" t="s">
        <v>24</v>
      </c>
      <c r="G235" s="9" t="s">
        <v>24</v>
      </c>
      <c r="H235" s="9" t="s">
        <v>2327</v>
      </c>
      <c r="I235" s="13" t="s">
        <v>692</v>
      </c>
      <c r="J235" s="19"/>
      <c r="K235" s="14"/>
      <c r="L235" s="14"/>
      <c r="M235" s="14"/>
      <c r="N235" s="22"/>
      <c r="O235" s="12" t="str">
        <f t="shared" si="3"/>
        <v>Pendiente</v>
      </c>
    </row>
    <row r="236" spans="1:15" ht="61.95" customHeight="1">
      <c r="A236" s="17" t="s">
        <v>264</v>
      </c>
      <c r="B236" s="9" t="s">
        <v>108</v>
      </c>
      <c r="C236" s="9" t="s">
        <v>265</v>
      </c>
      <c r="D236" s="17"/>
      <c r="E236" s="9"/>
      <c r="F236" s="9" t="s">
        <v>24</v>
      </c>
      <c r="G236" s="9" t="s">
        <v>24</v>
      </c>
      <c r="H236" s="9" t="s">
        <v>2327</v>
      </c>
      <c r="I236" s="13" t="s">
        <v>692</v>
      </c>
      <c r="J236" s="19"/>
      <c r="K236" s="14"/>
      <c r="L236" s="14"/>
      <c r="M236" s="14"/>
      <c r="N236" s="22"/>
      <c r="O236" s="12" t="str">
        <f t="shared" si="3"/>
        <v>Pendiente</v>
      </c>
    </row>
    <row r="237" spans="1:15" ht="61.95" customHeight="1">
      <c r="A237" s="17" t="s">
        <v>278</v>
      </c>
      <c r="B237" s="9" t="s">
        <v>108</v>
      </c>
      <c r="C237" s="9" t="s">
        <v>279</v>
      </c>
      <c r="D237" s="17"/>
      <c r="E237" s="9"/>
      <c r="F237" s="9" t="s">
        <v>24</v>
      </c>
      <c r="G237" s="9" t="s">
        <v>24</v>
      </c>
      <c r="H237" s="9" t="s">
        <v>2327</v>
      </c>
      <c r="I237" s="13" t="s">
        <v>692</v>
      </c>
      <c r="J237" s="19"/>
      <c r="K237" s="14"/>
      <c r="L237" s="14"/>
      <c r="M237" s="14"/>
      <c r="N237" s="22"/>
      <c r="O237" s="12" t="str">
        <f t="shared" si="3"/>
        <v>Pendiente</v>
      </c>
    </row>
    <row r="238" spans="1:15" ht="61.95" customHeight="1">
      <c r="A238" s="17" t="s">
        <v>282</v>
      </c>
      <c r="B238" s="9" t="s">
        <v>108</v>
      </c>
      <c r="C238" s="9" t="s">
        <v>283</v>
      </c>
      <c r="D238" s="17"/>
      <c r="E238" s="9"/>
      <c r="F238" s="9" t="s">
        <v>24</v>
      </c>
      <c r="G238" s="9" t="s">
        <v>24</v>
      </c>
      <c r="H238" s="9" t="s">
        <v>2327</v>
      </c>
      <c r="I238" s="13" t="s">
        <v>692</v>
      </c>
      <c r="J238" s="19"/>
      <c r="K238" s="14"/>
      <c r="L238" s="14"/>
      <c r="M238" s="14"/>
      <c r="N238" s="22"/>
      <c r="O238" s="12" t="str">
        <f t="shared" si="3"/>
        <v>Pendiente</v>
      </c>
    </row>
    <row r="239" spans="1:15" ht="61.95" customHeight="1">
      <c r="A239" s="17" t="s">
        <v>288</v>
      </c>
      <c r="B239" s="9" t="s">
        <v>108</v>
      </c>
      <c r="C239" s="9" t="s">
        <v>289</v>
      </c>
      <c r="D239" s="17"/>
      <c r="E239" s="9"/>
      <c r="F239" s="9" t="s">
        <v>24</v>
      </c>
      <c r="G239" s="9" t="s">
        <v>24</v>
      </c>
      <c r="H239" s="9" t="s">
        <v>2327</v>
      </c>
      <c r="I239" s="13" t="s">
        <v>692</v>
      </c>
      <c r="J239" s="19"/>
      <c r="K239" s="14"/>
      <c r="L239" s="14"/>
      <c r="M239" s="14"/>
      <c r="N239" s="22"/>
      <c r="O239" s="12" t="str">
        <f t="shared" si="3"/>
        <v>Pendiente</v>
      </c>
    </row>
    <row r="240" spans="1:15" ht="61.95" customHeight="1">
      <c r="A240" s="17" t="s">
        <v>294</v>
      </c>
      <c r="B240" s="9" t="s">
        <v>108</v>
      </c>
      <c r="C240" s="9" t="s">
        <v>295</v>
      </c>
      <c r="D240" s="17"/>
      <c r="E240" s="9"/>
      <c r="F240" s="9" t="s">
        <v>24</v>
      </c>
      <c r="G240" s="9" t="s">
        <v>24</v>
      </c>
      <c r="H240" s="9" t="s">
        <v>2327</v>
      </c>
      <c r="I240" s="13" t="s">
        <v>692</v>
      </c>
      <c r="J240" s="19"/>
      <c r="K240" s="14"/>
      <c r="L240" s="14"/>
      <c r="M240" s="14"/>
      <c r="N240" s="22"/>
      <c r="O240" s="12" t="str">
        <f t="shared" si="3"/>
        <v>Pendiente</v>
      </c>
    </row>
    <row r="241" spans="1:15" ht="61.95" customHeight="1">
      <c r="A241" s="17" t="s">
        <v>300</v>
      </c>
      <c r="B241" s="9" t="s">
        <v>108</v>
      </c>
      <c r="C241" s="9" t="s">
        <v>301</v>
      </c>
      <c r="D241" s="17"/>
      <c r="E241" s="9"/>
      <c r="F241" s="9" t="s">
        <v>24</v>
      </c>
      <c r="G241" s="9" t="s">
        <v>24</v>
      </c>
      <c r="H241" s="9" t="s">
        <v>2327</v>
      </c>
      <c r="I241" s="13" t="s">
        <v>692</v>
      </c>
      <c r="J241" s="19"/>
      <c r="K241" s="14"/>
      <c r="L241" s="14"/>
      <c r="M241" s="14"/>
      <c r="N241" s="22"/>
      <c r="O241" s="12" t="str">
        <f t="shared" si="3"/>
        <v>Pendiente</v>
      </c>
    </row>
    <row r="242" spans="1:15" ht="61.95" customHeight="1">
      <c r="A242" s="17" t="s">
        <v>312</v>
      </c>
      <c r="B242" s="9" t="s">
        <v>108</v>
      </c>
      <c r="C242" s="9" t="s">
        <v>313</v>
      </c>
      <c r="D242" s="17"/>
      <c r="E242" s="9"/>
      <c r="F242" s="9" t="s">
        <v>24</v>
      </c>
      <c r="G242" s="9" t="s">
        <v>24</v>
      </c>
      <c r="H242" s="9" t="s">
        <v>2327</v>
      </c>
      <c r="I242" s="13" t="s">
        <v>692</v>
      </c>
      <c r="J242" s="19"/>
      <c r="K242" s="14"/>
      <c r="L242" s="14"/>
      <c r="M242" s="14"/>
      <c r="N242" s="22"/>
      <c r="O242" s="12" t="str">
        <f t="shared" si="3"/>
        <v>Pendiente</v>
      </c>
    </row>
    <row r="243" spans="1:15" ht="61.95" customHeight="1">
      <c r="A243" s="17" t="s">
        <v>326</v>
      </c>
      <c r="B243" s="9" t="s">
        <v>108</v>
      </c>
      <c r="C243" s="9" t="s">
        <v>327</v>
      </c>
      <c r="D243" s="17"/>
      <c r="E243" s="9"/>
      <c r="F243" s="9" t="s">
        <v>24</v>
      </c>
      <c r="G243" s="9" t="s">
        <v>24</v>
      </c>
      <c r="H243" s="9" t="s">
        <v>2327</v>
      </c>
      <c r="I243" s="13" t="s">
        <v>692</v>
      </c>
      <c r="J243" s="19"/>
      <c r="K243" s="14"/>
      <c r="L243" s="14"/>
      <c r="M243" s="14"/>
      <c r="N243" s="22"/>
      <c r="O243" s="12" t="str">
        <f t="shared" si="3"/>
        <v>Pendiente</v>
      </c>
    </row>
    <row r="244" spans="1:15" ht="61.95" customHeight="1">
      <c r="A244" s="17" t="s">
        <v>330</v>
      </c>
      <c r="B244" s="9" t="s">
        <v>108</v>
      </c>
      <c r="C244" s="9" t="s">
        <v>331</v>
      </c>
      <c r="D244" s="17"/>
      <c r="E244" s="9"/>
      <c r="F244" s="9" t="s">
        <v>24</v>
      </c>
      <c r="G244" s="9" t="s">
        <v>24</v>
      </c>
      <c r="H244" s="9" t="s">
        <v>2327</v>
      </c>
      <c r="I244" s="13" t="s">
        <v>692</v>
      </c>
      <c r="J244" s="19"/>
      <c r="K244" s="14"/>
      <c r="L244" s="14"/>
      <c r="M244" s="14"/>
      <c r="N244" s="22"/>
      <c r="O244" s="12" t="str">
        <f t="shared" si="3"/>
        <v>Pendiente</v>
      </c>
    </row>
    <row r="245" spans="1:15" ht="61.95" customHeight="1">
      <c r="A245" s="17" t="s">
        <v>334</v>
      </c>
      <c r="B245" s="9" t="s">
        <v>108</v>
      </c>
      <c r="C245" s="9" t="s">
        <v>335</v>
      </c>
      <c r="D245" s="17"/>
      <c r="E245" s="9"/>
      <c r="F245" s="9" t="s">
        <v>24</v>
      </c>
      <c r="G245" s="9" t="s">
        <v>24</v>
      </c>
      <c r="H245" s="9" t="s">
        <v>2327</v>
      </c>
      <c r="I245" s="13" t="s">
        <v>692</v>
      </c>
      <c r="J245" s="19"/>
      <c r="K245" s="14"/>
      <c r="L245" s="14"/>
      <c r="M245" s="14"/>
      <c r="N245" s="22"/>
      <c r="O245" s="12" t="str">
        <f t="shared" si="3"/>
        <v>Pendiente</v>
      </c>
    </row>
    <row r="246" spans="1:15" ht="61.95" customHeight="1">
      <c r="A246" s="17" t="s">
        <v>338</v>
      </c>
      <c r="B246" s="9" t="s">
        <v>108</v>
      </c>
      <c r="C246" s="9" t="s">
        <v>339</v>
      </c>
      <c r="D246" s="17"/>
      <c r="E246" s="9"/>
      <c r="F246" s="9" t="s">
        <v>24</v>
      </c>
      <c r="G246" s="9" t="s">
        <v>24</v>
      </c>
      <c r="H246" s="9" t="s">
        <v>2332</v>
      </c>
      <c r="I246" s="13" t="s">
        <v>692</v>
      </c>
      <c r="J246" s="19"/>
      <c r="K246" s="14"/>
      <c r="L246" s="14"/>
      <c r="M246" s="14"/>
      <c r="N246" s="22"/>
      <c r="O246" s="12" t="str">
        <f t="shared" si="3"/>
        <v>Pendiente</v>
      </c>
    </row>
    <row r="247" spans="1:15" ht="61.95" customHeight="1">
      <c r="A247" s="17" t="s">
        <v>344</v>
      </c>
      <c r="B247" s="9" t="s">
        <v>108</v>
      </c>
      <c r="C247" s="9" t="s">
        <v>345</v>
      </c>
      <c r="D247" s="17"/>
      <c r="E247" s="9"/>
      <c r="F247" s="9" t="s">
        <v>24</v>
      </c>
      <c r="G247" s="9" t="s">
        <v>24</v>
      </c>
      <c r="H247" s="9" t="s">
        <v>2327</v>
      </c>
      <c r="I247" s="13" t="s">
        <v>692</v>
      </c>
      <c r="J247" s="19"/>
      <c r="K247" s="14"/>
      <c r="L247" s="14"/>
      <c r="M247" s="14"/>
      <c r="N247" s="22"/>
      <c r="O247" s="12" t="str">
        <f t="shared" si="3"/>
        <v>Pendiente</v>
      </c>
    </row>
    <row r="248" spans="1:15" ht="61.95" customHeight="1">
      <c r="A248" s="17" t="s">
        <v>348</v>
      </c>
      <c r="B248" s="9" t="s">
        <v>108</v>
      </c>
      <c r="C248" s="9" t="s">
        <v>349</v>
      </c>
      <c r="D248" s="17"/>
      <c r="E248" s="9"/>
      <c r="F248" s="9" t="s">
        <v>24</v>
      </c>
      <c r="G248" s="9" t="s">
        <v>24</v>
      </c>
      <c r="H248" s="9" t="s">
        <v>2327</v>
      </c>
      <c r="I248" s="13" t="s">
        <v>692</v>
      </c>
      <c r="J248" s="19"/>
      <c r="K248" s="14"/>
      <c r="L248" s="14"/>
      <c r="M248" s="14"/>
      <c r="N248" s="22"/>
      <c r="O248" s="12" t="str">
        <f t="shared" si="3"/>
        <v>Pendiente</v>
      </c>
    </row>
    <row r="249" spans="1:15" ht="61.95" customHeight="1">
      <c r="A249" s="17" t="s">
        <v>350</v>
      </c>
      <c r="B249" s="9" t="s">
        <v>108</v>
      </c>
      <c r="C249" s="9" t="s">
        <v>351</v>
      </c>
      <c r="D249" s="17"/>
      <c r="E249" s="9"/>
      <c r="F249" s="9" t="s">
        <v>24</v>
      </c>
      <c r="G249" s="9" t="s">
        <v>24</v>
      </c>
      <c r="H249" s="9" t="s">
        <v>2327</v>
      </c>
      <c r="I249" s="13" t="s">
        <v>692</v>
      </c>
      <c r="J249" s="19"/>
      <c r="K249" s="14"/>
      <c r="L249" s="14"/>
      <c r="M249" s="14"/>
      <c r="N249" s="22"/>
      <c r="O249" s="12" t="str">
        <f t="shared" si="3"/>
        <v>Pendiente</v>
      </c>
    </row>
    <row r="250" spans="1:15" ht="61.95" customHeight="1">
      <c r="A250" s="17" t="s">
        <v>421</v>
      </c>
      <c r="B250" s="9" t="s">
        <v>357</v>
      </c>
      <c r="C250" s="9" t="s">
        <v>422</v>
      </c>
      <c r="D250" s="17"/>
      <c r="E250" s="9"/>
      <c r="F250" s="9" t="s">
        <v>24</v>
      </c>
      <c r="G250" s="9" t="s">
        <v>24</v>
      </c>
      <c r="H250" s="9" t="s">
        <v>2327</v>
      </c>
      <c r="I250" s="13" t="s">
        <v>692</v>
      </c>
      <c r="J250" s="19"/>
      <c r="K250" s="14"/>
      <c r="L250" s="14"/>
      <c r="M250" s="14"/>
      <c r="N250" s="22"/>
      <c r="O250" s="12" t="str">
        <f t="shared" si="3"/>
        <v>Pendiente</v>
      </c>
    </row>
    <row r="251" spans="1:15" ht="61.95" customHeight="1">
      <c r="A251" s="17" t="s">
        <v>423</v>
      </c>
      <c r="B251" s="9" t="s">
        <v>357</v>
      </c>
      <c r="C251" s="9" t="s">
        <v>424</v>
      </c>
      <c r="D251" s="17"/>
      <c r="E251" s="9"/>
      <c r="F251" s="9" t="s">
        <v>24</v>
      </c>
      <c r="G251" s="9" t="s">
        <v>24</v>
      </c>
      <c r="H251" s="9" t="s">
        <v>2327</v>
      </c>
      <c r="I251" s="13" t="s">
        <v>692</v>
      </c>
      <c r="J251" s="19"/>
      <c r="K251" s="14"/>
      <c r="L251" s="14"/>
      <c r="M251" s="14"/>
      <c r="N251" s="22"/>
      <c r="O251" s="12" t="str">
        <f t="shared" si="3"/>
        <v>Pendiente</v>
      </c>
    </row>
    <row r="252" spans="1:15" ht="61.95" customHeight="1">
      <c r="A252" s="17" t="s">
        <v>449</v>
      </c>
      <c r="B252" s="9" t="s">
        <v>357</v>
      </c>
      <c r="C252" s="9" t="s">
        <v>450</v>
      </c>
      <c r="D252" s="17"/>
      <c r="E252" s="9"/>
      <c r="F252" s="9" t="s">
        <v>24</v>
      </c>
      <c r="G252" s="9" t="s">
        <v>24</v>
      </c>
      <c r="H252" s="9" t="s">
        <v>2327</v>
      </c>
      <c r="I252" s="13" t="s">
        <v>692</v>
      </c>
      <c r="J252" s="19"/>
      <c r="K252" s="14"/>
      <c r="L252" s="14"/>
      <c r="M252" s="14"/>
      <c r="N252" s="22"/>
      <c r="O252" s="12" t="str">
        <f t="shared" si="3"/>
        <v>Pendiente</v>
      </c>
    </row>
    <row r="253" spans="1:15" ht="61.95" customHeight="1">
      <c r="A253" s="17" t="s">
        <v>451</v>
      </c>
      <c r="B253" s="9" t="s">
        <v>357</v>
      </c>
      <c r="C253" s="9" t="s">
        <v>452</v>
      </c>
      <c r="D253" s="17"/>
      <c r="E253" s="9"/>
      <c r="F253" s="9" t="s">
        <v>24</v>
      </c>
      <c r="G253" s="9" t="s">
        <v>24</v>
      </c>
      <c r="H253" s="9" t="s">
        <v>2327</v>
      </c>
      <c r="I253" s="13" t="s">
        <v>692</v>
      </c>
      <c r="J253" s="19"/>
      <c r="K253" s="14"/>
      <c r="L253" s="14"/>
      <c r="M253" s="14"/>
      <c r="N253" s="22"/>
      <c r="O253" s="12" t="str">
        <f t="shared" si="3"/>
        <v>Pendiente</v>
      </c>
    </row>
    <row r="254" spans="1:15" ht="61.95" customHeight="1">
      <c r="A254" s="17" t="s">
        <v>463</v>
      </c>
      <c r="B254" s="9" t="s">
        <v>464</v>
      </c>
      <c r="C254" s="9" t="s">
        <v>465</v>
      </c>
      <c r="D254" s="17"/>
      <c r="E254" s="9"/>
      <c r="F254" s="9" t="s">
        <v>24</v>
      </c>
      <c r="G254" s="9" t="s">
        <v>24</v>
      </c>
      <c r="H254" s="9" t="s">
        <v>2327</v>
      </c>
      <c r="I254" s="13" t="s">
        <v>692</v>
      </c>
      <c r="J254" s="19"/>
      <c r="K254" s="14"/>
      <c r="L254" s="14"/>
      <c r="M254" s="14"/>
      <c r="N254" s="22"/>
      <c r="O254" s="12" t="str">
        <f t="shared" si="3"/>
        <v>Pendiente</v>
      </c>
    </row>
    <row r="255" spans="1:15" ht="61.95" customHeight="1">
      <c r="A255" s="17" t="s">
        <v>466</v>
      </c>
      <c r="B255" s="9" t="s">
        <v>464</v>
      </c>
      <c r="C255" s="9" t="s">
        <v>467</v>
      </c>
      <c r="D255" s="17"/>
      <c r="E255" s="9"/>
      <c r="F255" s="9" t="s">
        <v>24</v>
      </c>
      <c r="G255" s="9" t="s">
        <v>24</v>
      </c>
      <c r="H255" s="9" t="s">
        <v>2327</v>
      </c>
      <c r="I255" s="13" t="s">
        <v>692</v>
      </c>
      <c r="J255" s="19"/>
      <c r="K255" s="14"/>
      <c r="L255" s="14"/>
      <c r="M255" s="14"/>
      <c r="N255" s="22"/>
      <c r="O255" s="12" t="str">
        <f t="shared" si="3"/>
        <v>Pendiente</v>
      </c>
    </row>
    <row r="256" spans="1:15" ht="61.95" customHeight="1">
      <c r="A256" s="17" t="s">
        <v>468</v>
      </c>
      <c r="B256" s="9" t="s">
        <v>464</v>
      </c>
      <c r="C256" s="9" t="s">
        <v>469</v>
      </c>
      <c r="D256" s="17"/>
      <c r="E256" s="9"/>
      <c r="F256" s="9" t="s">
        <v>24</v>
      </c>
      <c r="G256" s="9" t="s">
        <v>24</v>
      </c>
      <c r="H256" s="9" t="s">
        <v>2327</v>
      </c>
      <c r="I256" s="13" t="s">
        <v>692</v>
      </c>
      <c r="J256" s="19"/>
      <c r="K256" s="14"/>
      <c r="L256" s="14"/>
      <c r="M256" s="14"/>
      <c r="N256" s="22"/>
      <c r="O256" s="12" t="str">
        <f t="shared" si="3"/>
        <v>Pendiente</v>
      </c>
    </row>
    <row r="257" spans="1:15" ht="61.95" customHeight="1">
      <c r="A257" s="17" t="s">
        <v>470</v>
      </c>
      <c r="B257" s="9" t="s">
        <v>464</v>
      </c>
      <c r="C257" s="9" t="s">
        <v>471</v>
      </c>
      <c r="D257" s="17"/>
      <c r="E257" s="9"/>
      <c r="F257" s="9" t="s">
        <v>24</v>
      </c>
      <c r="G257" s="9" t="s">
        <v>24</v>
      </c>
      <c r="H257" s="9" t="s">
        <v>2327</v>
      </c>
      <c r="I257" s="13" t="s">
        <v>692</v>
      </c>
      <c r="J257" s="19"/>
      <c r="K257" s="14"/>
      <c r="L257" s="14"/>
      <c r="M257" s="14"/>
      <c r="N257" s="22"/>
      <c r="O257" s="12" t="str">
        <f t="shared" si="3"/>
        <v>Pendiente</v>
      </c>
    </row>
    <row r="258" spans="1:15" ht="61.95" customHeight="1">
      <c r="A258" s="17" t="s">
        <v>476</v>
      </c>
      <c r="B258" s="9" t="s">
        <v>464</v>
      </c>
      <c r="C258" s="9" t="s">
        <v>477</v>
      </c>
      <c r="D258" s="17"/>
      <c r="E258" s="9"/>
      <c r="F258" s="9" t="s">
        <v>24</v>
      </c>
      <c r="G258" s="9" t="s">
        <v>24</v>
      </c>
      <c r="H258" s="9" t="s">
        <v>2327</v>
      </c>
      <c r="I258" s="13" t="s">
        <v>692</v>
      </c>
      <c r="J258" s="19"/>
      <c r="K258" s="14"/>
      <c r="L258" s="14"/>
      <c r="M258" s="14"/>
      <c r="N258" s="22"/>
      <c r="O258" s="12" t="str">
        <f t="shared" si="3"/>
        <v>Pendiente</v>
      </c>
    </row>
    <row r="259" spans="1:15" ht="61.95" customHeight="1">
      <c r="A259" s="17" t="s">
        <v>478</v>
      </c>
      <c r="B259" s="9" t="s">
        <v>464</v>
      </c>
      <c r="C259" s="9" t="s">
        <v>479</v>
      </c>
      <c r="D259" s="17"/>
      <c r="E259" s="9"/>
      <c r="F259" s="9" t="s">
        <v>24</v>
      </c>
      <c r="G259" s="9" t="s">
        <v>24</v>
      </c>
      <c r="H259" s="9" t="s">
        <v>2327</v>
      </c>
      <c r="I259" s="13" t="s">
        <v>692</v>
      </c>
      <c r="J259" s="19"/>
      <c r="K259" s="14"/>
      <c r="L259" s="14"/>
      <c r="M259" s="14"/>
      <c r="N259" s="22"/>
      <c r="O259" s="12" t="str">
        <f t="shared" si="3"/>
        <v>Pendiente</v>
      </c>
    </row>
    <row r="260" spans="1:15" ht="61.95" customHeight="1">
      <c r="A260" s="17" t="s">
        <v>480</v>
      </c>
      <c r="B260" s="9" t="s">
        <v>464</v>
      </c>
      <c r="C260" s="9" t="s">
        <v>481</v>
      </c>
      <c r="D260" s="17"/>
      <c r="E260" s="9"/>
      <c r="F260" s="9" t="s">
        <v>24</v>
      </c>
      <c r="G260" s="9" t="s">
        <v>24</v>
      </c>
      <c r="H260" s="9" t="s">
        <v>2327</v>
      </c>
      <c r="I260" s="13" t="s">
        <v>692</v>
      </c>
      <c r="J260" s="19"/>
      <c r="K260" s="14"/>
      <c r="L260" s="14"/>
      <c r="M260" s="14"/>
      <c r="N260" s="22"/>
      <c r="O260" s="12" t="str">
        <f t="shared" si="3"/>
        <v>Pendiente</v>
      </c>
    </row>
    <row r="261" spans="1:15" ht="61.95" customHeight="1">
      <c r="A261" s="17" t="s">
        <v>482</v>
      </c>
      <c r="B261" s="9" t="s">
        <v>464</v>
      </c>
      <c r="C261" s="9" t="s">
        <v>483</v>
      </c>
      <c r="D261" s="17"/>
      <c r="E261" s="9"/>
      <c r="F261" s="9" t="s">
        <v>24</v>
      </c>
      <c r="G261" s="9" t="s">
        <v>24</v>
      </c>
      <c r="H261" s="9" t="s">
        <v>2327</v>
      </c>
      <c r="I261" s="13" t="s">
        <v>692</v>
      </c>
      <c r="J261" s="19"/>
      <c r="K261" s="14"/>
      <c r="L261" s="14"/>
      <c r="M261" s="14"/>
      <c r="N261" s="22"/>
      <c r="O261" s="12" t="str">
        <f t="shared" si="3"/>
        <v>Pendiente</v>
      </c>
    </row>
    <row r="262" spans="1:15" ht="49.95" customHeight="1">
      <c r="A262" s="17" t="s">
        <v>484</v>
      </c>
      <c r="B262" s="9" t="s">
        <v>464</v>
      </c>
      <c r="C262" s="9" t="s">
        <v>485</v>
      </c>
      <c r="D262" s="17"/>
      <c r="E262" s="9"/>
      <c r="F262" s="9" t="s">
        <v>24</v>
      </c>
      <c r="G262" s="9" t="s">
        <v>24</v>
      </c>
      <c r="H262" s="9" t="s">
        <v>2333</v>
      </c>
      <c r="I262" s="13" t="s">
        <v>692</v>
      </c>
      <c r="J262" s="19"/>
      <c r="K262" s="14"/>
      <c r="L262" s="14"/>
      <c r="M262" s="14"/>
      <c r="N262" s="22"/>
      <c r="O262" s="12" t="str">
        <f t="shared" si="3"/>
        <v>Pendiente</v>
      </c>
    </row>
    <row r="263" spans="1:15" ht="49.95" customHeight="1">
      <c r="A263" s="17" t="s">
        <v>486</v>
      </c>
      <c r="B263" s="9" t="s">
        <v>464</v>
      </c>
      <c r="C263" s="9" t="s">
        <v>487</v>
      </c>
      <c r="D263" s="17"/>
      <c r="E263" s="9"/>
      <c r="F263" s="9" t="s">
        <v>24</v>
      </c>
      <c r="G263" s="9" t="s">
        <v>24</v>
      </c>
      <c r="H263" s="9" t="s">
        <v>2334</v>
      </c>
      <c r="I263" s="13" t="s">
        <v>692</v>
      </c>
      <c r="J263" s="19"/>
      <c r="K263" s="14"/>
      <c r="L263" s="14"/>
      <c r="M263" s="14"/>
      <c r="N263" s="22"/>
      <c r="O263" s="12" t="str">
        <f t="shared" si="3"/>
        <v>Pendiente</v>
      </c>
    </row>
    <row r="264" spans="1:15" ht="61.95" customHeight="1">
      <c r="A264" s="17" t="s">
        <v>488</v>
      </c>
      <c r="B264" s="9" t="s">
        <v>464</v>
      </c>
      <c r="C264" s="9" t="s">
        <v>489</v>
      </c>
      <c r="D264" s="17"/>
      <c r="E264" s="9"/>
      <c r="F264" s="9" t="s">
        <v>24</v>
      </c>
      <c r="G264" s="9" t="s">
        <v>24</v>
      </c>
      <c r="H264" s="9" t="s">
        <v>2327</v>
      </c>
      <c r="I264" s="13" t="s">
        <v>692</v>
      </c>
      <c r="J264" s="19"/>
      <c r="K264" s="14"/>
      <c r="L264" s="14"/>
      <c r="M264" s="14"/>
      <c r="N264" s="22"/>
      <c r="O264" s="12" t="str">
        <f t="shared" ref="O264:O291" si="4">IF(I264="Pendiente","Pendiente",IF(I264="Equivalente confirmado",IF(OR(J264="",K264=""),"Falta código o nombre",IF(OR(L264="",M264=""),"Falta validación",IF(OR(NOT(ISNUMBER(N264)),N264&lt;=0),"Falta fecha","Homologado"))),IF(I264="Sin equivalente en AVAIN",IF(OR(J264&lt;&gt;"",K264&lt;&gt;""),"Quitar código y nombre",IF(OR(L264="",M264=""),"Falta validación",IF(OR(NOT(ISNUMBER(N264)),N264&lt;=0),"Falta fecha","Sin equivalente confirmado"))),"Revisar decisión")))</f>
        <v>Pendiente</v>
      </c>
    </row>
    <row r="265" spans="1:15" ht="61.95" customHeight="1">
      <c r="A265" s="17" t="s">
        <v>490</v>
      </c>
      <c r="B265" s="9" t="s">
        <v>464</v>
      </c>
      <c r="C265" s="9" t="s">
        <v>491</v>
      </c>
      <c r="D265" s="17"/>
      <c r="E265" s="9"/>
      <c r="F265" s="9" t="s">
        <v>24</v>
      </c>
      <c r="G265" s="9" t="s">
        <v>24</v>
      </c>
      <c r="H265" s="9" t="s">
        <v>2327</v>
      </c>
      <c r="I265" s="13" t="s">
        <v>692</v>
      </c>
      <c r="J265" s="19"/>
      <c r="K265" s="14"/>
      <c r="L265" s="14"/>
      <c r="M265" s="14"/>
      <c r="N265" s="22"/>
      <c r="O265" s="12" t="str">
        <f t="shared" si="4"/>
        <v>Pendiente</v>
      </c>
    </row>
    <row r="266" spans="1:15" ht="61.95" customHeight="1">
      <c r="A266" s="17" t="s">
        <v>492</v>
      </c>
      <c r="B266" s="9" t="s">
        <v>464</v>
      </c>
      <c r="C266" s="9" t="s">
        <v>493</v>
      </c>
      <c r="D266" s="17"/>
      <c r="E266" s="9"/>
      <c r="F266" s="9" t="s">
        <v>24</v>
      </c>
      <c r="G266" s="9" t="s">
        <v>24</v>
      </c>
      <c r="H266" s="9" t="s">
        <v>2327</v>
      </c>
      <c r="I266" s="13" t="s">
        <v>692</v>
      </c>
      <c r="J266" s="19"/>
      <c r="K266" s="14"/>
      <c r="L266" s="14"/>
      <c r="M266" s="14"/>
      <c r="N266" s="22"/>
      <c r="O266" s="12" t="str">
        <f t="shared" si="4"/>
        <v>Pendiente</v>
      </c>
    </row>
    <row r="267" spans="1:15" ht="61.95" customHeight="1">
      <c r="A267" s="17" t="s">
        <v>496</v>
      </c>
      <c r="B267" s="9" t="s">
        <v>464</v>
      </c>
      <c r="C267" s="9" t="s">
        <v>497</v>
      </c>
      <c r="D267" s="17"/>
      <c r="E267" s="9"/>
      <c r="F267" s="9" t="s">
        <v>24</v>
      </c>
      <c r="G267" s="9" t="s">
        <v>24</v>
      </c>
      <c r="H267" s="9" t="s">
        <v>2327</v>
      </c>
      <c r="I267" s="13" t="s">
        <v>692</v>
      </c>
      <c r="J267" s="19"/>
      <c r="K267" s="14"/>
      <c r="L267" s="14"/>
      <c r="M267" s="14"/>
      <c r="N267" s="22"/>
      <c r="O267" s="12" t="str">
        <f t="shared" si="4"/>
        <v>Pendiente</v>
      </c>
    </row>
    <row r="268" spans="1:15" ht="61.95" customHeight="1">
      <c r="A268" s="17" t="s">
        <v>502</v>
      </c>
      <c r="B268" s="9" t="s">
        <v>464</v>
      </c>
      <c r="C268" s="9" t="s">
        <v>503</v>
      </c>
      <c r="D268" s="17"/>
      <c r="E268" s="9"/>
      <c r="F268" s="9" t="s">
        <v>24</v>
      </c>
      <c r="G268" s="9" t="s">
        <v>24</v>
      </c>
      <c r="H268" s="9" t="s">
        <v>2327</v>
      </c>
      <c r="I268" s="13" t="s">
        <v>692</v>
      </c>
      <c r="J268" s="19"/>
      <c r="K268" s="14"/>
      <c r="L268" s="14"/>
      <c r="M268" s="14"/>
      <c r="N268" s="22"/>
      <c r="O268" s="12" t="str">
        <f t="shared" si="4"/>
        <v>Pendiente</v>
      </c>
    </row>
    <row r="269" spans="1:15" ht="61.95" customHeight="1">
      <c r="A269" s="17" t="s">
        <v>504</v>
      </c>
      <c r="B269" s="9" t="s">
        <v>464</v>
      </c>
      <c r="C269" s="9" t="s">
        <v>505</v>
      </c>
      <c r="D269" s="17"/>
      <c r="E269" s="9"/>
      <c r="F269" s="9" t="s">
        <v>24</v>
      </c>
      <c r="G269" s="9" t="s">
        <v>24</v>
      </c>
      <c r="H269" s="9" t="s">
        <v>2327</v>
      </c>
      <c r="I269" s="13" t="s">
        <v>692</v>
      </c>
      <c r="J269" s="19"/>
      <c r="K269" s="14"/>
      <c r="L269" s="14"/>
      <c r="M269" s="14"/>
      <c r="N269" s="22"/>
      <c r="O269" s="12" t="str">
        <f t="shared" si="4"/>
        <v>Pendiente</v>
      </c>
    </row>
    <row r="270" spans="1:15" ht="61.95" customHeight="1">
      <c r="A270" s="17" t="s">
        <v>510</v>
      </c>
      <c r="B270" s="9" t="s">
        <v>464</v>
      </c>
      <c r="C270" s="9" t="s">
        <v>511</v>
      </c>
      <c r="D270" s="17"/>
      <c r="E270" s="9"/>
      <c r="F270" s="9" t="s">
        <v>24</v>
      </c>
      <c r="G270" s="9" t="s">
        <v>24</v>
      </c>
      <c r="H270" s="9" t="s">
        <v>2327</v>
      </c>
      <c r="I270" s="13" t="s">
        <v>692</v>
      </c>
      <c r="J270" s="19"/>
      <c r="K270" s="14"/>
      <c r="L270" s="14"/>
      <c r="M270" s="14"/>
      <c r="N270" s="22"/>
      <c r="O270" s="12" t="str">
        <f t="shared" si="4"/>
        <v>Pendiente</v>
      </c>
    </row>
    <row r="271" spans="1:15" ht="61.95" customHeight="1">
      <c r="A271" s="17" t="s">
        <v>514</v>
      </c>
      <c r="B271" s="9" t="s">
        <v>464</v>
      </c>
      <c r="C271" s="9" t="s">
        <v>515</v>
      </c>
      <c r="D271" s="17"/>
      <c r="E271" s="9"/>
      <c r="F271" s="9" t="s">
        <v>24</v>
      </c>
      <c r="G271" s="9" t="s">
        <v>24</v>
      </c>
      <c r="H271" s="9" t="s">
        <v>2327</v>
      </c>
      <c r="I271" s="13" t="s">
        <v>692</v>
      </c>
      <c r="J271" s="19"/>
      <c r="K271" s="14"/>
      <c r="L271" s="14"/>
      <c r="M271" s="14"/>
      <c r="N271" s="22"/>
      <c r="O271" s="12" t="str">
        <f t="shared" si="4"/>
        <v>Pendiente</v>
      </c>
    </row>
    <row r="272" spans="1:15" ht="61.95" customHeight="1">
      <c r="A272" s="17" t="s">
        <v>516</v>
      </c>
      <c r="B272" s="9" t="s">
        <v>464</v>
      </c>
      <c r="C272" s="9" t="s">
        <v>517</v>
      </c>
      <c r="D272" s="17"/>
      <c r="E272" s="9"/>
      <c r="F272" s="9" t="s">
        <v>24</v>
      </c>
      <c r="G272" s="9" t="s">
        <v>24</v>
      </c>
      <c r="H272" s="9" t="s">
        <v>2327</v>
      </c>
      <c r="I272" s="13" t="s">
        <v>692</v>
      </c>
      <c r="J272" s="19"/>
      <c r="K272" s="14"/>
      <c r="L272" s="14"/>
      <c r="M272" s="14"/>
      <c r="N272" s="22"/>
      <c r="O272" s="12" t="str">
        <f t="shared" si="4"/>
        <v>Pendiente</v>
      </c>
    </row>
    <row r="273" spans="1:15" ht="61.95" customHeight="1">
      <c r="A273" s="17" t="s">
        <v>518</v>
      </c>
      <c r="B273" s="9" t="s">
        <v>464</v>
      </c>
      <c r="C273" s="9" t="s">
        <v>519</v>
      </c>
      <c r="D273" s="17"/>
      <c r="E273" s="9"/>
      <c r="F273" s="9" t="s">
        <v>24</v>
      </c>
      <c r="G273" s="9" t="s">
        <v>24</v>
      </c>
      <c r="H273" s="9" t="s">
        <v>2327</v>
      </c>
      <c r="I273" s="13" t="s">
        <v>692</v>
      </c>
      <c r="J273" s="19"/>
      <c r="K273" s="14"/>
      <c r="L273" s="14"/>
      <c r="M273" s="14"/>
      <c r="N273" s="22"/>
      <c r="O273" s="12" t="str">
        <f t="shared" si="4"/>
        <v>Pendiente</v>
      </c>
    </row>
    <row r="274" spans="1:15" ht="61.95" customHeight="1">
      <c r="A274" s="17" t="s">
        <v>522</v>
      </c>
      <c r="B274" s="9" t="s">
        <v>464</v>
      </c>
      <c r="C274" s="9" t="s">
        <v>523</v>
      </c>
      <c r="D274" s="17"/>
      <c r="E274" s="9"/>
      <c r="F274" s="9" t="s">
        <v>24</v>
      </c>
      <c r="G274" s="9" t="s">
        <v>24</v>
      </c>
      <c r="H274" s="9" t="s">
        <v>2327</v>
      </c>
      <c r="I274" s="13" t="s">
        <v>692</v>
      </c>
      <c r="J274" s="19"/>
      <c r="K274" s="14"/>
      <c r="L274" s="14"/>
      <c r="M274" s="14"/>
      <c r="N274" s="22"/>
      <c r="O274" s="12" t="str">
        <f t="shared" si="4"/>
        <v>Pendiente</v>
      </c>
    </row>
    <row r="275" spans="1:15" ht="61.95" customHeight="1">
      <c r="A275" s="17" t="s">
        <v>530</v>
      </c>
      <c r="B275" s="9" t="s">
        <v>464</v>
      </c>
      <c r="C275" s="9" t="s">
        <v>531</v>
      </c>
      <c r="D275" s="17"/>
      <c r="E275" s="9"/>
      <c r="F275" s="9" t="s">
        <v>24</v>
      </c>
      <c r="G275" s="9" t="s">
        <v>24</v>
      </c>
      <c r="H275" s="9" t="s">
        <v>2327</v>
      </c>
      <c r="I275" s="13" t="s">
        <v>692</v>
      </c>
      <c r="J275" s="19"/>
      <c r="K275" s="14"/>
      <c r="L275" s="14"/>
      <c r="M275" s="14"/>
      <c r="N275" s="22"/>
      <c r="O275" s="12" t="str">
        <f t="shared" si="4"/>
        <v>Pendiente</v>
      </c>
    </row>
    <row r="276" spans="1:15" ht="61.95" customHeight="1">
      <c r="A276" s="17" t="s">
        <v>532</v>
      </c>
      <c r="B276" s="9" t="s">
        <v>464</v>
      </c>
      <c r="C276" s="9" t="s">
        <v>533</v>
      </c>
      <c r="D276" s="17"/>
      <c r="E276" s="9"/>
      <c r="F276" s="9" t="s">
        <v>24</v>
      </c>
      <c r="G276" s="9" t="s">
        <v>24</v>
      </c>
      <c r="H276" s="9" t="s">
        <v>2327</v>
      </c>
      <c r="I276" s="13" t="s">
        <v>692</v>
      </c>
      <c r="J276" s="19"/>
      <c r="K276" s="14"/>
      <c r="L276" s="14"/>
      <c r="M276" s="14"/>
      <c r="N276" s="22"/>
      <c r="O276" s="12" t="str">
        <f t="shared" si="4"/>
        <v>Pendiente</v>
      </c>
    </row>
    <row r="277" spans="1:15" ht="61.95" customHeight="1">
      <c r="A277" s="17" t="s">
        <v>534</v>
      </c>
      <c r="B277" s="9" t="s">
        <v>464</v>
      </c>
      <c r="C277" s="9" t="s">
        <v>535</v>
      </c>
      <c r="D277" s="17"/>
      <c r="E277" s="9"/>
      <c r="F277" s="9" t="s">
        <v>24</v>
      </c>
      <c r="G277" s="9" t="s">
        <v>24</v>
      </c>
      <c r="H277" s="9" t="s">
        <v>2327</v>
      </c>
      <c r="I277" s="13" t="s">
        <v>692</v>
      </c>
      <c r="J277" s="19"/>
      <c r="K277" s="14"/>
      <c r="L277" s="14"/>
      <c r="M277" s="14"/>
      <c r="N277" s="22"/>
      <c r="O277" s="12" t="str">
        <f t="shared" si="4"/>
        <v>Pendiente</v>
      </c>
    </row>
    <row r="278" spans="1:15" ht="61.95" customHeight="1">
      <c r="A278" s="17" t="s">
        <v>549</v>
      </c>
      <c r="B278" s="9" t="s">
        <v>537</v>
      </c>
      <c r="C278" s="9" t="s">
        <v>550</v>
      </c>
      <c r="D278" s="17"/>
      <c r="E278" s="9"/>
      <c r="F278" s="9" t="s">
        <v>24</v>
      </c>
      <c r="G278" s="9" t="s">
        <v>24</v>
      </c>
      <c r="H278" s="9" t="s">
        <v>2327</v>
      </c>
      <c r="I278" s="13" t="s">
        <v>692</v>
      </c>
      <c r="J278" s="19"/>
      <c r="K278" s="14"/>
      <c r="L278" s="14"/>
      <c r="M278" s="14"/>
      <c r="N278" s="22"/>
      <c r="O278" s="12" t="str">
        <f t="shared" si="4"/>
        <v>Pendiente</v>
      </c>
    </row>
    <row r="279" spans="1:15" ht="61.95" customHeight="1">
      <c r="A279" s="17" t="s">
        <v>553</v>
      </c>
      <c r="B279" s="9" t="s">
        <v>537</v>
      </c>
      <c r="C279" s="9" t="s">
        <v>511</v>
      </c>
      <c r="D279" s="17"/>
      <c r="E279" s="9"/>
      <c r="F279" s="9" t="s">
        <v>24</v>
      </c>
      <c r="G279" s="9" t="s">
        <v>24</v>
      </c>
      <c r="H279" s="9" t="s">
        <v>2327</v>
      </c>
      <c r="I279" s="13" t="s">
        <v>692</v>
      </c>
      <c r="J279" s="19"/>
      <c r="K279" s="14"/>
      <c r="L279" s="14"/>
      <c r="M279" s="14"/>
      <c r="N279" s="22"/>
      <c r="O279" s="12" t="str">
        <f t="shared" si="4"/>
        <v>Pendiente</v>
      </c>
    </row>
    <row r="280" spans="1:15" ht="61.95" customHeight="1">
      <c r="A280" s="17" t="s">
        <v>554</v>
      </c>
      <c r="B280" s="9" t="s">
        <v>537</v>
      </c>
      <c r="C280" s="9" t="s">
        <v>555</v>
      </c>
      <c r="D280" s="17"/>
      <c r="E280" s="9"/>
      <c r="F280" s="9" t="s">
        <v>24</v>
      </c>
      <c r="G280" s="9" t="s">
        <v>24</v>
      </c>
      <c r="H280" s="9" t="s">
        <v>2327</v>
      </c>
      <c r="I280" s="13" t="s">
        <v>692</v>
      </c>
      <c r="J280" s="19"/>
      <c r="K280" s="14"/>
      <c r="L280" s="14"/>
      <c r="M280" s="14"/>
      <c r="N280" s="22"/>
      <c r="O280" s="12" t="str">
        <f t="shared" si="4"/>
        <v>Pendiente</v>
      </c>
    </row>
    <row r="281" spans="1:15" ht="49.95" customHeight="1">
      <c r="A281" s="17" t="s">
        <v>558</v>
      </c>
      <c r="B281" s="9" t="s">
        <v>537</v>
      </c>
      <c r="C281" s="9" t="s">
        <v>559</v>
      </c>
      <c r="D281" s="17"/>
      <c r="E281" s="9"/>
      <c r="F281" s="9" t="s">
        <v>24</v>
      </c>
      <c r="G281" s="9" t="s">
        <v>24</v>
      </c>
      <c r="H281" s="9" t="s">
        <v>2335</v>
      </c>
      <c r="I281" s="13" t="s">
        <v>692</v>
      </c>
      <c r="J281" s="19"/>
      <c r="K281" s="14"/>
      <c r="L281" s="14"/>
      <c r="M281" s="14"/>
      <c r="N281" s="22"/>
      <c r="O281" s="12" t="str">
        <f t="shared" si="4"/>
        <v>Pendiente</v>
      </c>
    </row>
    <row r="282" spans="1:15" ht="61.95" customHeight="1">
      <c r="A282" s="17" t="s">
        <v>562</v>
      </c>
      <c r="B282" s="9" t="s">
        <v>537</v>
      </c>
      <c r="C282" s="9" t="s">
        <v>563</v>
      </c>
      <c r="D282" s="17"/>
      <c r="E282" s="9"/>
      <c r="F282" s="9" t="s">
        <v>24</v>
      </c>
      <c r="G282" s="9" t="s">
        <v>24</v>
      </c>
      <c r="H282" s="9" t="s">
        <v>2327</v>
      </c>
      <c r="I282" s="13" t="s">
        <v>692</v>
      </c>
      <c r="J282" s="19"/>
      <c r="K282" s="14"/>
      <c r="L282" s="14"/>
      <c r="M282" s="14"/>
      <c r="N282" s="22"/>
      <c r="O282" s="12" t="str">
        <f t="shared" si="4"/>
        <v>Pendiente</v>
      </c>
    </row>
    <row r="283" spans="1:15" ht="61.95" customHeight="1">
      <c r="A283" s="17" t="s">
        <v>583</v>
      </c>
      <c r="B283" s="9" t="s">
        <v>537</v>
      </c>
      <c r="C283" s="9" t="s">
        <v>584</v>
      </c>
      <c r="D283" s="17"/>
      <c r="E283" s="9"/>
      <c r="F283" s="9" t="s">
        <v>24</v>
      </c>
      <c r="G283" s="9" t="s">
        <v>24</v>
      </c>
      <c r="H283" s="9" t="s">
        <v>2327</v>
      </c>
      <c r="I283" s="13" t="s">
        <v>692</v>
      </c>
      <c r="J283" s="19"/>
      <c r="K283" s="14"/>
      <c r="L283" s="14"/>
      <c r="M283" s="14"/>
      <c r="N283" s="22"/>
      <c r="O283" s="12" t="str">
        <f t="shared" si="4"/>
        <v>Pendiente</v>
      </c>
    </row>
    <row r="284" spans="1:15" ht="61.95" customHeight="1">
      <c r="A284" s="17" t="s">
        <v>591</v>
      </c>
      <c r="B284" s="9" t="s">
        <v>537</v>
      </c>
      <c r="C284" s="9" t="s">
        <v>592</v>
      </c>
      <c r="D284" s="17"/>
      <c r="E284" s="9"/>
      <c r="F284" s="9" t="s">
        <v>24</v>
      </c>
      <c r="G284" s="9" t="s">
        <v>24</v>
      </c>
      <c r="H284" s="9" t="s">
        <v>2327</v>
      </c>
      <c r="I284" s="13" t="s">
        <v>692</v>
      </c>
      <c r="J284" s="19"/>
      <c r="K284" s="14"/>
      <c r="L284" s="14"/>
      <c r="M284" s="14"/>
      <c r="N284" s="22"/>
      <c r="O284" s="12" t="str">
        <f t="shared" si="4"/>
        <v>Pendiente</v>
      </c>
    </row>
    <row r="285" spans="1:15" ht="61.95" customHeight="1">
      <c r="A285" s="17" t="s">
        <v>597</v>
      </c>
      <c r="B285" s="9" t="s">
        <v>537</v>
      </c>
      <c r="C285" s="9" t="s">
        <v>598</v>
      </c>
      <c r="D285" s="17"/>
      <c r="E285" s="9"/>
      <c r="F285" s="9" t="s">
        <v>24</v>
      </c>
      <c r="G285" s="9" t="s">
        <v>24</v>
      </c>
      <c r="H285" s="9" t="s">
        <v>2327</v>
      </c>
      <c r="I285" s="13" t="s">
        <v>692</v>
      </c>
      <c r="J285" s="19"/>
      <c r="K285" s="14"/>
      <c r="L285" s="14"/>
      <c r="M285" s="14"/>
      <c r="N285" s="22"/>
      <c r="O285" s="12" t="str">
        <f t="shared" si="4"/>
        <v>Pendiente</v>
      </c>
    </row>
    <row r="286" spans="1:15" ht="61.95" customHeight="1">
      <c r="A286" s="17" t="s">
        <v>599</v>
      </c>
      <c r="B286" s="9" t="s">
        <v>537</v>
      </c>
      <c r="C286" s="9" t="s">
        <v>600</v>
      </c>
      <c r="D286" s="17"/>
      <c r="E286" s="9"/>
      <c r="F286" s="9" t="s">
        <v>24</v>
      </c>
      <c r="G286" s="9" t="s">
        <v>24</v>
      </c>
      <c r="H286" s="9" t="s">
        <v>2327</v>
      </c>
      <c r="I286" s="13" t="s">
        <v>692</v>
      </c>
      <c r="J286" s="19"/>
      <c r="K286" s="14"/>
      <c r="L286" s="14"/>
      <c r="M286" s="14"/>
      <c r="N286" s="22"/>
      <c r="O286" s="12" t="str">
        <f t="shared" si="4"/>
        <v>Pendiente</v>
      </c>
    </row>
    <row r="287" spans="1:15" ht="49.95" customHeight="1">
      <c r="A287" s="17" t="s">
        <v>611</v>
      </c>
      <c r="B287" s="9" t="s">
        <v>537</v>
      </c>
      <c r="C287" s="9" t="s">
        <v>612</v>
      </c>
      <c r="D287" s="17"/>
      <c r="E287" s="9"/>
      <c r="F287" s="9" t="s">
        <v>24</v>
      </c>
      <c r="G287" s="9" t="s">
        <v>24</v>
      </c>
      <c r="H287" s="9" t="s">
        <v>2336</v>
      </c>
      <c r="I287" s="13" t="s">
        <v>692</v>
      </c>
      <c r="J287" s="19"/>
      <c r="K287" s="14"/>
      <c r="L287" s="14"/>
      <c r="M287" s="14"/>
      <c r="N287" s="22"/>
      <c r="O287" s="12" t="str">
        <f t="shared" si="4"/>
        <v>Pendiente</v>
      </c>
    </row>
    <row r="288" spans="1:15" ht="49.95" customHeight="1">
      <c r="A288" s="17" t="s">
        <v>613</v>
      </c>
      <c r="B288" s="9" t="s">
        <v>537</v>
      </c>
      <c r="C288" s="9" t="s">
        <v>614</v>
      </c>
      <c r="D288" s="17"/>
      <c r="E288" s="9"/>
      <c r="F288" s="9" t="s">
        <v>24</v>
      </c>
      <c r="G288" s="9" t="s">
        <v>24</v>
      </c>
      <c r="H288" s="9" t="s">
        <v>2337</v>
      </c>
      <c r="I288" s="13" t="s">
        <v>692</v>
      </c>
      <c r="J288" s="19"/>
      <c r="K288" s="14"/>
      <c r="L288" s="14"/>
      <c r="M288" s="14"/>
      <c r="N288" s="22"/>
      <c r="O288" s="12" t="str">
        <f t="shared" si="4"/>
        <v>Pendiente</v>
      </c>
    </row>
    <row r="289" spans="1:15" ht="61.95" customHeight="1">
      <c r="A289" s="17" t="s">
        <v>619</v>
      </c>
      <c r="B289" s="9" t="s">
        <v>537</v>
      </c>
      <c r="C289" s="9" t="s">
        <v>620</v>
      </c>
      <c r="D289" s="17"/>
      <c r="E289" s="9"/>
      <c r="F289" s="9" t="s">
        <v>24</v>
      </c>
      <c r="G289" s="9" t="s">
        <v>24</v>
      </c>
      <c r="H289" s="9" t="s">
        <v>2327</v>
      </c>
      <c r="I289" s="13" t="s">
        <v>692</v>
      </c>
      <c r="J289" s="19"/>
      <c r="K289" s="14"/>
      <c r="L289" s="14"/>
      <c r="M289" s="14"/>
      <c r="N289" s="22"/>
      <c r="O289" s="12" t="str">
        <f t="shared" si="4"/>
        <v>Pendiente</v>
      </c>
    </row>
    <row r="290" spans="1:15" ht="61.95" customHeight="1">
      <c r="A290" s="17" t="s">
        <v>654</v>
      </c>
      <c r="B290" s="9" t="s">
        <v>537</v>
      </c>
      <c r="C290" s="9" t="s">
        <v>655</v>
      </c>
      <c r="D290" s="17"/>
      <c r="E290" s="9"/>
      <c r="F290" s="9" t="s">
        <v>24</v>
      </c>
      <c r="G290" s="9" t="s">
        <v>24</v>
      </c>
      <c r="H290" s="9" t="s">
        <v>2327</v>
      </c>
      <c r="I290" s="13" t="s">
        <v>692</v>
      </c>
      <c r="J290" s="19"/>
      <c r="K290" s="14"/>
      <c r="L290" s="14"/>
      <c r="M290" s="14"/>
      <c r="N290" s="22"/>
      <c r="O290" s="12" t="str">
        <f t="shared" si="4"/>
        <v>Pendiente</v>
      </c>
    </row>
    <row r="291" spans="1:15" ht="61.95" customHeight="1">
      <c r="A291" s="17" t="s">
        <v>660</v>
      </c>
      <c r="B291" s="9" t="s">
        <v>537</v>
      </c>
      <c r="C291" s="9" t="s">
        <v>661</v>
      </c>
      <c r="D291" s="17"/>
      <c r="E291" s="9"/>
      <c r="F291" s="9" t="s">
        <v>24</v>
      </c>
      <c r="G291" s="9" t="s">
        <v>24</v>
      </c>
      <c r="H291" s="9" t="s">
        <v>2327</v>
      </c>
      <c r="I291" s="15" t="s">
        <v>692</v>
      </c>
      <c r="J291" s="20"/>
      <c r="K291" s="16"/>
      <c r="L291" s="16"/>
      <c r="M291" s="16"/>
      <c r="N291" s="23"/>
      <c r="O291" s="12" t="str">
        <f t="shared" si="4"/>
        <v>Pendiente</v>
      </c>
    </row>
  </sheetData>
  <conditionalFormatting sqref="F8:F291">
    <cfRule type="expression" dxfId="13" priority="4">
      <formula>$F8="Producto distinto"</formula>
    </cfRule>
    <cfRule type="expression" dxfId="12" priority="5">
      <formula>$F8="Variante distinta"</formula>
    </cfRule>
    <cfRule type="expression" dxfId="11" priority="6">
      <formula>$F8="Equipo distinto"</formula>
    </cfRule>
    <cfRule type="expression" dxfId="10" priority="7">
      <formula>$F8="Revisar presentación"</formula>
    </cfRule>
  </conditionalFormatting>
  <conditionalFormatting sqref="O8:O291">
    <cfRule type="expression" dxfId="9" priority="1">
      <formula>$O8="Homologado"</formula>
    </cfRule>
    <cfRule type="expression" dxfId="8" priority="2">
      <formula>$O8="Sin equivalente confirmado"</formula>
    </cfRule>
    <cfRule type="expression" dxfId="7" priority="3">
      <formula>LEFT($O8,5)="Falta"</formula>
    </cfRule>
  </conditionalFormatting>
  <dataValidations count="1">
    <dataValidation type="list" sqref="I8:I291" xr:uid="{00000000-0002-0000-0400-000000000000}">
      <formula1>"Pendiente,Equivalente confirmado,Sin equivalente en AVAIN"</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7766A"/>
  </sheetPr>
  <dimension ref="A2:O291"/>
  <sheetViews>
    <sheetView showGridLines="0" zoomScale="70" zoomScaleNormal="70" workbookViewId="0">
      <pane xSplit="3" ySplit="7" topLeftCell="D31" activePane="bottomRight" state="frozen"/>
      <selection pane="topRight"/>
      <selection pane="bottomLeft"/>
      <selection pane="bottomRight" activeCell="A33" sqref="A33"/>
    </sheetView>
  </sheetViews>
  <sheetFormatPr baseColWidth="10" defaultColWidth="8.796875" defaultRowHeight="13.8"/>
  <cols>
    <col min="1" max="1" width="14" customWidth="1"/>
    <col min="2" max="2" width="18" customWidth="1"/>
    <col min="3" max="3" width="39" customWidth="1"/>
    <col min="4" max="4" width="17" customWidth="1"/>
    <col min="5" max="5" width="43" customWidth="1"/>
    <col min="6" max="6" width="25" customWidth="1"/>
    <col min="7" max="7" width="19" customWidth="1"/>
    <col min="8" max="8" width="64" customWidth="1"/>
    <col min="9" max="9" width="27" customWidth="1"/>
    <col min="10" max="10" width="18" customWidth="1"/>
    <col min="11" max="11" width="39" customWidth="1"/>
    <col min="12" max="12" width="24" customWidth="1"/>
    <col min="13" max="13" width="25" customWidth="1"/>
    <col min="14" max="14" width="17" customWidth="1"/>
    <col min="15" max="15" width="30" customWidth="1"/>
  </cols>
  <sheetData>
    <row r="2" spans="1:15" ht="31.05" customHeight="1">
      <c r="A2" s="2" t="s">
        <v>2338</v>
      </c>
      <c r="B2" s="1"/>
      <c r="C2" s="1"/>
      <c r="D2" s="1"/>
      <c r="E2" s="1"/>
      <c r="F2" s="1"/>
      <c r="G2" s="1"/>
      <c r="H2" s="1"/>
      <c r="I2" s="1"/>
      <c r="J2" s="1"/>
      <c r="K2" s="1"/>
      <c r="L2" s="1"/>
      <c r="M2" s="1"/>
      <c r="N2" s="1"/>
      <c r="O2" s="1"/>
    </row>
    <row r="3" spans="1:15" ht="22.05" customHeight="1">
      <c r="A3" s="3" t="s">
        <v>2339</v>
      </c>
      <c r="B3" s="1"/>
      <c r="C3" s="1"/>
      <c r="D3" s="1"/>
      <c r="E3" s="1"/>
      <c r="F3" s="1"/>
      <c r="G3" s="1"/>
      <c r="H3" s="1"/>
      <c r="I3" s="1"/>
      <c r="J3" s="1"/>
      <c r="K3" s="1"/>
      <c r="L3" s="1"/>
      <c r="M3" s="1"/>
      <c r="N3" s="1"/>
      <c r="O3" s="1"/>
    </row>
    <row r="4" spans="1:15" ht="22.05" customHeight="1">
      <c r="A4" s="3" t="s">
        <v>671</v>
      </c>
      <c r="B4" s="1"/>
      <c r="C4" s="1"/>
      <c r="D4" s="1"/>
      <c r="E4" s="1"/>
      <c r="F4" s="1"/>
      <c r="G4" s="1"/>
      <c r="H4" s="1"/>
      <c r="I4" s="1"/>
      <c r="J4" s="1"/>
      <c r="K4" s="1"/>
      <c r="L4" s="1"/>
      <c r="M4" s="1"/>
      <c r="N4" s="1"/>
      <c r="O4" s="1"/>
    </row>
    <row r="5" spans="1:15" ht="22.05" customHeight="1" thickBot="1">
      <c r="A5" s="3" t="s">
        <v>2340</v>
      </c>
      <c r="B5" s="1"/>
      <c r="C5" s="1"/>
      <c r="D5" s="1"/>
      <c r="E5" s="1"/>
      <c r="F5" s="1"/>
      <c r="G5" s="1"/>
      <c r="H5" s="1"/>
      <c r="I5" s="1"/>
      <c r="J5" s="1"/>
      <c r="K5" s="1"/>
      <c r="L5" s="1"/>
      <c r="M5" s="1"/>
      <c r="N5" s="1"/>
      <c r="O5" s="1"/>
    </row>
    <row r="6" spans="1:15" ht="43.2" customHeight="1" thickBot="1">
      <c r="A6" s="4" t="s">
        <v>673</v>
      </c>
      <c r="B6" s="4"/>
      <c r="C6" s="4"/>
      <c r="D6" s="4"/>
      <c r="E6" s="4"/>
      <c r="F6" s="4"/>
      <c r="G6" s="4"/>
      <c r="H6" s="4"/>
      <c r="I6" s="50" t="s">
        <v>2341</v>
      </c>
      <c r="J6" s="51"/>
      <c r="K6" s="51"/>
      <c r="L6" s="51"/>
      <c r="M6" s="51"/>
      <c r="N6" s="52"/>
      <c r="O6" s="34" t="s">
        <v>675</v>
      </c>
    </row>
    <row r="7" spans="1:15" ht="43.05" customHeight="1">
      <c r="A7" s="7" t="s">
        <v>676</v>
      </c>
      <c r="B7" s="7" t="s">
        <v>85</v>
      </c>
      <c r="C7" s="7" t="s">
        <v>677</v>
      </c>
      <c r="D7" s="7" t="s">
        <v>102</v>
      </c>
      <c r="E7" s="7" t="s">
        <v>103</v>
      </c>
      <c r="F7" s="7" t="s">
        <v>678</v>
      </c>
      <c r="G7" s="7" t="s">
        <v>679</v>
      </c>
      <c r="H7" s="7" t="s">
        <v>680</v>
      </c>
      <c r="I7" s="7" t="s">
        <v>2342</v>
      </c>
      <c r="J7" s="7" t="s">
        <v>106</v>
      </c>
      <c r="K7" s="7" t="s">
        <v>2343</v>
      </c>
      <c r="L7" s="7" t="s">
        <v>684</v>
      </c>
      <c r="M7" s="7" t="s">
        <v>2344</v>
      </c>
      <c r="N7" s="7" t="s">
        <v>686</v>
      </c>
      <c r="O7" s="7" t="s">
        <v>2345</v>
      </c>
    </row>
    <row r="8" spans="1:15" ht="78" customHeight="1">
      <c r="A8" s="17" t="s">
        <v>122</v>
      </c>
      <c r="B8" s="9" t="s">
        <v>108</v>
      </c>
      <c r="C8" s="9" t="s">
        <v>123</v>
      </c>
      <c r="D8" s="17" t="s">
        <v>2346</v>
      </c>
      <c r="E8" s="9" t="s">
        <v>2347</v>
      </c>
      <c r="F8" s="9" t="s">
        <v>18</v>
      </c>
      <c r="G8" s="9" t="s">
        <v>690</v>
      </c>
      <c r="H8" s="9" t="s">
        <v>2348</v>
      </c>
      <c r="I8" s="10" t="s">
        <v>692</v>
      </c>
      <c r="J8" s="18"/>
      <c r="K8" s="11"/>
      <c r="L8" s="11"/>
      <c r="M8" s="11"/>
      <c r="N8" s="21"/>
      <c r="O8" s="12" t="str">
        <f t="shared" ref="O8:O71" si="0">IF(I8="Pendiente","Pendiente",IF(I8="Equivalente confirmado",IF(OR(J8="",K8=""),"Falta código o nombre",IF(OR(L8="",M8=""),"Falta validación",IF(OR(NOT(ISNUMBER(N8)),N8&lt;=0),"Falta fecha","Homologado"))),IF(I8="Sin equivalente en SAP",IF(OR(J8&lt;&gt;"",K8&lt;&gt;""),"Quitar código y nombre",IF(OR(L8="",M8=""),"Falta validación",IF(OR(NOT(ISNUMBER(N8)),N8&lt;=0),"Falta fecha","Sin equivalente confirmado"))),"Revisar decisión")))</f>
        <v>Pendiente</v>
      </c>
    </row>
    <row r="9" spans="1:15" ht="78" customHeight="1">
      <c r="A9" s="17" t="s">
        <v>128</v>
      </c>
      <c r="B9" s="9" t="s">
        <v>108</v>
      </c>
      <c r="C9" s="9" t="s">
        <v>129</v>
      </c>
      <c r="D9" s="17" t="s">
        <v>2349</v>
      </c>
      <c r="E9" s="9" t="s">
        <v>2350</v>
      </c>
      <c r="F9" s="9" t="s">
        <v>18</v>
      </c>
      <c r="G9" s="9" t="s">
        <v>690</v>
      </c>
      <c r="H9" s="9" t="s">
        <v>2351</v>
      </c>
      <c r="I9" s="13" t="s">
        <v>692</v>
      </c>
      <c r="J9" s="19"/>
      <c r="K9" s="14"/>
      <c r="L9" s="14"/>
      <c r="M9" s="14"/>
      <c r="N9" s="22"/>
      <c r="O9" s="12" t="str">
        <f t="shared" si="0"/>
        <v>Pendiente</v>
      </c>
    </row>
    <row r="10" spans="1:15" ht="94.05" customHeight="1">
      <c r="A10" s="17" t="s">
        <v>172</v>
      </c>
      <c r="B10" s="9" t="s">
        <v>108</v>
      </c>
      <c r="C10" s="9" t="s">
        <v>173</v>
      </c>
      <c r="D10" s="17" t="s">
        <v>2352</v>
      </c>
      <c r="E10" s="9" t="s">
        <v>2353</v>
      </c>
      <c r="F10" s="9" t="s">
        <v>18</v>
      </c>
      <c r="G10" s="9" t="s">
        <v>42</v>
      </c>
      <c r="H10" s="9" t="s">
        <v>2354</v>
      </c>
      <c r="I10" s="13" t="s">
        <v>692</v>
      </c>
      <c r="J10" s="19"/>
      <c r="K10" s="14"/>
      <c r="L10" s="14"/>
      <c r="M10" s="14"/>
      <c r="N10" s="22"/>
      <c r="O10" s="12" t="str">
        <f t="shared" si="0"/>
        <v>Pendiente</v>
      </c>
    </row>
    <row r="11" spans="1:15" ht="94.05" customHeight="1">
      <c r="A11" s="17" t="s">
        <v>200</v>
      </c>
      <c r="B11" s="9" t="s">
        <v>108</v>
      </c>
      <c r="C11" s="9" t="s">
        <v>201</v>
      </c>
      <c r="D11" s="17" t="s">
        <v>2355</v>
      </c>
      <c r="E11" s="9" t="s">
        <v>2356</v>
      </c>
      <c r="F11" s="9" t="s">
        <v>18</v>
      </c>
      <c r="G11" s="9" t="s">
        <v>690</v>
      </c>
      <c r="H11" s="9" t="s">
        <v>2357</v>
      </c>
      <c r="I11" s="13" t="s">
        <v>692</v>
      </c>
      <c r="J11" s="19"/>
      <c r="K11" s="14"/>
      <c r="L11" s="14"/>
      <c r="M11" s="14"/>
      <c r="N11" s="22"/>
      <c r="O11" s="12" t="str">
        <f t="shared" si="0"/>
        <v>Pendiente</v>
      </c>
    </row>
    <row r="12" spans="1:15" ht="94.05" customHeight="1">
      <c r="A12" s="17" t="s">
        <v>352</v>
      </c>
      <c r="B12" s="9" t="s">
        <v>108</v>
      </c>
      <c r="C12" s="9" t="s">
        <v>353</v>
      </c>
      <c r="D12" s="17" t="s">
        <v>2358</v>
      </c>
      <c r="E12" s="9" t="s">
        <v>2359</v>
      </c>
      <c r="F12" s="9" t="s">
        <v>18</v>
      </c>
      <c r="G12" s="9" t="s">
        <v>690</v>
      </c>
      <c r="H12" s="9" t="s">
        <v>2360</v>
      </c>
      <c r="I12" s="13" t="s">
        <v>692</v>
      </c>
      <c r="J12" s="19"/>
      <c r="K12" s="14"/>
      <c r="L12" s="14"/>
      <c r="M12" s="14"/>
      <c r="N12" s="22"/>
      <c r="O12" s="12" t="str">
        <f t="shared" si="0"/>
        <v>Pendiente</v>
      </c>
    </row>
    <row r="13" spans="1:15" ht="78" customHeight="1">
      <c r="A13" s="17" t="s">
        <v>457</v>
      </c>
      <c r="B13" s="9" t="s">
        <v>357</v>
      </c>
      <c r="C13" s="9" t="s">
        <v>458</v>
      </c>
      <c r="D13" s="17" t="s">
        <v>2361</v>
      </c>
      <c r="E13" s="9" t="s">
        <v>2362</v>
      </c>
      <c r="F13" s="9" t="s">
        <v>18</v>
      </c>
      <c r="G13" s="9" t="s">
        <v>42</v>
      </c>
      <c r="H13" s="9" t="s">
        <v>2363</v>
      </c>
      <c r="I13" s="13" t="s">
        <v>692</v>
      </c>
      <c r="J13" s="19"/>
      <c r="K13" s="14"/>
      <c r="L13" s="14"/>
      <c r="M13" s="14"/>
      <c r="N13" s="22"/>
      <c r="O13" s="12" t="str">
        <f t="shared" si="0"/>
        <v>Pendiente</v>
      </c>
    </row>
    <row r="14" spans="1:15" ht="94.05" customHeight="1">
      <c r="A14" s="17" t="s">
        <v>484</v>
      </c>
      <c r="B14" s="9" t="s">
        <v>464</v>
      </c>
      <c r="C14" s="9" t="s">
        <v>485</v>
      </c>
      <c r="D14" s="17" t="s">
        <v>2364</v>
      </c>
      <c r="E14" s="9" t="s">
        <v>2365</v>
      </c>
      <c r="F14" s="9" t="s">
        <v>18</v>
      </c>
      <c r="G14" s="9" t="s">
        <v>690</v>
      </c>
      <c r="H14" s="9" t="s">
        <v>2366</v>
      </c>
      <c r="I14" s="13" t="s">
        <v>692</v>
      </c>
      <c r="J14" s="19"/>
      <c r="K14" s="14"/>
      <c r="L14" s="14"/>
      <c r="M14" s="14"/>
      <c r="N14" s="22"/>
      <c r="O14" s="12" t="str">
        <f t="shared" si="0"/>
        <v>Pendiente</v>
      </c>
    </row>
    <row r="15" spans="1:15" ht="94.05" customHeight="1">
      <c r="A15" s="17" t="s">
        <v>486</v>
      </c>
      <c r="B15" s="9" t="s">
        <v>464</v>
      </c>
      <c r="C15" s="9" t="s">
        <v>487</v>
      </c>
      <c r="D15" s="17" t="s">
        <v>2367</v>
      </c>
      <c r="E15" s="9" t="s">
        <v>2368</v>
      </c>
      <c r="F15" s="9" t="s">
        <v>18</v>
      </c>
      <c r="G15" s="9" t="s">
        <v>690</v>
      </c>
      <c r="H15" s="9" t="s">
        <v>2369</v>
      </c>
      <c r="I15" s="13" t="s">
        <v>692</v>
      </c>
      <c r="J15" s="19"/>
      <c r="K15" s="14"/>
      <c r="L15" s="14"/>
      <c r="M15" s="14"/>
      <c r="N15" s="22"/>
      <c r="O15" s="12" t="str">
        <f t="shared" si="0"/>
        <v>Pendiente</v>
      </c>
    </row>
    <row r="16" spans="1:15" ht="94.05" customHeight="1">
      <c r="A16" s="17" t="s">
        <v>640</v>
      </c>
      <c r="B16" s="9" t="s">
        <v>537</v>
      </c>
      <c r="C16" s="9" t="s">
        <v>641</v>
      </c>
      <c r="D16" s="17" t="s">
        <v>2370</v>
      </c>
      <c r="E16" s="9" t="s">
        <v>2371</v>
      </c>
      <c r="F16" s="9" t="s">
        <v>18</v>
      </c>
      <c r="G16" s="9" t="s">
        <v>690</v>
      </c>
      <c r="H16" s="9" t="s">
        <v>2372</v>
      </c>
      <c r="I16" s="13" t="s">
        <v>692</v>
      </c>
      <c r="J16" s="19"/>
      <c r="K16" s="14"/>
      <c r="L16" s="14"/>
      <c r="M16" s="14"/>
      <c r="N16" s="22"/>
      <c r="O16" s="12" t="str">
        <f t="shared" si="0"/>
        <v>Pendiente</v>
      </c>
    </row>
    <row r="17" spans="1:15" ht="109.95" customHeight="1">
      <c r="A17" s="17" t="s">
        <v>136</v>
      </c>
      <c r="B17" s="9" t="s">
        <v>108</v>
      </c>
      <c r="C17" s="9" t="s">
        <v>137</v>
      </c>
      <c r="D17" s="17" t="s">
        <v>2373</v>
      </c>
      <c r="E17" s="9" t="s">
        <v>2374</v>
      </c>
      <c r="F17" s="9" t="s">
        <v>20</v>
      </c>
      <c r="G17" s="9" t="s">
        <v>42</v>
      </c>
      <c r="H17" s="9" t="s">
        <v>2375</v>
      </c>
      <c r="I17" s="13" t="s">
        <v>692</v>
      </c>
      <c r="J17" s="19"/>
      <c r="K17" s="14"/>
      <c r="L17" s="14"/>
      <c r="M17" s="14"/>
      <c r="N17" s="22"/>
      <c r="O17" s="12" t="str">
        <f t="shared" si="0"/>
        <v>Pendiente</v>
      </c>
    </row>
    <row r="18" spans="1:15" ht="61.95" customHeight="1">
      <c r="A18" s="17" t="s">
        <v>138</v>
      </c>
      <c r="B18" s="9" t="s">
        <v>108</v>
      </c>
      <c r="C18" s="9" t="s">
        <v>139</v>
      </c>
      <c r="D18" s="17" t="s">
        <v>2376</v>
      </c>
      <c r="E18" s="9" t="s">
        <v>2377</v>
      </c>
      <c r="F18" s="9" t="s">
        <v>20</v>
      </c>
      <c r="G18" s="9" t="s">
        <v>42</v>
      </c>
      <c r="H18" s="9" t="s">
        <v>2378</v>
      </c>
      <c r="I18" s="13" t="s">
        <v>692</v>
      </c>
      <c r="J18" s="19"/>
      <c r="K18" s="14"/>
      <c r="L18" s="14"/>
      <c r="M18" s="14"/>
      <c r="N18" s="22"/>
      <c r="O18" s="12" t="str">
        <f t="shared" si="0"/>
        <v>Pendiente</v>
      </c>
    </row>
    <row r="19" spans="1:15" ht="61.95" customHeight="1">
      <c r="A19" s="17" t="s">
        <v>152</v>
      </c>
      <c r="B19" s="9" t="s">
        <v>108</v>
      </c>
      <c r="C19" s="9" t="s">
        <v>153</v>
      </c>
      <c r="D19" s="17" t="s">
        <v>2379</v>
      </c>
      <c r="E19" s="9" t="s">
        <v>2380</v>
      </c>
      <c r="F19" s="9" t="s">
        <v>20</v>
      </c>
      <c r="G19" s="9" t="s">
        <v>42</v>
      </c>
      <c r="H19" s="9" t="s">
        <v>2381</v>
      </c>
      <c r="I19" s="13" t="s">
        <v>692</v>
      </c>
      <c r="J19" s="19"/>
      <c r="K19" s="14"/>
      <c r="L19" s="14"/>
      <c r="M19" s="14"/>
      <c r="N19" s="22"/>
      <c r="O19" s="12" t="str">
        <f t="shared" si="0"/>
        <v>Pendiente</v>
      </c>
    </row>
    <row r="20" spans="1:15" ht="94.05" customHeight="1">
      <c r="A20" s="17" t="s">
        <v>166</v>
      </c>
      <c r="B20" s="9" t="s">
        <v>108</v>
      </c>
      <c r="C20" s="9" t="s">
        <v>167</v>
      </c>
      <c r="D20" s="17" t="s">
        <v>2382</v>
      </c>
      <c r="E20" s="9" t="s">
        <v>2383</v>
      </c>
      <c r="F20" s="9" t="s">
        <v>20</v>
      </c>
      <c r="G20" s="9" t="s">
        <v>42</v>
      </c>
      <c r="H20" s="9" t="s">
        <v>2384</v>
      </c>
      <c r="I20" s="13" t="s">
        <v>692</v>
      </c>
      <c r="J20" s="19"/>
      <c r="K20" s="14"/>
      <c r="L20" s="14"/>
      <c r="M20" s="14"/>
      <c r="N20" s="22"/>
      <c r="O20" s="12" t="str">
        <f t="shared" si="0"/>
        <v>Pendiente</v>
      </c>
    </row>
    <row r="21" spans="1:15" ht="94.05" customHeight="1">
      <c r="A21" s="17" t="s">
        <v>190</v>
      </c>
      <c r="B21" s="9" t="s">
        <v>108</v>
      </c>
      <c r="C21" s="9" t="s">
        <v>191</v>
      </c>
      <c r="D21" s="17" t="s">
        <v>2385</v>
      </c>
      <c r="E21" s="9" t="s">
        <v>2386</v>
      </c>
      <c r="F21" s="9" t="s">
        <v>20</v>
      </c>
      <c r="G21" s="9" t="s">
        <v>42</v>
      </c>
      <c r="H21" s="9" t="s">
        <v>2387</v>
      </c>
      <c r="I21" s="13" t="s">
        <v>692</v>
      </c>
      <c r="J21" s="19"/>
      <c r="K21" s="14"/>
      <c r="L21" s="14"/>
      <c r="M21" s="14"/>
      <c r="N21" s="22"/>
      <c r="O21" s="12" t="str">
        <f t="shared" si="0"/>
        <v>Pendiente</v>
      </c>
    </row>
    <row r="22" spans="1:15" ht="61.95" customHeight="1">
      <c r="A22" s="17" t="s">
        <v>194</v>
      </c>
      <c r="B22" s="9" t="s">
        <v>108</v>
      </c>
      <c r="C22" s="9" t="s">
        <v>195</v>
      </c>
      <c r="D22" s="17" t="s">
        <v>2388</v>
      </c>
      <c r="E22" s="9" t="s">
        <v>2389</v>
      </c>
      <c r="F22" s="9" t="s">
        <v>20</v>
      </c>
      <c r="G22" s="9" t="s">
        <v>42</v>
      </c>
      <c r="H22" s="9" t="s">
        <v>2390</v>
      </c>
      <c r="I22" s="13" t="s">
        <v>692</v>
      </c>
      <c r="J22" s="19"/>
      <c r="K22" s="14"/>
      <c r="L22" s="14"/>
      <c r="M22" s="14"/>
      <c r="N22" s="22"/>
      <c r="O22" s="12" t="str">
        <f t="shared" si="0"/>
        <v>Pendiente</v>
      </c>
    </row>
    <row r="23" spans="1:15" ht="78" customHeight="1">
      <c r="A23" s="17" t="s">
        <v>196</v>
      </c>
      <c r="B23" s="9" t="s">
        <v>108</v>
      </c>
      <c r="C23" s="9" t="s">
        <v>197</v>
      </c>
      <c r="D23" s="17" t="s">
        <v>2391</v>
      </c>
      <c r="E23" s="9" t="s">
        <v>2392</v>
      </c>
      <c r="F23" s="9" t="s">
        <v>20</v>
      </c>
      <c r="G23" s="9" t="s">
        <v>42</v>
      </c>
      <c r="H23" s="9" t="s">
        <v>2393</v>
      </c>
      <c r="I23" s="13" t="s">
        <v>692</v>
      </c>
      <c r="J23" s="19"/>
      <c r="K23" s="14"/>
      <c r="L23" s="14"/>
      <c r="M23" s="14"/>
      <c r="N23" s="22"/>
      <c r="O23" s="12" t="str">
        <f t="shared" si="0"/>
        <v>Pendiente</v>
      </c>
    </row>
    <row r="24" spans="1:15" ht="61.95" customHeight="1">
      <c r="A24" s="17" t="s">
        <v>204</v>
      </c>
      <c r="B24" s="9" t="s">
        <v>108</v>
      </c>
      <c r="C24" s="9" t="s">
        <v>205</v>
      </c>
      <c r="D24" s="17" t="s">
        <v>2394</v>
      </c>
      <c r="E24" s="9" t="s">
        <v>2395</v>
      </c>
      <c r="F24" s="9" t="s">
        <v>20</v>
      </c>
      <c r="G24" s="9" t="s">
        <v>42</v>
      </c>
      <c r="H24" s="9" t="s">
        <v>2396</v>
      </c>
      <c r="I24" s="13" t="s">
        <v>692</v>
      </c>
      <c r="J24" s="19"/>
      <c r="K24" s="14"/>
      <c r="L24" s="14"/>
      <c r="M24" s="14"/>
      <c r="N24" s="22"/>
      <c r="O24" s="12" t="str">
        <f t="shared" si="0"/>
        <v>Pendiente</v>
      </c>
    </row>
    <row r="25" spans="1:15" ht="78" customHeight="1">
      <c r="A25" s="17" t="s">
        <v>212</v>
      </c>
      <c r="B25" s="9" t="s">
        <v>108</v>
      </c>
      <c r="C25" s="9" t="s">
        <v>213</v>
      </c>
      <c r="D25" s="17" t="s">
        <v>2397</v>
      </c>
      <c r="E25" s="9" t="s">
        <v>2398</v>
      </c>
      <c r="F25" s="9" t="s">
        <v>20</v>
      </c>
      <c r="G25" s="9" t="s">
        <v>42</v>
      </c>
      <c r="H25" s="9" t="s">
        <v>2399</v>
      </c>
      <c r="I25" s="13" t="s">
        <v>692</v>
      </c>
      <c r="J25" s="19"/>
      <c r="K25" s="14"/>
      <c r="L25" s="14"/>
      <c r="M25" s="14"/>
      <c r="N25" s="22"/>
      <c r="O25" s="12" t="str">
        <f t="shared" si="0"/>
        <v>Pendiente</v>
      </c>
    </row>
    <row r="26" spans="1:15" ht="94.05" customHeight="1">
      <c r="A26" s="17" t="s">
        <v>214</v>
      </c>
      <c r="B26" s="9" t="s">
        <v>108</v>
      </c>
      <c r="C26" s="9" t="s">
        <v>215</v>
      </c>
      <c r="D26" s="17" t="s">
        <v>2400</v>
      </c>
      <c r="E26" s="9" t="s">
        <v>2401</v>
      </c>
      <c r="F26" s="9" t="s">
        <v>20</v>
      </c>
      <c r="G26" s="9" t="s">
        <v>42</v>
      </c>
      <c r="H26" s="9" t="s">
        <v>2402</v>
      </c>
      <c r="I26" s="13" t="s">
        <v>692</v>
      </c>
      <c r="J26" s="19"/>
      <c r="K26" s="14"/>
      <c r="L26" s="14"/>
      <c r="M26" s="14"/>
      <c r="N26" s="22"/>
      <c r="O26" s="12" t="str">
        <f t="shared" si="0"/>
        <v>Pendiente</v>
      </c>
    </row>
    <row r="27" spans="1:15" ht="78" customHeight="1">
      <c r="A27" s="17" t="s">
        <v>216</v>
      </c>
      <c r="B27" s="9" t="s">
        <v>108</v>
      </c>
      <c r="C27" s="9" t="s">
        <v>217</v>
      </c>
      <c r="D27" s="17" t="s">
        <v>2403</v>
      </c>
      <c r="E27" s="9" t="s">
        <v>2404</v>
      </c>
      <c r="F27" s="9" t="s">
        <v>20</v>
      </c>
      <c r="G27" s="9" t="s">
        <v>42</v>
      </c>
      <c r="H27" s="9" t="s">
        <v>2405</v>
      </c>
      <c r="I27" s="13" t="s">
        <v>692</v>
      </c>
      <c r="J27" s="19"/>
      <c r="K27" s="14"/>
      <c r="L27" s="14"/>
      <c r="M27" s="14"/>
      <c r="N27" s="22"/>
      <c r="O27" s="12" t="str">
        <f t="shared" si="0"/>
        <v>Pendiente</v>
      </c>
    </row>
    <row r="28" spans="1:15" ht="94.05" customHeight="1">
      <c r="A28" s="17" t="s">
        <v>218</v>
      </c>
      <c r="B28" s="9" t="s">
        <v>108</v>
      </c>
      <c r="C28" s="9" t="s">
        <v>219</v>
      </c>
      <c r="D28" s="17" t="s">
        <v>2406</v>
      </c>
      <c r="E28" s="9" t="s">
        <v>2407</v>
      </c>
      <c r="F28" s="9" t="s">
        <v>20</v>
      </c>
      <c r="G28" s="9" t="s">
        <v>42</v>
      </c>
      <c r="H28" s="9" t="s">
        <v>2408</v>
      </c>
      <c r="I28" s="13" t="s">
        <v>692</v>
      </c>
      <c r="J28" s="19"/>
      <c r="K28" s="14"/>
      <c r="L28" s="14"/>
      <c r="M28" s="14"/>
      <c r="N28" s="22"/>
      <c r="O28" s="12" t="str">
        <f t="shared" si="0"/>
        <v>Pendiente</v>
      </c>
    </row>
    <row r="29" spans="1:15" ht="94.05" customHeight="1">
      <c r="A29" s="17" t="s">
        <v>226</v>
      </c>
      <c r="B29" s="9" t="s">
        <v>108</v>
      </c>
      <c r="C29" s="9" t="s">
        <v>227</v>
      </c>
      <c r="D29" s="17" t="s">
        <v>2409</v>
      </c>
      <c r="E29" s="9" t="s">
        <v>2410</v>
      </c>
      <c r="F29" s="9" t="s">
        <v>20</v>
      </c>
      <c r="G29" s="9" t="s">
        <v>42</v>
      </c>
      <c r="H29" s="9" t="s">
        <v>2411</v>
      </c>
      <c r="I29" s="13" t="s">
        <v>692</v>
      </c>
      <c r="J29" s="19"/>
      <c r="K29" s="14"/>
      <c r="L29" s="14"/>
      <c r="M29" s="14"/>
      <c r="N29" s="22"/>
      <c r="O29" s="12" t="str">
        <f t="shared" si="0"/>
        <v>Pendiente</v>
      </c>
    </row>
    <row r="30" spans="1:15" ht="78" customHeight="1">
      <c r="A30" s="17" t="s">
        <v>246</v>
      </c>
      <c r="B30" s="9" t="s">
        <v>108</v>
      </c>
      <c r="C30" s="9" t="s">
        <v>247</v>
      </c>
      <c r="D30" s="17" t="s">
        <v>2412</v>
      </c>
      <c r="E30" s="9" t="s">
        <v>2413</v>
      </c>
      <c r="F30" s="9" t="s">
        <v>20</v>
      </c>
      <c r="G30" s="9" t="s">
        <v>42</v>
      </c>
      <c r="H30" s="9" t="s">
        <v>2414</v>
      </c>
      <c r="I30" s="13" t="s">
        <v>692</v>
      </c>
      <c r="J30" s="19"/>
      <c r="K30" s="14"/>
      <c r="L30" s="14"/>
      <c r="M30" s="14"/>
      <c r="N30" s="22"/>
      <c r="O30" s="12" t="str">
        <f t="shared" si="0"/>
        <v>Pendiente</v>
      </c>
    </row>
    <row r="31" spans="1:15" ht="94.05" customHeight="1">
      <c r="A31" s="17" t="s">
        <v>252</v>
      </c>
      <c r="B31" s="9" t="s">
        <v>108</v>
      </c>
      <c r="C31" s="9" t="s">
        <v>253</v>
      </c>
      <c r="D31" s="17" t="s">
        <v>2415</v>
      </c>
      <c r="E31" s="9" t="s">
        <v>2416</v>
      </c>
      <c r="F31" s="9" t="s">
        <v>20</v>
      </c>
      <c r="G31" s="9" t="s">
        <v>42</v>
      </c>
      <c r="H31" s="9" t="s">
        <v>2417</v>
      </c>
      <c r="I31" s="13" t="s">
        <v>692</v>
      </c>
      <c r="J31" s="19"/>
      <c r="K31" s="14"/>
      <c r="L31" s="14"/>
      <c r="M31" s="14"/>
      <c r="N31" s="22"/>
      <c r="O31" s="12" t="str">
        <f t="shared" si="0"/>
        <v>Pendiente</v>
      </c>
    </row>
    <row r="32" spans="1:15" ht="94.05" customHeight="1">
      <c r="A32" s="17" t="s">
        <v>266</v>
      </c>
      <c r="B32" s="9" t="s">
        <v>108</v>
      </c>
      <c r="C32" s="9" t="s">
        <v>267</v>
      </c>
      <c r="D32" s="17" t="s">
        <v>2418</v>
      </c>
      <c r="E32" s="9" t="s">
        <v>2419</v>
      </c>
      <c r="F32" s="9" t="s">
        <v>20</v>
      </c>
      <c r="G32" s="9" t="s">
        <v>690</v>
      </c>
      <c r="H32" s="9" t="s">
        <v>2420</v>
      </c>
      <c r="I32" s="13" t="s">
        <v>692</v>
      </c>
      <c r="J32" s="19"/>
      <c r="K32" s="14"/>
      <c r="L32" s="14"/>
      <c r="M32" s="14"/>
      <c r="N32" s="22"/>
      <c r="O32" s="12" t="str">
        <f t="shared" si="0"/>
        <v>Pendiente</v>
      </c>
    </row>
    <row r="33" spans="1:15" ht="78" customHeight="1">
      <c r="A33" s="17" t="s">
        <v>278</v>
      </c>
      <c r="B33" s="9" t="s">
        <v>108</v>
      </c>
      <c r="C33" s="9" t="s">
        <v>279</v>
      </c>
      <c r="D33" s="17" t="s">
        <v>2421</v>
      </c>
      <c r="E33" s="9" t="s">
        <v>2422</v>
      </c>
      <c r="F33" s="9" t="s">
        <v>20</v>
      </c>
      <c r="G33" s="9" t="s">
        <v>42</v>
      </c>
      <c r="H33" s="9" t="s">
        <v>2423</v>
      </c>
      <c r="I33" s="13" t="s">
        <v>692</v>
      </c>
      <c r="J33" s="19"/>
      <c r="K33" s="14"/>
      <c r="L33" s="14"/>
      <c r="M33" s="14"/>
      <c r="N33" s="22"/>
      <c r="O33" s="12" t="str">
        <f t="shared" si="0"/>
        <v>Pendiente</v>
      </c>
    </row>
    <row r="34" spans="1:15" ht="109.95" customHeight="1">
      <c r="A34" s="17" t="s">
        <v>280</v>
      </c>
      <c r="B34" s="9" t="s">
        <v>108</v>
      </c>
      <c r="C34" s="9" t="s">
        <v>281</v>
      </c>
      <c r="D34" s="17" t="s">
        <v>2424</v>
      </c>
      <c r="E34" s="9" t="s">
        <v>2425</v>
      </c>
      <c r="F34" s="9" t="s">
        <v>20</v>
      </c>
      <c r="G34" s="9" t="s">
        <v>42</v>
      </c>
      <c r="H34" s="9" t="s">
        <v>2426</v>
      </c>
      <c r="I34" s="13" t="s">
        <v>692</v>
      </c>
      <c r="J34" s="19"/>
      <c r="K34" s="14"/>
      <c r="L34" s="14"/>
      <c r="M34" s="14"/>
      <c r="N34" s="22"/>
      <c r="O34" s="12" t="str">
        <f t="shared" si="0"/>
        <v>Pendiente</v>
      </c>
    </row>
    <row r="35" spans="1:15" ht="78" customHeight="1">
      <c r="A35" s="17" t="s">
        <v>290</v>
      </c>
      <c r="B35" s="9" t="s">
        <v>108</v>
      </c>
      <c r="C35" s="9" t="s">
        <v>291</v>
      </c>
      <c r="D35" s="17" t="s">
        <v>2427</v>
      </c>
      <c r="E35" s="9" t="s">
        <v>2428</v>
      </c>
      <c r="F35" s="9" t="s">
        <v>20</v>
      </c>
      <c r="G35" s="9" t="s">
        <v>42</v>
      </c>
      <c r="H35" s="9" t="s">
        <v>2429</v>
      </c>
      <c r="I35" s="13" t="s">
        <v>692</v>
      </c>
      <c r="J35" s="19"/>
      <c r="K35" s="14"/>
      <c r="L35" s="14"/>
      <c r="M35" s="14"/>
      <c r="N35" s="22"/>
      <c r="O35" s="12" t="str">
        <f t="shared" si="0"/>
        <v>Pendiente</v>
      </c>
    </row>
    <row r="36" spans="1:15" ht="94.05" customHeight="1">
      <c r="A36" s="17" t="s">
        <v>296</v>
      </c>
      <c r="B36" s="9" t="s">
        <v>108</v>
      </c>
      <c r="C36" s="9" t="s">
        <v>297</v>
      </c>
      <c r="D36" s="17" t="s">
        <v>2430</v>
      </c>
      <c r="E36" s="9" t="s">
        <v>2431</v>
      </c>
      <c r="F36" s="9" t="s">
        <v>20</v>
      </c>
      <c r="G36" s="9" t="s">
        <v>42</v>
      </c>
      <c r="H36" s="9" t="s">
        <v>2432</v>
      </c>
      <c r="I36" s="13" t="s">
        <v>692</v>
      </c>
      <c r="J36" s="19"/>
      <c r="K36" s="14"/>
      <c r="L36" s="14"/>
      <c r="M36" s="14"/>
      <c r="N36" s="22"/>
      <c r="O36" s="12" t="str">
        <f t="shared" si="0"/>
        <v>Pendiente</v>
      </c>
    </row>
    <row r="37" spans="1:15" ht="94.05" customHeight="1">
      <c r="A37" s="17" t="s">
        <v>300</v>
      </c>
      <c r="B37" s="9" t="s">
        <v>108</v>
      </c>
      <c r="C37" s="9" t="s">
        <v>301</v>
      </c>
      <c r="D37" s="17" t="s">
        <v>2433</v>
      </c>
      <c r="E37" s="9" t="s">
        <v>2434</v>
      </c>
      <c r="F37" s="9" t="s">
        <v>20</v>
      </c>
      <c r="G37" s="9" t="s">
        <v>42</v>
      </c>
      <c r="H37" s="9" t="s">
        <v>2435</v>
      </c>
      <c r="I37" s="13" t="s">
        <v>692</v>
      </c>
      <c r="J37" s="19"/>
      <c r="K37" s="14"/>
      <c r="L37" s="14"/>
      <c r="M37" s="14"/>
      <c r="N37" s="22"/>
      <c r="O37" s="12" t="str">
        <f t="shared" si="0"/>
        <v>Pendiente</v>
      </c>
    </row>
    <row r="38" spans="1:15" ht="94.05" customHeight="1">
      <c r="A38" s="17" t="s">
        <v>324</v>
      </c>
      <c r="B38" s="9" t="s">
        <v>108</v>
      </c>
      <c r="C38" s="9" t="s">
        <v>325</v>
      </c>
      <c r="D38" s="17" t="s">
        <v>2436</v>
      </c>
      <c r="E38" s="9" t="s">
        <v>2437</v>
      </c>
      <c r="F38" s="9" t="s">
        <v>20</v>
      </c>
      <c r="G38" s="9" t="s">
        <v>42</v>
      </c>
      <c r="H38" s="9" t="s">
        <v>2438</v>
      </c>
      <c r="I38" s="13" t="s">
        <v>692</v>
      </c>
      <c r="J38" s="19"/>
      <c r="K38" s="14"/>
      <c r="L38" s="14"/>
      <c r="M38" s="14"/>
      <c r="N38" s="22"/>
      <c r="O38" s="12" t="str">
        <f t="shared" si="0"/>
        <v>Pendiente</v>
      </c>
    </row>
    <row r="39" spans="1:15" ht="94.05" customHeight="1">
      <c r="A39" s="17" t="s">
        <v>332</v>
      </c>
      <c r="B39" s="9" t="s">
        <v>108</v>
      </c>
      <c r="C39" s="9" t="s">
        <v>333</v>
      </c>
      <c r="D39" s="17" t="s">
        <v>2439</v>
      </c>
      <c r="E39" s="9" t="s">
        <v>2440</v>
      </c>
      <c r="F39" s="9" t="s">
        <v>20</v>
      </c>
      <c r="G39" s="9" t="s">
        <v>42</v>
      </c>
      <c r="H39" s="9" t="s">
        <v>2441</v>
      </c>
      <c r="I39" s="13" t="s">
        <v>692</v>
      </c>
      <c r="J39" s="19"/>
      <c r="K39" s="14"/>
      <c r="L39" s="14"/>
      <c r="M39" s="14"/>
      <c r="N39" s="22"/>
      <c r="O39" s="12" t="str">
        <f t="shared" si="0"/>
        <v>Pendiente</v>
      </c>
    </row>
    <row r="40" spans="1:15" ht="61.95" customHeight="1">
      <c r="A40" s="17" t="s">
        <v>334</v>
      </c>
      <c r="B40" s="9" t="s">
        <v>108</v>
      </c>
      <c r="C40" s="9" t="s">
        <v>335</v>
      </c>
      <c r="D40" s="17" t="s">
        <v>2442</v>
      </c>
      <c r="E40" s="9" t="s">
        <v>2443</v>
      </c>
      <c r="F40" s="9" t="s">
        <v>20</v>
      </c>
      <c r="G40" s="9" t="s">
        <v>42</v>
      </c>
      <c r="H40" s="9" t="s">
        <v>2444</v>
      </c>
      <c r="I40" s="13" t="s">
        <v>692</v>
      </c>
      <c r="J40" s="19"/>
      <c r="K40" s="14"/>
      <c r="L40" s="14"/>
      <c r="M40" s="14"/>
      <c r="N40" s="22"/>
      <c r="O40" s="12" t="str">
        <f t="shared" si="0"/>
        <v>Pendiente</v>
      </c>
    </row>
    <row r="41" spans="1:15" ht="94.05" customHeight="1">
      <c r="A41" s="17" t="s">
        <v>344</v>
      </c>
      <c r="B41" s="9" t="s">
        <v>108</v>
      </c>
      <c r="C41" s="9" t="s">
        <v>345</v>
      </c>
      <c r="D41" s="17" t="s">
        <v>2445</v>
      </c>
      <c r="E41" s="9" t="s">
        <v>2446</v>
      </c>
      <c r="F41" s="9" t="s">
        <v>20</v>
      </c>
      <c r="G41" s="9" t="s">
        <v>42</v>
      </c>
      <c r="H41" s="9" t="s">
        <v>2447</v>
      </c>
      <c r="I41" s="13" t="s">
        <v>692</v>
      </c>
      <c r="J41" s="19"/>
      <c r="K41" s="14"/>
      <c r="L41" s="14"/>
      <c r="M41" s="14"/>
      <c r="N41" s="22"/>
      <c r="O41" s="12" t="str">
        <f t="shared" si="0"/>
        <v>Pendiente</v>
      </c>
    </row>
    <row r="42" spans="1:15" ht="94.05" customHeight="1">
      <c r="A42" s="17" t="s">
        <v>375</v>
      </c>
      <c r="B42" s="9" t="s">
        <v>357</v>
      </c>
      <c r="C42" s="9" t="s">
        <v>376</v>
      </c>
      <c r="D42" s="17" t="s">
        <v>2448</v>
      </c>
      <c r="E42" s="9" t="s">
        <v>2449</v>
      </c>
      <c r="F42" s="9" t="s">
        <v>20</v>
      </c>
      <c r="G42" s="9" t="s">
        <v>42</v>
      </c>
      <c r="H42" s="9" t="s">
        <v>2450</v>
      </c>
      <c r="I42" s="13" t="s">
        <v>692</v>
      </c>
      <c r="J42" s="19"/>
      <c r="K42" s="14"/>
      <c r="L42" s="14"/>
      <c r="M42" s="14"/>
      <c r="N42" s="22"/>
      <c r="O42" s="12" t="str">
        <f t="shared" si="0"/>
        <v>Pendiente</v>
      </c>
    </row>
    <row r="43" spans="1:15" ht="78" customHeight="1">
      <c r="A43" s="17" t="s">
        <v>423</v>
      </c>
      <c r="B43" s="9" t="s">
        <v>357</v>
      </c>
      <c r="C43" s="9" t="s">
        <v>424</v>
      </c>
      <c r="D43" s="17" t="s">
        <v>2451</v>
      </c>
      <c r="E43" s="9" t="s">
        <v>2452</v>
      </c>
      <c r="F43" s="9" t="s">
        <v>20</v>
      </c>
      <c r="G43" s="9" t="s">
        <v>42</v>
      </c>
      <c r="H43" s="9" t="s">
        <v>2453</v>
      </c>
      <c r="I43" s="13" t="s">
        <v>692</v>
      </c>
      <c r="J43" s="19"/>
      <c r="K43" s="14"/>
      <c r="L43" s="14"/>
      <c r="M43" s="14"/>
      <c r="N43" s="22"/>
      <c r="O43" s="12" t="str">
        <f t="shared" si="0"/>
        <v>Pendiente</v>
      </c>
    </row>
    <row r="44" spans="1:15" ht="94.05" customHeight="1">
      <c r="A44" s="17" t="s">
        <v>447</v>
      </c>
      <c r="B44" s="9" t="s">
        <v>357</v>
      </c>
      <c r="C44" s="9" t="s">
        <v>448</v>
      </c>
      <c r="D44" s="17" t="s">
        <v>2454</v>
      </c>
      <c r="E44" s="9" t="s">
        <v>2455</v>
      </c>
      <c r="F44" s="9" t="s">
        <v>20</v>
      </c>
      <c r="G44" s="9" t="s">
        <v>42</v>
      </c>
      <c r="H44" s="9" t="s">
        <v>2456</v>
      </c>
      <c r="I44" s="13" t="s">
        <v>692</v>
      </c>
      <c r="J44" s="19"/>
      <c r="K44" s="14"/>
      <c r="L44" s="14"/>
      <c r="M44" s="14"/>
      <c r="N44" s="22"/>
      <c r="O44" s="12" t="str">
        <f t="shared" si="0"/>
        <v>Pendiente</v>
      </c>
    </row>
    <row r="45" spans="1:15" ht="78" customHeight="1">
      <c r="A45" s="17" t="s">
        <v>453</v>
      </c>
      <c r="B45" s="9" t="s">
        <v>357</v>
      </c>
      <c r="C45" s="9" t="s">
        <v>454</v>
      </c>
      <c r="D45" s="17" t="s">
        <v>2457</v>
      </c>
      <c r="E45" s="9" t="s">
        <v>2458</v>
      </c>
      <c r="F45" s="9" t="s">
        <v>20</v>
      </c>
      <c r="G45" s="9" t="s">
        <v>42</v>
      </c>
      <c r="H45" s="9" t="s">
        <v>2459</v>
      </c>
      <c r="I45" s="13" t="s">
        <v>692</v>
      </c>
      <c r="J45" s="19"/>
      <c r="K45" s="14"/>
      <c r="L45" s="14"/>
      <c r="M45" s="14"/>
      <c r="N45" s="22"/>
      <c r="O45" s="12" t="str">
        <f t="shared" si="0"/>
        <v>Pendiente</v>
      </c>
    </row>
    <row r="46" spans="1:15" ht="78" customHeight="1">
      <c r="A46" s="17" t="s">
        <v>461</v>
      </c>
      <c r="B46" s="9" t="s">
        <v>357</v>
      </c>
      <c r="C46" s="9" t="s">
        <v>462</v>
      </c>
      <c r="D46" s="17" t="s">
        <v>2460</v>
      </c>
      <c r="E46" s="9" t="s">
        <v>2461</v>
      </c>
      <c r="F46" s="9" t="s">
        <v>20</v>
      </c>
      <c r="G46" s="9" t="s">
        <v>42</v>
      </c>
      <c r="H46" s="9" t="s">
        <v>2462</v>
      </c>
      <c r="I46" s="13" t="s">
        <v>692</v>
      </c>
      <c r="J46" s="19"/>
      <c r="K46" s="14"/>
      <c r="L46" s="14"/>
      <c r="M46" s="14"/>
      <c r="N46" s="22"/>
      <c r="O46" s="12" t="str">
        <f t="shared" si="0"/>
        <v>Pendiente</v>
      </c>
    </row>
    <row r="47" spans="1:15" ht="94.05" customHeight="1">
      <c r="A47" s="17" t="s">
        <v>468</v>
      </c>
      <c r="B47" s="9" t="s">
        <v>464</v>
      </c>
      <c r="C47" s="9" t="s">
        <v>469</v>
      </c>
      <c r="D47" s="17" t="s">
        <v>2463</v>
      </c>
      <c r="E47" s="9" t="s">
        <v>2464</v>
      </c>
      <c r="F47" s="9" t="s">
        <v>20</v>
      </c>
      <c r="G47" s="9" t="s">
        <v>42</v>
      </c>
      <c r="H47" s="9" t="s">
        <v>2465</v>
      </c>
      <c r="I47" s="13" t="s">
        <v>692</v>
      </c>
      <c r="J47" s="19"/>
      <c r="K47" s="14"/>
      <c r="L47" s="14"/>
      <c r="M47" s="14"/>
      <c r="N47" s="22"/>
      <c r="O47" s="12" t="str">
        <f t="shared" si="0"/>
        <v>Pendiente</v>
      </c>
    </row>
    <row r="48" spans="1:15" ht="94.05" customHeight="1">
      <c r="A48" s="17" t="s">
        <v>482</v>
      </c>
      <c r="B48" s="9" t="s">
        <v>464</v>
      </c>
      <c r="C48" s="9" t="s">
        <v>483</v>
      </c>
      <c r="D48" s="17" t="s">
        <v>2466</v>
      </c>
      <c r="E48" s="9" t="s">
        <v>2467</v>
      </c>
      <c r="F48" s="9" t="s">
        <v>20</v>
      </c>
      <c r="G48" s="9" t="s">
        <v>42</v>
      </c>
      <c r="H48" s="9" t="s">
        <v>2468</v>
      </c>
      <c r="I48" s="13" t="s">
        <v>692</v>
      </c>
      <c r="J48" s="19"/>
      <c r="K48" s="14"/>
      <c r="L48" s="14"/>
      <c r="M48" s="14"/>
      <c r="N48" s="22"/>
      <c r="O48" s="12" t="str">
        <f t="shared" si="0"/>
        <v>Pendiente</v>
      </c>
    </row>
    <row r="49" spans="1:15" ht="78" customHeight="1">
      <c r="A49" s="17" t="s">
        <v>488</v>
      </c>
      <c r="B49" s="9" t="s">
        <v>464</v>
      </c>
      <c r="C49" s="9" t="s">
        <v>489</v>
      </c>
      <c r="D49" s="17" t="s">
        <v>2469</v>
      </c>
      <c r="E49" s="9" t="s">
        <v>2470</v>
      </c>
      <c r="F49" s="9" t="s">
        <v>20</v>
      </c>
      <c r="G49" s="9" t="s">
        <v>42</v>
      </c>
      <c r="H49" s="9" t="s">
        <v>2471</v>
      </c>
      <c r="I49" s="13" t="s">
        <v>692</v>
      </c>
      <c r="J49" s="19"/>
      <c r="K49" s="14"/>
      <c r="L49" s="14"/>
      <c r="M49" s="14"/>
      <c r="N49" s="22"/>
      <c r="O49" s="12" t="str">
        <f t="shared" si="0"/>
        <v>Pendiente</v>
      </c>
    </row>
    <row r="50" spans="1:15" ht="94.05" customHeight="1">
      <c r="A50" s="17" t="s">
        <v>518</v>
      </c>
      <c r="B50" s="9" t="s">
        <v>464</v>
      </c>
      <c r="C50" s="9" t="s">
        <v>519</v>
      </c>
      <c r="D50" s="17" t="s">
        <v>2472</v>
      </c>
      <c r="E50" s="9" t="s">
        <v>2473</v>
      </c>
      <c r="F50" s="9" t="s">
        <v>20</v>
      </c>
      <c r="G50" s="9" t="s">
        <v>42</v>
      </c>
      <c r="H50" s="9" t="s">
        <v>2474</v>
      </c>
      <c r="I50" s="13" t="s">
        <v>692</v>
      </c>
      <c r="J50" s="19"/>
      <c r="K50" s="14"/>
      <c r="L50" s="14"/>
      <c r="M50" s="14"/>
      <c r="N50" s="22"/>
      <c r="O50" s="12" t="str">
        <f t="shared" si="0"/>
        <v>Pendiente</v>
      </c>
    </row>
    <row r="51" spans="1:15" ht="78" customHeight="1">
      <c r="A51" s="17" t="s">
        <v>532</v>
      </c>
      <c r="B51" s="9" t="s">
        <v>464</v>
      </c>
      <c r="C51" s="9" t="s">
        <v>533</v>
      </c>
      <c r="D51" s="17" t="s">
        <v>2475</v>
      </c>
      <c r="E51" s="9" t="s">
        <v>2476</v>
      </c>
      <c r="F51" s="9" t="s">
        <v>20</v>
      </c>
      <c r="G51" s="9" t="s">
        <v>42</v>
      </c>
      <c r="H51" s="9" t="s">
        <v>2477</v>
      </c>
      <c r="I51" s="13" t="s">
        <v>692</v>
      </c>
      <c r="J51" s="19"/>
      <c r="K51" s="14"/>
      <c r="L51" s="14"/>
      <c r="M51" s="14"/>
      <c r="N51" s="22"/>
      <c r="O51" s="12" t="str">
        <f t="shared" si="0"/>
        <v>Pendiente</v>
      </c>
    </row>
    <row r="52" spans="1:15" ht="78" customHeight="1">
      <c r="A52" s="17" t="s">
        <v>534</v>
      </c>
      <c r="B52" s="9" t="s">
        <v>464</v>
      </c>
      <c r="C52" s="9" t="s">
        <v>535</v>
      </c>
      <c r="D52" s="17" t="s">
        <v>2478</v>
      </c>
      <c r="E52" s="9" t="s">
        <v>2479</v>
      </c>
      <c r="F52" s="9" t="s">
        <v>20</v>
      </c>
      <c r="G52" s="9" t="s">
        <v>42</v>
      </c>
      <c r="H52" s="9" t="s">
        <v>2480</v>
      </c>
      <c r="I52" s="13" t="s">
        <v>692</v>
      </c>
      <c r="J52" s="19"/>
      <c r="K52" s="14"/>
      <c r="L52" s="14"/>
      <c r="M52" s="14"/>
      <c r="N52" s="22"/>
      <c r="O52" s="12" t="str">
        <f t="shared" si="0"/>
        <v>Pendiente</v>
      </c>
    </row>
    <row r="53" spans="1:15" ht="61.95" customHeight="1">
      <c r="A53" s="17" t="s">
        <v>536</v>
      </c>
      <c r="B53" s="9" t="s">
        <v>537</v>
      </c>
      <c r="C53" s="9" t="s">
        <v>538</v>
      </c>
      <c r="D53" s="17" t="s">
        <v>2481</v>
      </c>
      <c r="E53" s="9" t="s">
        <v>2482</v>
      </c>
      <c r="F53" s="9" t="s">
        <v>20</v>
      </c>
      <c r="G53" s="9" t="s">
        <v>42</v>
      </c>
      <c r="H53" s="9" t="s">
        <v>2483</v>
      </c>
      <c r="I53" s="13" t="s">
        <v>692</v>
      </c>
      <c r="J53" s="19"/>
      <c r="K53" s="14"/>
      <c r="L53" s="14"/>
      <c r="M53" s="14"/>
      <c r="N53" s="22"/>
      <c r="O53" s="12" t="str">
        <f t="shared" si="0"/>
        <v>Pendiente</v>
      </c>
    </row>
    <row r="54" spans="1:15" ht="61.95" customHeight="1">
      <c r="A54" s="17" t="s">
        <v>554</v>
      </c>
      <c r="B54" s="9" t="s">
        <v>537</v>
      </c>
      <c r="C54" s="9" t="s">
        <v>555</v>
      </c>
      <c r="D54" s="17" t="s">
        <v>2484</v>
      </c>
      <c r="E54" s="9" t="s">
        <v>2485</v>
      </c>
      <c r="F54" s="9" t="s">
        <v>20</v>
      </c>
      <c r="G54" s="9" t="s">
        <v>42</v>
      </c>
      <c r="H54" s="9" t="s">
        <v>2486</v>
      </c>
      <c r="I54" s="13" t="s">
        <v>692</v>
      </c>
      <c r="J54" s="19"/>
      <c r="K54" s="14"/>
      <c r="L54" s="14"/>
      <c r="M54" s="14"/>
      <c r="N54" s="22"/>
      <c r="O54" s="12" t="str">
        <f t="shared" si="0"/>
        <v>Pendiente</v>
      </c>
    </row>
    <row r="55" spans="1:15" ht="94.05" customHeight="1">
      <c r="A55" s="17" t="s">
        <v>562</v>
      </c>
      <c r="B55" s="9" t="s">
        <v>537</v>
      </c>
      <c r="C55" s="9" t="s">
        <v>563</v>
      </c>
      <c r="D55" s="17" t="s">
        <v>2487</v>
      </c>
      <c r="E55" s="9" t="s">
        <v>2488</v>
      </c>
      <c r="F55" s="9" t="s">
        <v>20</v>
      </c>
      <c r="G55" s="9" t="s">
        <v>42</v>
      </c>
      <c r="H55" s="9" t="s">
        <v>2489</v>
      </c>
      <c r="I55" s="13" t="s">
        <v>692</v>
      </c>
      <c r="J55" s="19"/>
      <c r="K55" s="14"/>
      <c r="L55" s="14"/>
      <c r="M55" s="14"/>
      <c r="N55" s="22"/>
      <c r="O55" s="12" t="str">
        <f t="shared" si="0"/>
        <v>Pendiente</v>
      </c>
    </row>
    <row r="56" spans="1:15" ht="94.05" customHeight="1">
      <c r="A56" s="17" t="s">
        <v>589</v>
      </c>
      <c r="B56" s="9" t="s">
        <v>537</v>
      </c>
      <c r="C56" s="9" t="s">
        <v>590</v>
      </c>
      <c r="D56" s="17" t="s">
        <v>2490</v>
      </c>
      <c r="E56" s="9" t="s">
        <v>2491</v>
      </c>
      <c r="F56" s="9" t="s">
        <v>20</v>
      </c>
      <c r="G56" s="9" t="s">
        <v>42</v>
      </c>
      <c r="H56" s="9" t="s">
        <v>2492</v>
      </c>
      <c r="I56" s="13" t="s">
        <v>692</v>
      </c>
      <c r="J56" s="19"/>
      <c r="K56" s="14"/>
      <c r="L56" s="14"/>
      <c r="M56" s="14"/>
      <c r="N56" s="22"/>
      <c r="O56" s="12" t="str">
        <f t="shared" si="0"/>
        <v>Pendiente</v>
      </c>
    </row>
    <row r="57" spans="1:15" ht="78" customHeight="1">
      <c r="A57" s="17" t="s">
        <v>601</v>
      </c>
      <c r="B57" s="9" t="s">
        <v>537</v>
      </c>
      <c r="C57" s="9" t="s">
        <v>602</v>
      </c>
      <c r="D57" s="17" t="s">
        <v>2493</v>
      </c>
      <c r="E57" s="9" t="s">
        <v>2494</v>
      </c>
      <c r="F57" s="9" t="s">
        <v>20</v>
      </c>
      <c r="G57" s="9" t="s">
        <v>42</v>
      </c>
      <c r="H57" s="9" t="s">
        <v>2495</v>
      </c>
      <c r="I57" s="13" t="s">
        <v>692</v>
      </c>
      <c r="J57" s="19"/>
      <c r="K57" s="14"/>
      <c r="L57" s="14"/>
      <c r="M57" s="14"/>
      <c r="N57" s="22"/>
      <c r="O57" s="12" t="str">
        <f t="shared" si="0"/>
        <v>Pendiente</v>
      </c>
    </row>
    <row r="58" spans="1:15" ht="61.95" customHeight="1">
      <c r="A58" s="17" t="s">
        <v>603</v>
      </c>
      <c r="B58" s="9" t="s">
        <v>537</v>
      </c>
      <c r="C58" s="9" t="s">
        <v>604</v>
      </c>
      <c r="D58" s="17" t="s">
        <v>2496</v>
      </c>
      <c r="E58" s="9" t="s">
        <v>2497</v>
      </c>
      <c r="F58" s="9" t="s">
        <v>20</v>
      </c>
      <c r="G58" s="9" t="s">
        <v>42</v>
      </c>
      <c r="H58" s="9" t="s">
        <v>2498</v>
      </c>
      <c r="I58" s="13" t="s">
        <v>692</v>
      </c>
      <c r="J58" s="19"/>
      <c r="K58" s="14"/>
      <c r="L58" s="14"/>
      <c r="M58" s="14"/>
      <c r="N58" s="22"/>
      <c r="O58" s="12" t="str">
        <f t="shared" si="0"/>
        <v>Pendiente</v>
      </c>
    </row>
    <row r="59" spans="1:15" ht="78" customHeight="1">
      <c r="A59" s="17" t="s">
        <v>625</v>
      </c>
      <c r="B59" s="9" t="s">
        <v>537</v>
      </c>
      <c r="C59" s="9" t="s">
        <v>626</v>
      </c>
      <c r="D59" s="17" t="s">
        <v>2490</v>
      </c>
      <c r="E59" s="9" t="s">
        <v>2491</v>
      </c>
      <c r="F59" s="9" t="s">
        <v>20</v>
      </c>
      <c r="G59" s="9" t="s">
        <v>42</v>
      </c>
      <c r="H59" s="9" t="s">
        <v>2499</v>
      </c>
      <c r="I59" s="13" t="s">
        <v>692</v>
      </c>
      <c r="J59" s="19"/>
      <c r="K59" s="14"/>
      <c r="L59" s="14"/>
      <c r="M59" s="14"/>
      <c r="N59" s="22"/>
      <c r="O59" s="12" t="str">
        <f t="shared" si="0"/>
        <v>Pendiente</v>
      </c>
    </row>
    <row r="60" spans="1:15" ht="78" customHeight="1">
      <c r="A60" s="17" t="s">
        <v>635</v>
      </c>
      <c r="B60" s="9" t="s">
        <v>537</v>
      </c>
      <c r="C60" s="9" t="s">
        <v>636</v>
      </c>
      <c r="D60" s="17" t="s">
        <v>2500</v>
      </c>
      <c r="E60" s="9" t="s">
        <v>2501</v>
      </c>
      <c r="F60" s="9" t="s">
        <v>20</v>
      </c>
      <c r="G60" s="9" t="s">
        <v>42</v>
      </c>
      <c r="H60" s="9" t="s">
        <v>2502</v>
      </c>
      <c r="I60" s="13" t="s">
        <v>692</v>
      </c>
      <c r="J60" s="19"/>
      <c r="K60" s="14"/>
      <c r="L60" s="14"/>
      <c r="M60" s="14"/>
      <c r="N60" s="22"/>
      <c r="O60" s="12" t="str">
        <f t="shared" si="0"/>
        <v>Pendiente</v>
      </c>
    </row>
    <row r="61" spans="1:15" ht="94.05" customHeight="1">
      <c r="A61" s="17" t="s">
        <v>342</v>
      </c>
      <c r="B61" s="9" t="s">
        <v>108</v>
      </c>
      <c r="C61" s="9" t="s">
        <v>343</v>
      </c>
      <c r="D61" s="17" t="s">
        <v>2503</v>
      </c>
      <c r="E61" s="9" t="s">
        <v>2504</v>
      </c>
      <c r="F61" s="9" t="s">
        <v>22</v>
      </c>
      <c r="G61" s="9" t="s">
        <v>42</v>
      </c>
      <c r="H61" s="9" t="s">
        <v>2505</v>
      </c>
      <c r="I61" s="13" t="s">
        <v>692</v>
      </c>
      <c r="J61" s="19"/>
      <c r="K61" s="14"/>
      <c r="L61" s="14"/>
      <c r="M61" s="14"/>
      <c r="N61" s="22"/>
      <c r="O61" s="12" t="str">
        <f t="shared" si="0"/>
        <v>Pendiente</v>
      </c>
    </row>
    <row r="62" spans="1:15" ht="78" customHeight="1">
      <c r="A62" s="17" t="s">
        <v>373</v>
      </c>
      <c r="B62" s="9" t="s">
        <v>357</v>
      </c>
      <c r="C62" s="9" t="s">
        <v>374</v>
      </c>
      <c r="D62" s="17" t="s">
        <v>2506</v>
      </c>
      <c r="E62" s="9" t="s">
        <v>2507</v>
      </c>
      <c r="F62" s="9" t="s">
        <v>22</v>
      </c>
      <c r="G62" s="9" t="s">
        <v>42</v>
      </c>
      <c r="H62" s="9" t="s">
        <v>2508</v>
      </c>
      <c r="I62" s="13" t="s">
        <v>692</v>
      </c>
      <c r="J62" s="19"/>
      <c r="K62" s="14"/>
      <c r="L62" s="14"/>
      <c r="M62" s="14"/>
      <c r="N62" s="22"/>
      <c r="O62" s="12" t="str">
        <f t="shared" si="0"/>
        <v>Pendiente</v>
      </c>
    </row>
    <row r="63" spans="1:15" ht="78" customHeight="1">
      <c r="A63" s="17" t="s">
        <v>403</v>
      </c>
      <c r="B63" s="9" t="s">
        <v>357</v>
      </c>
      <c r="C63" s="9" t="s">
        <v>404</v>
      </c>
      <c r="D63" s="17" t="s">
        <v>2509</v>
      </c>
      <c r="E63" s="9" t="s">
        <v>2510</v>
      </c>
      <c r="F63" s="9" t="s">
        <v>22</v>
      </c>
      <c r="G63" s="9" t="s">
        <v>42</v>
      </c>
      <c r="H63" s="9" t="s">
        <v>2511</v>
      </c>
      <c r="I63" s="13" t="s">
        <v>692</v>
      </c>
      <c r="J63" s="19"/>
      <c r="K63" s="14"/>
      <c r="L63" s="14"/>
      <c r="M63" s="14"/>
      <c r="N63" s="22"/>
      <c r="O63" s="12" t="str">
        <f t="shared" si="0"/>
        <v>Pendiente</v>
      </c>
    </row>
    <row r="64" spans="1:15" ht="94.05" customHeight="1">
      <c r="A64" s="17" t="s">
        <v>405</v>
      </c>
      <c r="B64" s="9" t="s">
        <v>357</v>
      </c>
      <c r="C64" s="9" t="s">
        <v>406</v>
      </c>
      <c r="D64" s="17" t="s">
        <v>2512</v>
      </c>
      <c r="E64" s="9" t="s">
        <v>2513</v>
      </c>
      <c r="F64" s="9" t="s">
        <v>22</v>
      </c>
      <c r="G64" s="9" t="s">
        <v>42</v>
      </c>
      <c r="H64" s="9" t="s">
        <v>2514</v>
      </c>
      <c r="I64" s="13" t="s">
        <v>692</v>
      </c>
      <c r="J64" s="19"/>
      <c r="K64" s="14"/>
      <c r="L64" s="14"/>
      <c r="M64" s="14"/>
      <c r="N64" s="22"/>
      <c r="O64" s="12" t="str">
        <f t="shared" si="0"/>
        <v>Pendiente</v>
      </c>
    </row>
    <row r="65" spans="1:15" ht="78" customHeight="1">
      <c r="A65" s="17" t="s">
        <v>407</v>
      </c>
      <c r="B65" s="9" t="s">
        <v>357</v>
      </c>
      <c r="C65" s="9" t="s">
        <v>408</v>
      </c>
      <c r="D65" s="17" t="s">
        <v>2515</v>
      </c>
      <c r="E65" s="9" t="s">
        <v>2516</v>
      </c>
      <c r="F65" s="9" t="s">
        <v>22</v>
      </c>
      <c r="G65" s="9" t="s">
        <v>42</v>
      </c>
      <c r="H65" s="9" t="s">
        <v>2517</v>
      </c>
      <c r="I65" s="13" t="s">
        <v>692</v>
      </c>
      <c r="J65" s="19"/>
      <c r="K65" s="14"/>
      <c r="L65" s="14"/>
      <c r="M65" s="14"/>
      <c r="N65" s="22"/>
      <c r="O65" s="12" t="str">
        <f t="shared" si="0"/>
        <v>Pendiente</v>
      </c>
    </row>
    <row r="66" spans="1:15" ht="78" customHeight="1">
      <c r="A66" s="17" t="s">
        <v>411</v>
      </c>
      <c r="B66" s="9" t="s">
        <v>357</v>
      </c>
      <c r="C66" s="9" t="s">
        <v>412</v>
      </c>
      <c r="D66" s="17" t="s">
        <v>2518</v>
      </c>
      <c r="E66" s="9" t="s">
        <v>2519</v>
      </c>
      <c r="F66" s="9" t="s">
        <v>22</v>
      </c>
      <c r="G66" s="9" t="s">
        <v>42</v>
      </c>
      <c r="H66" s="9" t="s">
        <v>2520</v>
      </c>
      <c r="I66" s="13" t="s">
        <v>692</v>
      </c>
      <c r="J66" s="19"/>
      <c r="K66" s="14"/>
      <c r="L66" s="14"/>
      <c r="M66" s="14"/>
      <c r="N66" s="22"/>
      <c r="O66" s="12" t="str">
        <f t="shared" si="0"/>
        <v>Pendiente</v>
      </c>
    </row>
    <row r="67" spans="1:15" ht="78" customHeight="1">
      <c r="A67" s="17" t="s">
        <v>421</v>
      </c>
      <c r="B67" s="9" t="s">
        <v>357</v>
      </c>
      <c r="C67" s="9" t="s">
        <v>422</v>
      </c>
      <c r="D67" s="17" t="s">
        <v>2521</v>
      </c>
      <c r="E67" s="9" t="s">
        <v>2522</v>
      </c>
      <c r="F67" s="9" t="s">
        <v>22</v>
      </c>
      <c r="G67" s="9" t="s">
        <v>42</v>
      </c>
      <c r="H67" s="9" t="s">
        <v>2523</v>
      </c>
      <c r="I67" s="13" t="s">
        <v>692</v>
      </c>
      <c r="J67" s="19"/>
      <c r="K67" s="14"/>
      <c r="L67" s="14"/>
      <c r="M67" s="14"/>
      <c r="N67" s="22"/>
      <c r="O67" s="12" t="str">
        <f t="shared" si="0"/>
        <v>Pendiente</v>
      </c>
    </row>
    <row r="68" spans="1:15" ht="78" customHeight="1">
      <c r="A68" s="17" t="s">
        <v>425</v>
      </c>
      <c r="B68" s="9" t="s">
        <v>357</v>
      </c>
      <c r="C68" s="9" t="s">
        <v>426</v>
      </c>
      <c r="D68" s="17" t="s">
        <v>2524</v>
      </c>
      <c r="E68" s="9" t="s">
        <v>2525</v>
      </c>
      <c r="F68" s="9" t="s">
        <v>22</v>
      </c>
      <c r="G68" s="9" t="s">
        <v>42</v>
      </c>
      <c r="H68" s="9" t="s">
        <v>2526</v>
      </c>
      <c r="I68" s="13" t="s">
        <v>692</v>
      </c>
      <c r="J68" s="19"/>
      <c r="K68" s="14"/>
      <c r="L68" s="14"/>
      <c r="M68" s="14"/>
      <c r="N68" s="22"/>
      <c r="O68" s="12" t="str">
        <f t="shared" si="0"/>
        <v>Pendiente</v>
      </c>
    </row>
    <row r="69" spans="1:15" ht="78" customHeight="1">
      <c r="A69" s="17" t="s">
        <v>427</v>
      </c>
      <c r="B69" s="9" t="s">
        <v>357</v>
      </c>
      <c r="C69" s="9" t="s">
        <v>428</v>
      </c>
      <c r="D69" s="17" t="s">
        <v>2527</v>
      </c>
      <c r="E69" s="9" t="s">
        <v>2528</v>
      </c>
      <c r="F69" s="9" t="s">
        <v>22</v>
      </c>
      <c r="G69" s="9" t="s">
        <v>42</v>
      </c>
      <c r="H69" s="9" t="s">
        <v>2529</v>
      </c>
      <c r="I69" s="13" t="s">
        <v>692</v>
      </c>
      <c r="J69" s="19"/>
      <c r="K69" s="14"/>
      <c r="L69" s="14"/>
      <c r="M69" s="14"/>
      <c r="N69" s="22"/>
      <c r="O69" s="12" t="str">
        <f t="shared" si="0"/>
        <v>Pendiente</v>
      </c>
    </row>
    <row r="70" spans="1:15" ht="109.95" customHeight="1">
      <c r="A70" s="17" t="s">
        <v>431</v>
      </c>
      <c r="B70" s="9" t="s">
        <v>357</v>
      </c>
      <c r="C70" s="9" t="s">
        <v>432</v>
      </c>
      <c r="D70" s="17" t="s">
        <v>2530</v>
      </c>
      <c r="E70" s="9" t="s">
        <v>2531</v>
      </c>
      <c r="F70" s="9" t="s">
        <v>22</v>
      </c>
      <c r="G70" s="9" t="s">
        <v>42</v>
      </c>
      <c r="H70" s="9" t="s">
        <v>2532</v>
      </c>
      <c r="I70" s="13" t="s">
        <v>692</v>
      </c>
      <c r="J70" s="19"/>
      <c r="K70" s="14"/>
      <c r="L70" s="14"/>
      <c r="M70" s="14"/>
      <c r="N70" s="22"/>
      <c r="O70" s="12" t="str">
        <f t="shared" si="0"/>
        <v>Pendiente</v>
      </c>
    </row>
    <row r="71" spans="1:15" ht="94.05" customHeight="1">
      <c r="A71" s="17" t="s">
        <v>435</v>
      </c>
      <c r="B71" s="9" t="s">
        <v>357</v>
      </c>
      <c r="C71" s="9" t="s">
        <v>436</v>
      </c>
      <c r="D71" s="17" t="s">
        <v>2533</v>
      </c>
      <c r="E71" s="9" t="s">
        <v>2534</v>
      </c>
      <c r="F71" s="9" t="s">
        <v>22</v>
      </c>
      <c r="G71" s="9" t="s">
        <v>42</v>
      </c>
      <c r="H71" s="9" t="s">
        <v>2535</v>
      </c>
      <c r="I71" s="13" t="s">
        <v>692</v>
      </c>
      <c r="J71" s="19"/>
      <c r="K71" s="14"/>
      <c r="L71" s="14"/>
      <c r="M71" s="14"/>
      <c r="N71" s="22"/>
      <c r="O71" s="12" t="str">
        <f t="shared" si="0"/>
        <v>Pendiente</v>
      </c>
    </row>
    <row r="72" spans="1:15" ht="94.05" customHeight="1">
      <c r="A72" s="17" t="s">
        <v>439</v>
      </c>
      <c r="B72" s="9" t="s">
        <v>357</v>
      </c>
      <c r="C72" s="9" t="s">
        <v>440</v>
      </c>
      <c r="D72" s="17" t="s">
        <v>2536</v>
      </c>
      <c r="E72" s="9" t="s">
        <v>2537</v>
      </c>
      <c r="F72" s="9" t="s">
        <v>22</v>
      </c>
      <c r="G72" s="9" t="s">
        <v>42</v>
      </c>
      <c r="H72" s="9" t="s">
        <v>2538</v>
      </c>
      <c r="I72" s="13" t="s">
        <v>692</v>
      </c>
      <c r="J72" s="19"/>
      <c r="K72" s="14"/>
      <c r="L72" s="14"/>
      <c r="M72" s="14"/>
      <c r="N72" s="22"/>
      <c r="O72" s="12" t="str">
        <f t="shared" ref="O72:O135" si="1">IF(I72="Pendiente","Pendiente",IF(I72="Equivalente confirmado",IF(OR(J72="",K72=""),"Falta código o nombre",IF(OR(L72="",M72=""),"Falta validación",IF(OR(NOT(ISNUMBER(N72)),N72&lt;=0),"Falta fecha","Homologado"))),IF(I72="Sin equivalente en SAP",IF(OR(J72&lt;&gt;"",K72&lt;&gt;""),"Quitar código y nombre",IF(OR(L72="",M72=""),"Falta validación",IF(OR(NOT(ISNUMBER(N72)),N72&lt;=0),"Falta fecha","Sin equivalente confirmado"))),"Revisar decisión")))</f>
        <v>Pendiente</v>
      </c>
    </row>
    <row r="73" spans="1:15" ht="94.05" customHeight="1">
      <c r="A73" s="17" t="s">
        <v>441</v>
      </c>
      <c r="B73" s="9" t="s">
        <v>357</v>
      </c>
      <c r="C73" s="9" t="s">
        <v>442</v>
      </c>
      <c r="D73" s="17" t="s">
        <v>2539</v>
      </c>
      <c r="E73" s="9" t="s">
        <v>2540</v>
      </c>
      <c r="F73" s="9" t="s">
        <v>22</v>
      </c>
      <c r="G73" s="9" t="s">
        <v>42</v>
      </c>
      <c r="H73" s="9" t="s">
        <v>2541</v>
      </c>
      <c r="I73" s="13" t="s">
        <v>692</v>
      </c>
      <c r="J73" s="19"/>
      <c r="K73" s="14"/>
      <c r="L73" s="14"/>
      <c r="M73" s="14"/>
      <c r="N73" s="22"/>
      <c r="O73" s="12" t="str">
        <f t="shared" si="1"/>
        <v>Pendiente</v>
      </c>
    </row>
    <row r="74" spans="1:15" ht="61.95" customHeight="1">
      <c r="A74" s="17" t="s">
        <v>443</v>
      </c>
      <c r="B74" s="9" t="s">
        <v>357</v>
      </c>
      <c r="C74" s="9" t="s">
        <v>444</v>
      </c>
      <c r="D74" s="17" t="s">
        <v>2542</v>
      </c>
      <c r="E74" s="9" t="s">
        <v>2543</v>
      </c>
      <c r="F74" s="9" t="s">
        <v>22</v>
      </c>
      <c r="G74" s="9" t="s">
        <v>42</v>
      </c>
      <c r="H74" s="9" t="s">
        <v>2544</v>
      </c>
      <c r="I74" s="13" t="s">
        <v>692</v>
      </c>
      <c r="J74" s="19"/>
      <c r="K74" s="14"/>
      <c r="L74" s="14"/>
      <c r="M74" s="14"/>
      <c r="N74" s="22"/>
      <c r="O74" s="12" t="str">
        <f t="shared" si="1"/>
        <v>Pendiente</v>
      </c>
    </row>
    <row r="75" spans="1:15" ht="109.95" customHeight="1">
      <c r="A75" s="17" t="s">
        <v>496</v>
      </c>
      <c r="B75" s="9" t="s">
        <v>464</v>
      </c>
      <c r="C75" s="9" t="s">
        <v>497</v>
      </c>
      <c r="D75" s="17" t="s">
        <v>2545</v>
      </c>
      <c r="E75" s="9" t="s">
        <v>2546</v>
      </c>
      <c r="F75" s="9" t="s">
        <v>22</v>
      </c>
      <c r="G75" s="9" t="s">
        <v>42</v>
      </c>
      <c r="H75" s="9" t="s">
        <v>2547</v>
      </c>
      <c r="I75" s="13" t="s">
        <v>692</v>
      </c>
      <c r="J75" s="19"/>
      <c r="K75" s="14"/>
      <c r="L75" s="14"/>
      <c r="M75" s="14"/>
      <c r="N75" s="22"/>
      <c r="O75" s="12" t="str">
        <f t="shared" si="1"/>
        <v>Pendiente</v>
      </c>
    </row>
    <row r="76" spans="1:15" ht="94.05" customHeight="1">
      <c r="A76" s="17" t="s">
        <v>502</v>
      </c>
      <c r="B76" s="9" t="s">
        <v>464</v>
      </c>
      <c r="C76" s="9" t="s">
        <v>503</v>
      </c>
      <c r="D76" s="17" t="s">
        <v>2548</v>
      </c>
      <c r="E76" s="9" t="s">
        <v>2549</v>
      </c>
      <c r="F76" s="9" t="s">
        <v>22</v>
      </c>
      <c r="G76" s="9" t="s">
        <v>42</v>
      </c>
      <c r="H76" s="9" t="s">
        <v>2550</v>
      </c>
      <c r="I76" s="13" t="s">
        <v>692</v>
      </c>
      <c r="J76" s="19"/>
      <c r="K76" s="14"/>
      <c r="L76" s="14"/>
      <c r="M76" s="14"/>
      <c r="N76" s="22"/>
      <c r="O76" s="12" t="str">
        <f t="shared" si="1"/>
        <v>Pendiente</v>
      </c>
    </row>
    <row r="77" spans="1:15" ht="94.05" customHeight="1">
      <c r="A77" s="17" t="s">
        <v>528</v>
      </c>
      <c r="B77" s="9" t="s">
        <v>464</v>
      </c>
      <c r="C77" s="9" t="s">
        <v>529</v>
      </c>
      <c r="D77" s="17" t="s">
        <v>2551</v>
      </c>
      <c r="E77" s="9" t="s">
        <v>2552</v>
      </c>
      <c r="F77" s="9" t="s">
        <v>22</v>
      </c>
      <c r="G77" s="9" t="s">
        <v>42</v>
      </c>
      <c r="H77" s="9" t="s">
        <v>2553</v>
      </c>
      <c r="I77" s="13" t="s">
        <v>692</v>
      </c>
      <c r="J77" s="19"/>
      <c r="K77" s="14"/>
      <c r="L77" s="14"/>
      <c r="M77" s="14"/>
      <c r="N77" s="22"/>
      <c r="O77" s="12" t="str">
        <f t="shared" si="1"/>
        <v>Pendiente</v>
      </c>
    </row>
    <row r="78" spans="1:15" ht="78" customHeight="1">
      <c r="A78" s="17" t="s">
        <v>543</v>
      </c>
      <c r="B78" s="9" t="s">
        <v>537</v>
      </c>
      <c r="C78" s="9" t="s">
        <v>544</v>
      </c>
      <c r="D78" s="17" t="s">
        <v>2542</v>
      </c>
      <c r="E78" s="9" t="s">
        <v>2543</v>
      </c>
      <c r="F78" s="9" t="s">
        <v>22</v>
      </c>
      <c r="G78" s="9" t="s">
        <v>42</v>
      </c>
      <c r="H78" s="9" t="s">
        <v>2554</v>
      </c>
      <c r="I78" s="13" t="s">
        <v>692</v>
      </c>
      <c r="J78" s="19"/>
      <c r="K78" s="14"/>
      <c r="L78" s="14"/>
      <c r="M78" s="14"/>
      <c r="N78" s="22"/>
      <c r="O78" s="12" t="str">
        <f t="shared" si="1"/>
        <v>Pendiente</v>
      </c>
    </row>
    <row r="79" spans="1:15" ht="94.05" customHeight="1">
      <c r="A79" s="17" t="s">
        <v>545</v>
      </c>
      <c r="B79" s="9" t="s">
        <v>537</v>
      </c>
      <c r="C79" s="9" t="s">
        <v>442</v>
      </c>
      <c r="D79" s="17" t="s">
        <v>2539</v>
      </c>
      <c r="E79" s="9" t="s">
        <v>2540</v>
      </c>
      <c r="F79" s="9" t="s">
        <v>22</v>
      </c>
      <c r="G79" s="9" t="s">
        <v>42</v>
      </c>
      <c r="H79" s="9" t="s">
        <v>2541</v>
      </c>
      <c r="I79" s="13" t="s">
        <v>692</v>
      </c>
      <c r="J79" s="19"/>
      <c r="K79" s="14"/>
      <c r="L79" s="14"/>
      <c r="M79" s="14"/>
      <c r="N79" s="22"/>
      <c r="O79" s="12" t="str">
        <f t="shared" si="1"/>
        <v>Pendiente</v>
      </c>
    </row>
    <row r="80" spans="1:15" ht="109.95" customHeight="1">
      <c r="A80" s="17" t="s">
        <v>546</v>
      </c>
      <c r="B80" s="9" t="s">
        <v>537</v>
      </c>
      <c r="C80" s="9" t="s">
        <v>547</v>
      </c>
      <c r="D80" s="17" t="s">
        <v>2555</v>
      </c>
      <c r="E80" s="9" t="s">
        <v>2556</v>
      </c>
      <c r="F80" s="9" t="s">
        <v>22</v>
      </c>
      <c r="G80" s="9" t="s">
        <v>42</v>
      </c>
      <c r="H80" s="9" t="s">
        <v>2557</v>
      </c>
      <c r="I80" s="13" t="s">
        <v>692</v>
      </c>
      <c r="J80" s="19"/>
      <c r="K80" s="14"/>
      <c r="L80" s="14"/>
      <c r="M80" s="14"/>
      <c r="N80" s="22"/>
      <c r="O80" s="12" t="str">
        <f t="shared" si="1"/>
        <v>Pendiente</v>
      </c>
    </row>
    <row r="81" spans="1:15" ht="94.05" customHeight="1">
      <c r="A81" s="17" t="s">
        <v>549</v>
      </c>
      <c r="B81" s="9" t="s">
        <v>537</v>
      </c>
      <c r="C81" s="9" t="s">
        <v>550</v>
      </c>
      <c r="D81" s="17" t="s">
        <v>2558</v>
      </c>
      <c r="E81" s="9" t="s">
        <v>2559</v>
      </c>
      <c r="F81" s="9" t="s">
        <v>22</v>
      </c>
      <c r="G81" s="9" t="s">
        <v>42</v>
      </c>
      <c r="H81" s="9" t="s">
        <v>2560</v>
      </c>
      <c r="I81" s="13" t="s">
        <v>692</v>
      </c>
      <c r="J81" s="19"/>
      <c r="K81" s="14"/>
      <c r="L81" s="14"/>
      <c r="M81" s="14"/>
      <c r="N81" s="22"/>
      <c r="O81" s="12" t="str">
        <f t="shared" si="1"/>
        <v>Pendiente</v>
      </c>
    </row>
    <row r="82" spans="1:15" ht="61.95" customHeight="1">
      <c r="A82" s="17" t="s">
        <v>568</v>
      </c>
      <c r="B82" s="9" t="s">
        <v>537</v>
      </c>
      <c r="C82" s="9" t="s">
        <v>569</v>
      </c>
      <c r="D82" s="17" t="s">
        <v>2561</v>
      </c>
      <c r="E82" s="9" t="s">
        <v>2562</v>
      </c>
      <c r="F82" s="9" t="s">
        <v>22</v>
      </c>
      <c r="G82" s="9" t="s">
        <v>42</v>
      </c>
      <c r="H82" s="9" t="s">
        <v>2563</v>
      </c>
      <c r="I82" s="13" t="s">
        <v>692</v>
      </c>
      <c r="J82" s="19"/>
      <c r="K82" s="14"/>
      <c r="L82" s="14"/>
      <c r="M82" s="14"/>
      <c r="N82" s="22"/>
      <c r="O82" s="12" t="str">
        <f t="shared" si="1"/>
        <v>Pendiente</v>
      </c>
    </row>
    <row r="83" spans="1:15" ht="78" customHeight="1">
      <c r="A83" s="17" t="s">
        <v>570</v>
      </c>
      <c r="B83" s="9" t="s">
        <v>537</v>
      </c>
      <c r="C83" s="9" t="s">
        <v>571</v>
      </c>
      <c r="D83" s="17" t="s">
        <v>2518</v>
      </c>
      <c r="E83" s="9" t="s">
        <v>2519</v>
      </c>
      <c r="F83" s="9" t="s">
        <v>22</v>
      </c>
      <c r="G83" s="9" t="s">
        <v>42</v>
      </c>
      <c r="H83" s="9" t="s">
        <v>2564</v>
      </c>
      <c r="I83" s="13" t="s">
        <v>692</v>
      </c>
      <c r="J83" s="19"/>
      <c r="K83" s="14"/>
      <c r="L83" s="14"/>
      <c r="M83" s="14"/>
      <c r="N83" s="22"/>
      <c r="O83" s="12" t="str">
        <f t="shared" si="1"/>
        <v>Pendiente</v>
      </c>
    </row>
    <row r="84" spans="1:15" ht="94.05" customHeight="1">
      <c r="A84" s="17" t="s">
        <v>574</v>
      </c>
      <c r="B84" s="9" t="s">
        <v>537</v>
      </c>
      <c r="C84" s="9" t="s">
        <v>575</v>
      </c>
      <c r="D84" s="17" t="s">
        <v>2565</v>
      </c>
      <c r="E84" s="9" t="s">
        <v>2566</v>
      </c>
      <c r="F84" s="9" t="s">
        <v>22</v>
      </c>
      <c r="G84" s="9" t="s">
        <v>42</v>
      </c>
      <c r="H84" s="9" t="s">
        <v>2567</v>
      </c>
      <c r="I84" s="13" t="s">
        <v>692</v>
      </c>
      <c r="J84" s="19"/>
      <c r="K84" s="14"/>
      <c r="L84" s="14"/>
      <c r="M84" s="14"/>
      <c r="N84" s="22"/>
      <c r="O84" s="12" t="str">
        <f t="shared" si="1"/>
        <v>Pendiente</v>
      </c>
    </row>
    <row r="85" spans="1:15" ht="126" customHeight="1">
      <c r="A85" s="17" t="s">
        <v>576</v>
      </c>
      <c r="B85" s="9" t="s">
        <v>537</v>
      </c>
      <c r="C85" s="9" t="s">
        <v>577</v>
      </c>
      <c r="D85" s="17" t="s">
        <v>2568</v>
      </c>
      <c r="E85" s="9" t="s">
        <v>2569</v>
      </c>
      <c r="F85" s="9" t="s">
        <v>22</v>
      </c>
      <c r="G85" s="9" t="s">
        <v>42</v>
      </c>
      <c r="H85" s="9" t="s">
        <v>2570</v>
      </c>
      <c r="I85" s="13" t="s">
        <v>692</v>
      </c>
      <c r="J85" s="19"/>
      <c r="K85" s="14"/>
      <c r="L85" s="14"/>
      <c r="M85" s="14"/>
      <c r="N85" s="22"/>
      <c r="O85" s="12" t="str">
        <f t="shared" si="1"/>
        <v>Pendiente</v>
      </c>
    </row>
    <row r="86" spans="1:15" ht="94.05" customHeight="1">
      <c r="A86" s="17" t="s">
        <v>579</v>
      </c>
      <c r="B86" s="9" t="s">
        <v>537</v>
      </c>
      <c r="C86" s="9" t="s">
        <v>580</v>
      </c>
      <c r="D86" s="17" t="s">
        <v>2571</v>
      </c>
      <c r="E86" s="9" t="s">
        <v>2572</v>
      </c>
      <c r="F86" s="9" t="s">
        <v>22</v>
      </c>
      <c r="G86" s="9" t="s">
        <v>42</v>
      </c>
      <c r="H86" s="9" t="s">
        <v>2573</v>
      </c>
      <c r="I86" s="13" t="s">
        <v>692</v>
      </c>
      <c r="J86" s="19"/>
      <c r="K86" s="14"/>
      <c r="L86" s="14"/>
      <c r="M86" s="14"/>
      <c r="N86" s="22"/>
      <c r="O86" s="12" t="str">
        <f t="shared" si="1"/>
        <v>Pendiente</v>
      </c>
    </row>
    <row r="87" spans="1:15" ht="109.95" customHeight="1">
      <c r="A87" s="17" t="s">
        <v>583</v>
      </c>
      <c r="B87" s="9" t="s">
        <v>537</v>
      </c>
      <c r="C87" s="9" t="s">
        <v>584</v>
      </c>
      <c r="D87" s="17" t="s">
        <v>2545</v>
      </c>
      <c r="E87" s="9" t="s">
        <v>2546</v>
      </c>
      <c r="F87" s="9" t="s">
        <v>22</v>
      </c>
      <c r="G87" s="9" t="s">
        <v>42</v>
      </c>
      <c r="H87" s="9" t="s">
        <v>2547</v>
      </c>
      <c r="I87" s="13" t="s">
        <v>692</v>
      </c>
      <c r="J87" s="19"/>
      <c r="K87" s="14"/>
      <c r="L87" s="14"/>
      <c r="M87" s="14"/>
      <c r="N87" s="22"/>
      <c r="O87" s="12" t="str">
        <f t="shared" si="1"/>
        <v>Pendiente</v>
      </c>
    </row>
    <row r="88" spans="1:15" ht="78" customHeight="1">
      <c r="A88" s="17" t="s">
        <v>605</v>
      </c>
      <c r="B88" s="9" t="s">
        <v>537</v>
      </c>
      <c r="C88" s="9" t="s">
        <v>606</v>
      </c>
      <c r="D88" s="17" t="s">
        <v>2574</v>
      </c>
      <c r="E88" s="9" t="s">
        <v>2575</v>
      </c>
      <c r="F88" s="9" t="s">
        <v>22</v>
      </c>
      <c r="G88" s="9" t="s">
        <v>42</v>
      </c>
      <c r="H88" s="9" t="s">
        <v>2576</v>
      </c>
      <c r="I88" s="13" t="s">
        <v>692</v>
      </c>
      <c r="J88" s="19"/>
      <c r="K88" s="14"/>
      <c r="L88" s="14"/>
      <c r="M88" s="14"/>
      <c r="N88" s="22"/>
      <c r="O88" s="12" t="str">
        <f t="shared" si="1"/>
        <v>Pendiente</v>
      </c>
    </row>
    <row r="89" spans="1:15" ht="61.95" customHeight="1">
      <c r="A89" s="17" t="s">
        <v>611</v>
      </c>
      <c r="B89" s="9" t="s">
        <v>537</v>
      </c>
      <c r="C89" s="9" t="s">
        <v>612</v>
      </c>
      <c r="D89" s="17" t="s">
        <v>2577</v>
      </c>
      <c r="E89" s="9" t="s">
        <v>2578</v>
      </c>
      <c r="F89" s="9" t="s">
        <v>22</v>
      </c>
      <c r="G89" s="9" t="s">
        <v>42</v>
      </c>
      <c r="H89" s="9" t="s">
        <v>2579</v>
      </c>
      <c r="I89" s="13" t="s">
        <v>692</v>
      </c>
      <c r="J89" s="19"/>
      <c r="K89" s="14"/>
      <c r="L89" s="14"/>
      <c r="M89" s="14"/>
      <c r="N89" s="22"/>
      <c r="O89" s="12" t="str">
        <f t="shared" si="1"/>
        <v>Pendiente</v>
      </c>
    </row>
    <row r="90" spans="1:15" ht="109.95" customHeight="1">
      <c r="A90" s="17" t="s">
        <v>613</v>
      </c>
      <c r="B90" s="9" t="s">
        <v>537</v>
      </c>
      <c r="C90" s="9" t="s">
        <v>614</v>
      </c>
      <c r="D90" s="17" t="s">
        <v>2580</v>
      </c>
      <c r="E90" s="9" t="s">
        <v>2581</v>
      </c>
      <c r="F90" s="9" t="s">
        <v>22</v>
      </c>
      <c r="G90" s="9" t="s">
        <v>42</v>
      </c>
      <c r="H90" s="9" t="s">
        <v>2582</v>
      </c>
      <c r="I90" s="13" t="s">
        <v>692</v>
      </c>
      <c r="J90" s="19"/>
      <c r="K90" s="14"/>
      <c r="L90" s="14"/>
      <c r="M90" s="14"/>
      <c r="N90" s="22"/>
      <c r="O90" s="12" t="str">
        <f t="shared" si="1"/>
        <v>Pendiente</v>
      </c>
    </row>
    <row r="91" spans="1:15" ht="94.05" customHeight="1">
      <c r="A91" s="17" t="s">
        <v>617</v>
      </c>
      <c r="B91" s="9" t="s">
        <v>537</v>
      </c>
      <c r="C91" s="9" t="s">
        <v>618</v>
      </c>
      <c r="D91" s="17" t="s">
        <v>2583</v>
      </c>
      <c r="E91" s="9" t="s">
        <v>2584</v>
      </c>
      <c r="F91" s="9" t="s">
        <v>22</v>
      </c>
      <c r="G91" s="9" t="s">
        <v>42</v>
      </c>
      <c r="H91" s="9" t="s">
        <v>2585</v>
      </c>
      <c r="I91" s="13" t="s">
        <v>692</v>
      </c>
      <c r="J91" s="19"/>
      <c r="K91" s="14"/>
      <c r="L91" s="14"/>
      <c r="M91" s="14"/>
      <c r="N91" s="22"/>
      <c r="O91" s="12" t="str">
        <f t="shared" si="1"/>
        <v>Pendiente</v>
      </c>
    </row>
    <row r="92" spans="1:15" ht="61.95" customHeight="1">
      <c r="A92" s="17" t="s">
        <v>623</v>
      </c>
      <c r="B92" s="9" t="s">
        <v>537</v>
      </c>
      <c r="C92" s="9" t="s">
        <v>624</v>
      </c>
      <c r="D92" s="17" t="s">
        <v>2586</v>
      </c>
      <c r="E92" s="9" t="s">
        <v>2587</v>
      </c>
      <c r="F92" s="9" t="s">
        <v>22</v>
      </c>
      <c r="G92" s="9" t="s">
        <v>42</v>
      </c>
      <c r="H92" s="9" t="s">
        <v>2588</v>
      </c>
      <c r="I92" s="13" t="s">
        <v>692</v>
      </c>
      <c r="J92" s="19"/>
      <c r="K92" s="14"/>
      <c r="L92" s="14"/>
      <c r="M92" s="14"/>
      <c r="N92" s="22"/>
      <c r="O92" s="12" t="str">
        <f t="shared" si="1"/>
        <v>Pendiente</v>
      </c>
    </row>
    <row r="93" spans="1:15" ht="94.05" customHeight="1">
      <c r="A93" s="17" t="s">
        <v>627</v>
      </c>
      <c r="B93" s="9" t="s">
        <v>537</v>
      </c>
      <c r="C93" s="9" t="s">
        <v>628</v>
      </c>
      <c r="D93" s="17" t="s">
        <v>2589</v>
      </c>
      <c r="E93" s="9" t="s">
        <v>2590</v>
      </c>
      <c r="F93" s="9" t="s">
        <v>22</v>
      </c>
      <c r="G93" s="9" t="s">
        <v>42</v>
      </c>
      <c r="H93" s="9" t="s">
        <v>2591</v>
      </c>
      <c r="I93" s="13" t="s">
        <v>692</v>
      </c>
      <c r="J93" s="19"/>
      <c r="K93" s="14"/>
      <c r="L93" s="14"/>
      <c r="M93" s="14"/>
      <c r="N93" s="22"/>
      <c r="O93" s="12" t="str">
        <f t="shared" si="1"/>
        <v>Pendiente</v>
      </c>
    </row>
    <row r="94" spans="1:15" ht="94.05" customHeight="1">
      <c r="A94" s="17" t="s">
        <v>632</v>
      </c>
      <c r="B94" s="9" t="s">
        <v>537</v>
      </c>
      <c r="C94" s="9" t="s">
        <v>343</v>
      </c>
      <c r="D94" s="17" t="s">
        <v>2503</v>
      </c>
      <c r="E94" s="9" t="s">
        <v>2504</v>
      </c>
      <c r="F94" s="9" t="s">
        <v>22</v>
      </c>
      <c r="G94" s="9" t="s">
        <v>42</v>
      </c>
      <c r="H94" s="9" t="s">
        <v>2505</v>
      </c>
      <c r="I94" s="13" t="s">
        <v>692</v>
      </c>
      <c r="J94" s="19"/>
      <c r="K94" s="14"/>
      <c r="L94" s="14"/>
      <c r="M94" s="14"/>
      <c r="N94" s="22"/>
      <c r="O94" s="12" t="str">
        <f t="shared" si="1"/>
        <v>Pendiente</v>
      </c>
    </row>
    <row r="95" spans="1:15" ht="78" customHeight="1">
      <c r="A95" s="17" t="s">
        <v>633</v>
      </c>
      <c r="B95" s="9" t="s">
        <v>537</v>
      </c>
      <c r="C95" s="9" t="s">
        <v>634</v>
      </c>
      <c r="D95" s="17" t="s">
        <v>2592</v>
      </c>
      <c r="E95" s="9" t="s">
        <v>2593</v>
      </c>
      <c r="F95" s="9" t="s">
        <v>22</v>
      </c>
      <c r="G95" s="9" t="s">
        <v>42</v>
      </c>
      <c r="H95" s="9" t="s">
        <v>2594</v>
      </c>
      <c r="I95" s="13" t="s">
        <v>692</v>
      </c>
      <c r="J95" s="19"/>
      <c r="K95" s="14"/>
      <c r="L95" s="14"/>
      <c r="M95" s="14"/>
      <c r="N95" s="22"/>
      <c r="O95" s="12" t="str">
        <f t="shared" si="1"/>
        <v>Pendiente</v>
      </c>
    </row>
    <row r="96" spans="1:15" ht="94.05" customHeight="1">
      <c r="A96" s="17" t="s">
        <v>638</v>
      </c>
      <c r="B96" s="9" t="s">
        <v>537</v>
      </c>
      <c r="C96" s="9" t="s">
        <v>639</v>
      </c>
      <c r="D96" s="17" t="s">
        <v>2595</v>
      </c>
      <c r="E96" s="9" t="s">
        <v>2596</v>
      </c>
      <c r="F96" s="9" t="s">
        <v>22</v>
      </c>
      <c r="G96" s="9" t="s">
        <v>42</v>
      </c>
      <c r="H96" s="9" t="s">
        <v>2597</v>
      </c>
      <c r="I96" s="13" t="s">
        <v>692</v>
      </c>
      <c r="J96" s="19"/>
      <c r="K96" s="14"/>
      <c r="L96" s="14"/>
      <c r="M96" s="14"/>
      <c r="N96" s="22"/>
      <c r="O96" s="12" t="str">
        <f t="shared" si="1"/>
        <v>Pendiente</v>
      </c>
    </row>
    <row r="97" spans="1:15" ht="142.05000000000001" customHeight="1">
      <c r="A97" s="17" t="s">
        <v>644</v>
      </c>
      <c r="B97" s="9" t="s">
        <v>537</v>
      </c>
      <c r="C97" s="9" t="s">
        <v>645</v>
      </c>
      <c r="D97" s="17" t="s">
        <v>2598</v>
      </c>
      <c r="E97" s="9" t="s">
        <v>2599</v>
      </c>
      <c r="F97" s="9" t="s">
        <v>22</v>
      </c>
      <c r="G97" s="9" t="s">
        <v>42</v>
      </c>
      <c r="H97" s="9" t="s">
        <v>2600</v>
      </c>
      <c r="I97" s="13" t="s">
        <v>692</v>
      </c>
      <c r="J97" s="19"/>
      <c r="K97" s="14"/>
      <c r="L97" s="14"/>
      <c r="M97" s="14"/>
      <c r="N97" s="22"/>
      <c r="O97" s="12" t="str">
        <f t="shared" si="1"/>
        <v>Pendiente</v>
      </c>
    </row>
    <row r="98" spans="1:15" ht="94.05" customHeight="1">
      <c r="A98" s="17" t="s">
        <v>646</v>
      </c>
      <c r="B98" s="9" t="s">
        <v>537</v>
      </c>
      <c r="C98" s="9" t="s">
        <v>647</v>
      </c>
      <c r="D98" s="17" t="s">
        <v>2601</v>
      </c>
      <c r="E98" s="9" t="s">
        <v>2602</v>
      </c>
      <c r="F98" s="9" t="s">
        <v>22</v>
      </c>
      <c r="G98" s="9" t="s">
        <v>42</v>
      </c>
      <c r="H98" s="9" t="s">
        <v>2603</v>
      </c>
      <c r="I98" s="13" t="s">
        <v>692</v>
      </c>
      <c r="J98" s="19"/>
      <c r="K98" s="14"/>
      <c r="L98" s="14"/>
      <c r="M98" s="14"/>
      <c r="N98" s="22"/>
      <c r="O98" s="12" t="str">
        <f t="shared" si="1"/>
        <v>Pendiente</v>
      </c>
    </row>
    <row r="99" spans="1:15" ht="78" customHeight="1">
      <c r="A99" s="17" t="s">
        <v>648</v>
      </c>
      <c r="B99" s="9" t="s">
        <v>537</v>
      </c>
      <c r="C99" s="9" t="s">
        <v>649</v>
      </c>
      <c r="D99" s="17" t="s">
        <v>2604</v>
      </c>
      <c r="E99" s="9" t="s">
        <v>2605</v>
      </c>
      <c r="F99" s="9" t="s">
        <v>22</v>
      </c>
      <c r="G99" s="9" t="s">
        <v>42</v>
      </c>
      <c r="H99" s="9" t="s">
        <v>2606</v>
      </c>
      <c r="I99" s="13" t="s">
        <v>692</v>
      </c>
      <c r="J99" s="19"/>
      <c r="K99" s="14"/>
      <c r="L99" s="14"/>
      <c r="M99" s="14"/>
      <c r="N99" s="22"/>
      <c r="O99" s="12" t="str">
        <f t="shared" si="1"/>
        <v>Pendiente</v>
      </c>
    </row>
    <row r="100" spans="1:15" ht="109.95" customHeight="1">
      <c r="A100" s="17" t="s">
        <v>652</v>
      </c>
      <c r="B100" s="9" t="s">
        <v>537</v>
      </c>
      <c r="C100" s="9" t="s">
        <v>653</v>
      </c>
      <c r="D100" s="17" t="s">
        <v>2607</v>
      </c>
      <c r="E100" s="9" t="s">
        <v>2608</v>
      </c>
      <c r="F100" s="9" t="s">
        <v>22</v>
      </c>
      <c r="G100" s="9" t="s">
        <v>42</v>
      </c>
      <c r="H100" s="9" t="s">
        <v>2609</v>
      </c>
      <c r="I100" s="13" t="s">
        <v>692</v>
      </c>
      <c r="J100" s="19"/>
      <c r="K100" s="14"/>
      <c r="L100" s="14"/>
      <c r="M100" s="14"/>
      <c r="N100" s="22"/>
      <c r="O100" s="12" t="str">
        <f t="shared" si="1"/>
        <v>Pendiente</v>
      </c>
    </row>
    <row r="101" spans="1:15" ht="174" customHeight="1">
      <c r="A101" s="17" t="s">
        <v>656</v>
      </c>
      <c r="B101" s="9" t="s">
        <v>537</v>
      </c>
      <c r="C101" s="9" t="s">
        <v>657</v>
      </c>
      <c r="D101" s="17" t="s">
        <v>2610</v>
      </c>
      <c r="E101" s="9" t="s">
        <v>2611</v>
      </c>
      <c r="F101" s="9" t="s">
        <v>22</v>
      </c>
      <c r="G101" s="9" t="s">
        <v>42</v>
      </c>
      <c r="H101" s="9" t="s">
        <v>2612</v>
      </c>
      <c r="I101" s="13" t="s">
        <v>692</v>
      </c>
      <c r="J101" s="19"/>
      <c r="K101" s="14"/>
      <c r="L101" s="14"/>
      <c r="M101" s="14"/>
      <c r="N101" s="22"/>
      <c r="O101" s="12" t="str">
        <f t="shared" si="1"/>
        <v>Pendiente</v>
      </c>
    </row>
    <row r="102" spans="1:15" ht="94.05" customHeight="1">
      <c r="A102" s="17" t="s">
        <v>658</v>
      </c>
      <c r="B102" s="9" t="s">
        <v>537</v>
      </c>
      <c r="C102" s="9" t="s">
        <v>659</v>
      </c>
      <c r="D102" s="17" t="s">
        <v>2613</v>
      </c>
      <c r="E102" s="9" t="s">
        <v>2614</v>
      </c>
      <c r="F102" s="9" t="s">
        <v>22</v>
      </c>
      <c r="G102" s="9" t="s">
        <v>42</v>
      </c>
      <c r="H102" s="9" t="s">
        <v>2615</v>
      </c>
      <c r="I102" s="13" t="s">
        <v>692</v>
      </c>
      <c r="J102" s="19"/>
      <c r="K102" s="14"/>
      <c r="L102" s="14"/>
      <c r="M102" s="14"/>
      <c r="N102" s="22"/>
      <c r="O102" s="12" t="str">
        <f t="shared" si="1"/>
        <v>Pendiente</v>
      </c>
    </row>
    <row r="103" spans="1:15" ht="78" customHeight="1">
      <c r="A103" s="17" t="s">
        <v>660</v>
      </c>
      <c r="B103" s="9" t="s">
        <v>537</v>
      </c>
      <c r="C103" s="9" t="s">
        <v>661</v>
      </c>
      <c r="D103" s="17" t="s">
        <v>2616</v>
      </c>
      <c r="E103" s="9" t="s">
        <v>2617</v>
      </c>
      <c r="F103" s="9" t="s">
        <v>22</v>
      </c>
      <c r="G103" s="9" t="s">
        <v>42</v>
      </c>
      <c r="H103" s="9" t="s">
        <v>2618</v>
      </c>
      <c r="I103" s="13" t="s">
        <v>692</v>
      </c>
      <c r="J103" s="19"/>
      <c r="K103" s="14"/>
      <c r="L103" s="14"/>
      <c r="M103" s="14"/>
      <c r="N103" s="22"/>
      <c r="O103" s="12" t="str">
        <f t="shared" si="1"/>
        <v>Pendiente</v>
      </c>
    </row>
    <row r="104" spans="1:15" ht="94.05" customHeight="1">
      <c r="A104" s="17" t="s">
        <v>666</v>
      </c>
      <c r="B104" s="9" t="s">
        <v>537</v>
      </c>
      <c r="C104" s="9" t="s">
        <v>667</v>
      </c>
      <c r="D104" s="17" t="s">
        <v>2619</v>
      </c>
      <c r="E104" s="9" t="s">
        <v>2620</v>
      </c>
      <c r="F104" s="9" t="s">
        <v>22</v>
      </c>
      <c r="G104" s="9" t="s">
        <v>42</v>
      </c>
      <c r="H104" s="9" t="s">
        <v>2621</v>
      </c>
      <c r="I104" s="13" t="s">
        <v>692</v>
      </c>
      <c r="J104" s="19"/>
      <c r="K104" s="14"/>
      <c r="L104" s="14"/>
      <c r="M104" s="14"/>
      <c r="N104" s="22"/>
      <c r="O104" s="12" t="str">
        <f t="shared" si="1"/>
        <v>Pendiente</v>
      </c>
    </row>
    <row r="105" spans="1:15" ht="94.05" customHeight="1">
      <c r="A105" s="17" t="s">
        <v>107</v>
      </c>
      <c r="B105" s="9" t="s">
        <v>108</v>
      </c>
      <c r="C105" s="9" t="s">
        <v>109</v>
      </c>
      <c r="D105" s="17" t="s">
        <v>2622</v>
      </c>
      <c r="E105" s="9" t="s">
        <v>2623</v>
      </c>
      <c r="F105" s="9" t="s">
        <v>16</v>
      </c>
      <c r="G105" s="9" t="s">
        <v>40</v>
      </c>
      <c r="H105" s="9" t="s">
        <v>2624</v>
      </c>
      <c r="I105" s="13" t="s">
        <v>692</v>
      </c>
      <c r="J105" s="19"/>
      <c r="K105" s="14"/>
      <c r="L105" s="14"/>
      <c r="M105" s="14"/>
      <c r="N105" s="22"/>
      <c r="O105" s="12" t="str">
        <f t="shared" si="1"/>
        <v>Pendiente</v>
      </c>
    </row>
    <row r="106" spans="1:15" ht="61.95" customHeight="1">
      <c r="A106" s="17" t="s">
        <v>110</v>
      </c>
      <c r="B106" s="9" t="s">
        <v>108</v>
      </c>
      <c r="C106" s="9" t="s">
        <v>111</v>
      </c>
      <c r="D106" s="17" t="s">
        <v>2625</v>
      </c>
      <c r="E106" s="9" t="s">
        <v>2626</v>
      </c>
      <c r="F106" s="9" t="s">
        <v>16</v>
      </c>
      <c r="G106" s="9" t="s">
        <v>40</v>
      </c>
      <c r="H106" s="9" t="s">
        <v>2627</v>
      </c>
      <c r="I106" s="13" t="s">
        <v>692</v>
      </c>
      <c r="J106" s="19"/>
      <c r="K106" s="14"/>
      <c r="L106" s="14"/>
      <c r="M106" s="14"/>
      <c r="N106" s="22"/>
      <c r="O106" s="12" t="str">
        <f t="shared" si="1"/>
        <v>Pendiente</v>
      </c>
    </row>
    <row r="107" spans="1:15" ht="61.95" customHeight="1">
      <c r="A107" s="17" t="s">
        <v>112</v>
      </c>
      <c r="B107" s="9" t="s">
        <v>108</v>
      </c>
      <c r="C107" s="9" t="s">
        <v>113</v>
      </c>
      <c r="D107" s="17" t="s">
        <v>2628</v>
      </c>
      <c r="E107" s="9" t="s">
        <v>2629</v>
      </c>
      <c r="F107" s="9" t="s">
        <v>16</v>
      </c>
      <c r="G107" s="9" t="s">
        <v>40</v>
      </c>
      <c r="H107" s="9" t="s">
        <v>2630</v>
      </c>
      <c r="I107" s="13" t="s">
        <v>692</v>
      </c>
      <c r="J107" s="19"/>
      <c r="K107" s="14"/>
      <c r="L107" s="14"/>
      <c r="M107" s="14"/>
      <c r="N107" s="22"/>
      <c r="O107" s="12" t="str">
        <f t="shared" si="1"/>
        <v>Pendiente</v>
      </c>
    </row>
    <row r="108" spans="1:15" ht="94.05" customHeight="1">
      <c r="A108" s="17" t="s">
        <v>114</v>
      </c>
      <c r="B108" s="9" t="s">
        <v>108</v>
      </c>
      <c r="C108" s="9" t="s">
        <v>115</v>
      </c>
      <c r="D108" s="17" t="s">
        <v>2631</v>
      </c>
      <c r="E108" s="9" t="s">
        <v>2632</v>
      </c>
      <c r="F108" s="9" t="s">
        <v>16</v>
      </c>
      <c r="G108" s="9" t="s">
        <v>40</v>
      </c>
      <c r="H108" s="9" t="s">
        <v>2633</v>
      </c>
      <c r="I108" s="13" t="s">
        <v>692</v>
      </c>
      <c r="J108" s="19"/>
      <c r="K108" s="14"/>
      <c r="L108" s="14"/>
      <c r="M108" s="14"/>
      <c r="N108" s="22"/>
      <c r="O108" s="12" t="str">
        <f t="shared" si="1"/>
        <v>Pendiente</v>
      </c>
    </row>
    <row r="109" spans="1:15" ht="94.05" customHeight="1">
      <c r="A109" s="17" t="s">
        <v>116</v>
      </c>
      <c r="B109" s="9" t="s">
        <v>108</v>
      </c>
      <c r="C109" s="9" t="s">
        <v>117</v>
      </c>
      <c r="D109" s="17" t="s">
        <v>2634</v>
      </c>
      <c r="E109" s="9" t="s">
        <v>2635</v>
      </c>
      <c r="F109" s="9" t="s">
        <v>16</v>
      </c>
      <c r="G109" s="9" t="s">
        <v>40</v>
      </c>
      <c r="H109" s="9" t="s">
        <v>2636</v>
      </c>
      <c r="I109" s="13" t="s">
        <v>692</v>
      </c>
      <c r="J109" s="19"/>
      <c r="K109" s="14"/>
      <c r="L109" s="14"/>
      <c r="M109" s="14"/>
      <c r="N109" s="22"/>
      <c r="O109" s="12" t="str">
        <f t="shared" si="1"/>
        <v>Pendiente</v>
      </c>
    </row>
    <row r="110" spans="1:15" ht="61.95" customHeight="1">
      <c r="A110" s="17" t="s">
        <v>118</v>
      </c>
      <c r="B110" s="9" t="s">
        <v>108</v>
      </c>
      <c r="C110" s="9" t="s">
        <v>119</v>
      </c>
      <c r="D110" s="17" t="s">
        <v>2637</v>
      </c>
      <c r="E110" s="9" t="s">
        <v>2638</v>
      </c>
      <c r="F110" s="9" t="s">
        <v>16</v>
      </c>
      <c r="G110" s="9" t="s">
        <v>40</v>
      </c>
      <c r="H110" s="9" t="s">
        <v>2639</v>
      </c>
      <c r="I110" s="13" t="s">
        <v>692</v>
      </c>
      <c r="J110" s="19"/>
      <c r="K110" s="14"/>
      <c r="L110" s="14"/>
      <c r="M110" s="14"/>
      <c r="N110" s="22"/>
      <c r="O110" s="12" t="str">
        <f t="shared" si="1"/>
        <v>Pendiente</v>
      </c>
    </row>
    <row r="111" spans="1:15" ht="61.95" customHeight="1">
      <c r="A111" s="17" t="s">
        <v>120</v>
      </c>
      <c r="B111" s="9" t="s">
        <v>108</v>
      </c>
      <c r="C111" s="9" t="s">
        <v>121</v>
      </c>
      <c r="D111" s="17" t="s">
        <v>2640</v>
      </c>
      <c r="E111" s="9" t="s">
        <v>2641</v>
      </c>
      <c r="F111" s="9" t="s">
        <v>16</v>
      </c>
      <c r="G111" s="9" t="s">
        <v>40</v>
      </c>
      <c r="H111" s="9" t="s">
        <v>2642</v>
      </c>
      <c r="I111" s="13" t="s">
        <v>692</v>
      </c>
      <c r="J111" s="19"/>
      <c r="K111" s="14"/>
      <c r="L111" s="14"/>
      <c r="M111" s="14"/>
      <c r="N111" s="22"/>
      <c r="O111" s="12" t="str">
        <f t="shared" si="1"/>
        <v>Pendiente</v>
      </c>
    </row>
    <row r="112" spans="1:15" ht="61.95" customHeight="1">
      <c r="A112" s="17" t="s">
        <v>124</v>
      </c>
      <c r="B112" s="9" t="s">
        <v>108</v>
      </c>
      <c r="C112" s="9" t="s">
        <v>125</v>
      </c>
      <c r="D112" s="17" t="s">
        <v>2643</v>
      </c>
      <c r="E112" s="9" t="s">
        <v>2644</v>
      </c>
      <c r="F112" s="9" t="s">
        <v>16</v>
      </c>
      <c r="G112" s="9" t="s">
        <v>40</v>
      </c>
      <c r="H112" s="9" t="s">
        <v>2645</v>
      </c>
      <c r="I112" s="13" t="s">
        <v>692</v>
      </c>
      <c r="J112" s="19"/>
      <c r="K112" s="14"/>
      <c r="L112" s="14"/>
      <c r="M112" s="14"/>
      <c r="N112" s="22"/>
      <c r="O112" s="12" t="str">
        <f t="shared" si="1"/>
        <v>Pendiente</v>
      </c>
    </row>
    <row r="113" spans="1:15" ht="61.95" customHeight="1">
      <c r="A113" s="17" t="s">
        <v>126</v>
      </c>
      <c r="B113" s="9" t="s">
        <v>108</v>
      </c>
      <c r="C113" s="9" t="s">
        <v>127</v>
      </c>
      <c r="D113" s="17" t="s">
        <v>2646</v>
      </c>
      <c r="E113" s="9" t="s">
        <v>2647</v>
      </c>
      <c r="F113" s="9" t="s">
        <v>16</v>
      </c>
      <c r="G113" s="9" t="s">
        <v>40</v>
      </c>
      <c r="H113" s="9" t="s">
        <v>2648</v>
      </c>
      <c r="I113" s="13" t="s">
        <v>692</v>
      </c>
      <c r="J113" s="19"/>
      <c r="K113" s="14"/>
      <c r="L113" s="14"/>
      <c r="M113" s="14"/>
      <c r="N113" s="22"/>
      <c r="O113" s="12" t="str">
        <f t="shared" si="1"/>
        <v>Pendiente</v>
      </c>
    </row>
    <row r="114" spans="1:15" ht="61.95" customHeight="1">
      <c r="A114" s="17" t="s">
        <v>130</v>
      </c>
      <c r="B114" s="9" t="s">
        <v>108</v>
      </c>
      <c r="C114" s="9" t="s">
        <v>131</v>
      </c>
      <c r="D114" s="17" t="s">
        <v>2649</v>
      </c>
      <c r="E114" s="9" t="s">
        <v>2650</v>
      </c>
      <c r="F114" s="9" t="s">
        <v>16</v>
      </c>
      <c r="G114" s="9" t="s">
        <v>40</v>
      </c>
      <c r="H114" s="9" t="s">
        <v>2651</v>
      </c>
      <c r="I114" s="13" t="s">
        <v>692</v>
      </c>
      <c r="J114" s="19"/>
      <c r="K114" s="14"/>
      <c r="L114" s="14"/>
      <c r="M114" s="14"/>
      <c r="N114" s="22"/>
      <c r="O114" s="12" t="str">
        <f t="shared" si="1"/>
        <v>Pendiente</v>
      </c>
    </row>
    <row r="115" spans="1:15" ht="94.05" customHeight="1">
      <c r="A115" s="17" t="s">
        <v>132</v>
      </c>
      <c r="B115" s="9" t="s">
        <v>108</v>
      </c>
      <c r="C115" s="9" t="s">
        <v>133</v>
      </c>
      <c r="D115" s="17" t="s">
        <v>2652</v>
      </c>
      <c r="E115" s="9" t="s">
        <v>2653</v>
      </c>
      <c r="F115" s="9" t="s">
        <v>16</v>
      </c>
      <c r="G115" s="9" t="s">
        <v>40</v>
      </c>
      <c r="H115" s="9" t="s">
        <v>2654</v>
      </c>
      <c r="I115" s="13" t="s">
        <v>692</v>
      </c>
      <c r="J115" s="19"/>
      <c r="K115" s="14"/>
      <c r="L115" s="14"/>
      <c r="M115" s="14"/>
      <c r="N115" s="22"/>
      <c r="O115" s="12" t="str">
        <f t="shared" si="1"/>
        <v>Pendiente</v>
      </c>
    </row>
    <row r="116" spans="1:15" ht="61.95" customHeight="1">
      <c r="A116" s="17" t="s">
        <v>134</v>
      </c>
      <c r="B116" s="9" t="s">
        <v>108</v>
      </c>
      <c r="C116" s="9" t="s">
        <v>135</v>
      </c>
      <c r="D116" s="17" t="s">
        <v>2655</v>
      </c>
      <c r="E116" s="9" t="s">
        <v>2656</v>
      </c>
      <c r="F116" s="9" t="s">
        <v>16</v>
      </c>
      <c r="G116" s="9" t="s">
        <v>40</v>
      </c>
      <c r="H116" s="9" t="s">
        <v>2657</v>
      </c>
      <c r="I116" s="13" t="s">
        <v>692</v>
      </c>
      <c r="J116" s="19"/>
      <c r="K116" s="14"/>
      <c r="L116" s="14"/>
      <c r="M116" s="14"/>
      <c r="N116" s="22"/>
      <c r="O116" s="12" t="str">
        <f t="shared" si="1"/>
        <v>Pendiente</v>
      </c>
    </row>
    <row r="117" spans="1:15" ht="78" customHeight="1">
      <c r="A117" s="17" t="s">
        <v>140</v>
      </c>
      <c r="B117" s="9" t="s">
        <v>108</v>
      </c>
      <c r="C117" s="9" t="s">
        <v>141</v>
      </c>
      <c r="D117" s="17" t="s">
        <v>2658</v>
      </c>
      <c r="E117" s="9" t="s">
        <v>2659</v>
      </c>
      <c r="F117" s="9" t="s">
        <v>16</v>
      </c>
      <c r="G117" s="9" t="s">
        <v>40</v>
      </c>
      <c r="H117" s="9" t="s">
        <v>2660</v>
      </c>
      <c r="I117" s="13" t="s">
        <v>692</v>
      </c>
      <c r="J117" s="19"/>
      <c r="K117" s="14"/>
      <c r="L117" s="14"/>
      <c r="M117" s="14"/>
      <c r="N117" s="22"/>
      <c r="O117" s="12" t="str">
        <f t="shared" si="1"/>
        <v>Pendiente</v>
      </c>
    </row>
    <row r="118" spans="1:15" ht="78" customHeight="1">
      <c r="A118" s="17" t="s">
        <v>142</v>
      </c>
      <c r="B118" s="9" t="s">
        <v>108</v>
      </c>
      <c r="C118" s="9" t="s">
        <v>143</v>
      </c>
      <c r="D118" s="17" t="s">
        <v>2661</v>
      </c>
      <c r="E118" s="9" t="s">
        <v>2662</v>
      </c>
      <c r="F118" s="9" t="s">
        <v>16</v>
      </c>
      <c r="G118" s="9" t="s">
        <v>40</v>
      </c>
      <c r="H118" s="9" t="s">
        <v>2663</v>
      </c>
      <c r="I118" s="13" t="s">
        <v>692</v>
      </c>
      <c r="J118" s="19"/>
      <c r="K118" s="14"/>
      <c r="L118" s="14"/>
      <c r="M118" s="14"/>
      <c r="N118" s="22"/>
      <c r="O118" s="12" t="str">
        <f t="shared" si="1"/>
        <v>Pendiente</v>
      </c>
    </row>
    <row r="119" spans="1:15" ht="78" customHeight="1">
      <c r="A119" s="17" t="s">
        <v>144</v>
      </c>
      <c r="B119" s="9" t="s">
        <v>108</v>
      </c>
      <c r="C119" s="9" t="s">
        <v>145</v>
      </c>
      <c r="D119" s="17" t="s">
        <v>2664</v>
      </c>
      <c r="E119" s="9" t="s">
        <v>2665</v>
      </c>
      <c r="F119" s="9" t="s">
        <v>16</v>
      </c>
      <c r="G119" s="9" t="s">
        <v>40</v>
      </c>
      <c r="H119" s="9" t="s">
        <v>2666</v>
      </c>
      <c r="I119" s="13" t="s">
        <v>692</v>
      </c>
      <c r="J119" s="19"/>
      <c r="K119" s="14"/>
      <c r="L119" s="14"/>
      <c r="M119" s="14"/>
      <c r="N119" s="22"/>
      <c r="O119" s="12" t="str">
        <f t="shared" si="1"/>
        <v>Pendiente</v>
      </c>
    </row>
    <row r="120" spans="1:15" ht="61.95" customHeight="1">
      <c r="A120" s="17" t="s">
        <v>150</v>
      </c>
      <c r="B120" s="9" t="s">
        <v>108</v>
      </c>
      <c r="C120" s="9" t="s">
        <v>151</v>
      </c>
      <c r="D120" s="17" t="s">
        <v>2667</v>
      </c>
      <c r="E120" s="9" t="s">
        <v>2668</v>
      </c>
      <c r="F120" s="9" t="s">
        <v>16</v>
      </c>
      <c r="G120" s="9" t="s">
        <v>40</v>
      </c>
      <c r="H120" s="9" t="s">
        <v>2669</v>
      </c>
      <c r="I120" s="13" t="s">
        <v>692</v>
      </c>
      <c r="J120" s="19"/>
      <c r="K120" s="14"/>
      <c r="L120" s="14"/>
      <c r="M120" s="14"/>
      <c r="N120" s="22"/>
      <c r="O120" s="12" t="str">
        <f t="shared" si="1"/>
        <v>Pendiente</v>
      </c>
    </row>
    <row r="121" spans="1:15" ht="61.95" customHeight="1">
      <c r="A121" s="17" t="s">
        <v>156</v>
      </c>
      <c r="B121" s="9" t="s">
        <v>108</v>
      </c>
      <c r="C121" s="9" t="s">
        <v>157</v>
      </c>
      <c r="D121" s="17" t="s">
        <v>2670</v>
      </c>
      <c r="E121" s="9" t="s">
        <v>2671</v>
      </c>
      <c r="F121" s="9" t="s">
        <v>16</v>
      </c>
      <c r="G121" s="9" t="s">
        <v>40</v>
      </c>
      <c r="H121" s="9" t="s">
        <v>2672</v>
      </c>
      <c r="I121" s="13" t="s">
        <v>692</v>
      </c>
      <c r="J121" s="19"/>
      <c r="K121" s="14"/>
      <c r="L121" s="14"/>
      <c r="M121" s="14"/>
      <c r="N121" s="22"/>
      <c r="O121" s="12" t="str">
        <f t="shared" si="1"/>
        <v>Pendiente</v>
      </c>
    </row>
    <row r="122" spans="1:15" ht="61.95" customHeight="1">
      <c r="A122" s="17" t="s">
        <v>158</v>
      </c>
      <c r="B122" s="9" t="s">
        <v>108</v>
      </c>
      <c r="C122" s="9" t="s">
        <v>159</v>
      </c>
      <c r="D122" s="17" t="s">
        <v>2673</v>
      </c>
      <c r="E122" s="9" t="s">
        <v>2674</v>
      </c>
      <c r="F122" s="9" t="s">
        <v>16</v>
      </c>
      <c r="G122" s="9" t="s">
        <v>40</v>
      </c>
      <c r="H122" s="9" t="s">
        <v>2675</v>
      </c>
      <c r="I122" s="13" t="s">
        <v>692</v>
      </c>
      <c r="J122" s="19"/>
      <c r="K122" s="14"/>
      <c r="L122" s="14"/>
      <c r="M122" s="14"/>
      <c r="N122" s="22"/>
      <c r="O122" s="12" t="str">
        <f t="shared" si="1"/>
        <v>Pendiente</v>
      </c>
    </row>
    <row r="123" spans="1:15" ht="61.95" customHeight="1">
      <c r="A123" s="17" t="s">
        <v>160</v>
      </c>
      <c r="B123" s="9" t="s">
        <v>108</v>
      </c>
      <c r="C123" s="9" t="s">
        <v>161</v>
      </c>
      <c r="D123" s="17" t="s">
        <v>2676</v>
      </c>
      <c r="E123" s="9" t="s">
        <v>2677</v>
      </c>
      <c r="F123" s="9" t="s">
        <v>16</v>
      </c>
      <c r="G123" s="9" t="s">
        <v>40</v>
      </c>
      <c r="H123" s="9" t="s">
        <v>2678</v>
      </c>
      <c r="I123" s="13" t="s">
        <v>692</v>
      </c>
      <c r="J123" s="19"/>
      <c r="K123" s="14"/>
      <c r="L123" s="14"/>
      <c r="M123" s="14"/>
      <c r="N123" s="22"/>
      <c r="O123" s="12" t="str">
        <f t="shared" si="1"/>
        <v>Pendiente</v>
      </c>
    </row>
    <row r="124" spans="1:15" ht="61.95" customHeight="1">
      <c r="A124" s="17" t="s">
        <v>162</v>
      </c>
      <c r="B124" s="9" t="s">
        <v>108</v>
      </c>
      <c r="C124" s="9" t="s">
        <v>163</v>
      </c>
      <c r="D124" s="17" t="s">
        <v>2679</v>
      </c>
      <c r="E124" s="9" t="s">
        <v>2680</v>
      </c>
      <c r="F124" s="9" t="s">
        <v>16</v>
      </c>
      <c r="G124" s="9" t="s">
        <v>40</v>
      </c>
      <c r="H124" s="9" t="s">
        <v>2681</v>
      </c>
      <c r="I124" s="13" t="s">
        <v>692</v>
      </c>
      <c r="J124" s="19"/>
      <c r="K124" s="14"/>
      <c r="L124" s="14"/>
      <c r="M124" s="14"/>
      <c r="N124" s="22"/>
      <c r="O124" s="12" t="str">
        <f t="shared" si="1"/>
        <v>Pendiente</v>
      </c>
    </row>
    <row r="125" spans="1:15" ht="61.95" customHeight="1">
      <c r="A125" s="17" t="s">
        <v>164</v>
      </c>
      <c r="B125" s="9" t="s">
        <v>108</v>
      </c>
      <c r="C125" s="9" t="s">
        <v>165</v>
      </c>
      <c r="D125" s="17" t="s">
        <v>2682</v>
      </c>
      <c r="E125" s="9" t="s">
        <v>2683</v>
      </c>
      <c r="F125" s="9" t="s">
        <v>16</v>
      </c>
      <c r="G125" s="9" t="s">
        <v>40</v>
      </c>
      <c r="H125" s="9" t="s">
        <v>2684</v>
      </c>
      <c r="I125" s="13" t="s">
        <v>692</v>
      </c>
      <c r="J125" s="19"/>
      <c r="K125" s="14"/>
      <c r="L125" s="14"/>
      <c r="M125" s="14"/>
      <c r="N125" s="22"/>
      <c r="O125" s="12" t="str">
        <f t="shared" si="1"/>
        <v>Pendiente</v>
      </c>
    </row>
    <row r="126" spans="1:15" ht="61.95" customHeight="1">
      <c r="A126" s="17" t="s">
        <v>168</v>
      </c>
      <c r="B126" s="9" t="s">
        <v>108</v>
      </c>
      <c r="C126" s="9" t="s">
        <v>169</v>
      </c>
      <c r="D126" s="17" t="s">
        <v>2685</v>
      </c>
      <c r="E126" s="9" t="s">
        <v>2686</v>
      </c>
      <c r="F126" s="9" t="s">
        <v>16</v>
      </c>
      <c r="G126" s="9" t="s">
        <v>40</v>
      </c>
      <c r="H126" s="9" t="s">
        <v>2687</v>
      </c>
      <c r="I126" s="13" t="s">
        <v>692</v>
      </c>
      <c r="J126" s="19"/>
      <c r="K126" s="14"/>
      <c r="L126" s="14"/>
      <c r="M126" s="14"/>
      <c r="N126" s="22"/>
      <c r="O126" s="12" t="str">
        <f t="shared" si="1"/>
        <v>Pendiente</v>
      </c>
    </row>
    <row r="127" spans="1:15" ht="61.95" customHeight="1">
      <c r="A127" s="17" t="s">
        <v>170</v>
      </c>
      <c r="B127" s="9" t="s">
        <v>108</v>
      </c>
      <c r="C127" s="9" t="s">
        <v>171</v>
      </c>
      <c r="D127" s="17" t="s">
        <v>2688</v>
      </c>
      <c r="E127" s="9" t="s">
        <v>2689</v>
      </c>
      <c r="F127" s="9" t="s">
        <v>16</v>
      </c>
      <c r="G127" s="9" t="s">
        <v>40</v>
      </c>
      <c r="H127" s="9" t="s">
        <v>2690</v>
      </c>
      <c r="I127" s="13" t="s">
        <v>692</v>
      </c>
      <c r="J127" s="19"/>
      <c r="K127" s="14"/>
      <c r="L127" s="14"/>
      <c r="M127" s="14"/>
      <c r="N127" s="22"/>
      <c r="O127" s="12" t="str">
        <f t="shared" si="1"/>
        <v>Pendiente</v>
      </c>
    </row>
    <row r="128" spans="1:15" ht="61.95" customHeight="1">
      <c r="A128" s="17" t="s">
        <v>176</v>
      </c>
      <c r="B128" s="9" t="s">
        <v>108</v>
      </c>
      <c r="C128" s="9" t="s">
        <v>177</v>
      </c>
      <c r="D128" s="17" t="s">
        <v>2691</v>
      </c>
      <c r="E128" s="9" t="s">
        <v>2692</v>
      </c>
      <c r="F128" s="9" t="s">
        <v>16</v>
      </c>
      <c r="G128" s="9" t="s">
        <v>40</v>
      </c>
      <c r="H128" s="9" t="s">
        <v>2693</v>
      </c>
      <c r="I128" s="13" t="s">
        <v>692</v>
      </c>
      <c r="J128" s="19"/>
      <c r="K128" s="14"/>
      <c r="L128" s="14"/>
      <c r="M128" s="14"/>
      <c r="N128" s="22"/>
      <c r="O128" s="12" t="str">
        <f t="shared" si="1"/>
        <v>Pendiente</v>
      </c>
    </row>
    <row r="129" spans="1:15" ht="61.95" customHeight="1">
      <c r="A129" s="17" t="s">
        <v>178</v>
      </c>
      <c r="B129" s="9" t="s">
        <v>108</v>
      </c>
      <c r="C129" s="9" t="s">
        <v>179</v>
      </c>
      <c r="D129" s="17" t="s">
        <v>2694</v>
      </c>
      <c r="E129" s="9" t="s">
        <v>2695</v>
      </c>
      <c r="F129" s="9" t="s">
        <v>16</v>
      </c>
      <c r="G129" s="9" t="s">
        <v>40</v>
      </c>
      <c r="H129" s="9" t="s">
        <v>2696</v>
      </c>
      <c r="I129" s="13" t="s">
        <v>692</v>
      </c>
      <c r="J129" s="19"/>
      <c r="K129" s="14"/>
      <c r="L129" s="14"/>
      <c r="M129" s="14"/>
      <c r="N129" s="22"/>
      <c r="O129" s="12" t="str">
        <f t="shared" si="1"/>
        <v>Pendiente</v>
      </c>
    </row>
    <row r="130" spans="1:15" ht="109.95" customHeight="1">
      <c r="A130" s="17" t="s">
        <v>180</v>
      </c>
      <c r="B130" s="9" t="s">
        <v>108</v>
      </c>
      <c r="C130" s="9" t="s">
        <v>181</v>
      </c>
      <c r="D130" s="17" t="s">
        <v>2697</v>
      </c>
      <c r="E130" s="9" t="s">
        <v>2698</v>
      </c>
      <c r="F130" s="9" t="s">
        <v>16</v>
      </c>
      <c r="G130" s="9" t="s">
        <v>40</v>
      </c>
      <c r="H130" s="9" t="s">
        <v>2699</v>
      </c>
      <c r="I130" s="13" t="s">
        <v>692</v>
      </c>
      <c r="J130" s="19"/>
      <c r="K130" s="14"/>
      <c r="L130" s="14"/>
      <c r="M130" s="14"/>
      <c r="N130" s="22"/>
      <c r="O130" s="12" t="str">
        <f t="shared" si="1"/>
        <v>Pendiente</v>
      </c>
    </row>
    <row r="131" spans="1:15" ht="61.95" customHeight="1">
      <c r="A131" s="17" t="s">
        <v>182</v>
      </c>
      <c r="B131" s="9" t="s">
        <v>108</v>
      </c>
      <c r="C131" s="9" t="s">
        <v>183</v>
      </c>
      <c r="D131" s="17" t="s">
        <v>2700</v>
      </c>
      <c r="E131" s="9" t="s">
        <v>2701</v>
      </c>
      <c r="F131" s="9" t="s">
        <v>16</v>
      </c>
      <c r="G131" s="9" t="s">
        <v>40</v>
      </c>
      <c r="H131" s="9" t="s">
        <v>2702</v>
      </c>
      <c r="I131" s="13" t="s">
        <v>692</v>
      </c>
      <c r="J131" s="19"/>
      <c r="K131" s="14"/>
      <c r="L131" s="14"/>
      <c r="M131" s="14"/>
      <c r="N131" s="22"/>
      <c r="O131" s="12" t="str">
        <f t="shared" si="1"/>
        <v>Pendiente</v>
      </c>
    </row>
    <row r="132" spans="1:15" ht="61.95" customHeight="1">
      <c r="A132" s="17" t="s">
        <v>184</v>
      </c>
      <c r="B132" s="9" t="s">
        <v>108</v>
      </c>
      <c r="C132" s="9" t="s">
        <v>185</v>
      </c>
      <c r="D132" s="17" t="s">
        <v>2703</v>
      </c>
      <c r="E132" s="9" t="s">
        <v>2704</v>
      </c>
      <c r="F132" s="9" t="s">
        <v>16</v>
      </c>
      <c r="G132" s="9" t="s">
        <v>40</v>
      </c>
      <c r="H132" s="9" t="s">
        <v>2705</v>
      </c>
      <c r="I132" s="13" t="s">
        <v>692</v>
      </c>
      <c r="J132" s="19"/>
      <c r="K132" s="14"/>
      <c r="L132" s="14"/>
      <c r="M132" s="14"/>
      <c r="N132" s="22"/>
      <c r="O132" s="12" t="str">
        <f t="shared" si="1"/>
        <v>Pendiente</v>
      </c>
    </row>
    <row r="133" spans="1:15" ht="61.95" customHeight="1">
      <c r="A133" s="17" t="s">
        <v>186</v>
      </c>
      <c r="B133" s="9" t="s">
        <v>108</v>
      </c>
      <c r="C133" s="9" t="s">
        <v>187</v>
      </c>
      <c r="D133" s="17" t="s">
        <v>2706</v>
      </c>
      <c r="E133" s="9" t="s">
        <v>2707</v>
      </c>
      <c r="F133" s="9" t="s">
        <v>16</v>
      </c>
      <c r="G133" s="9" t="s">
        <v>40</v>
      </c>
      <c r="H133" s="9" t="s">
        <v>2708</v>
      </c>
      <c r="I133" s="13" t="s">
        <v>692</v>
      </c>
      <c r="J133" s="19"/>
      <c r="K133" s="14"/>
      <c r="L133" s="14"/>
      <c r="M133" s="14"/>
      <c r="N133" s="22"/>
      <c r="O133" s="12" t="str">
        <f t="shared" si="1"/>
        <v>Pendiente</v>
      </c>
    </row>
    <row r="134" spans="1:15" ht="61.95" customHeight="1">
      <c r="A134" s="17" t="s">
        <v>188</v>
      </c>
      <c r="B134" s="9" t="s">
        <v>108</v>
      </c>
      <c r="C134" s="9" t="s">
        <v>189</v>
      </c>
      <c r="D134" s="17" t="s">
        <v>2709</v>
      </c>
      <c r="E134" s="9" t="s">
        <v>2710</v>
      </c>
      <c r="F134" s="9" t="s">
        <v>16</v>
      </c>
      <c r="G134" s="9" t="s">
        <v>40</v>
      </c>
      <c r="H134" s="9" t="s">
        <v>2711</v>
      </c>
      <c r="I134" s="13" t="s">
        <v>692</v>
      </c>
      <c r="J134" s="19"/>
      <c r="K134" s="14"/>
      <c r="L134" s="14"/>
      <c r="M134" s="14"/>
      <c r="N134" s="22"/>
      <c r="O134" s="12" t="str">
        <f t="shared" si="1"/>
        <v>Pendiente</v>
      </c>
    </row>
    <row r="135" spans="1:15" ht="61.95" customHeight="1">
      <c r="A135" s="17" t="s">
        <v>192</v>
      </c>
      <c r="B135" s="9" t="s">
        <v>108</v>
      </c>
      <c r="C135" s="9" t="s">
        <v>193</v>
      </c>
      <c r="D135" s="17" t="s">
        <v>2712</v>
      </c>
      <c r="E135" s="9" t="s">
        <v>2713</v>
      </c>
      <c r="F135" s="9" t="s">
        <v>16</v>
      </c>
      <c r="G135" s="9" t="s">
        <v>40</v>
      </c>
      <c r="H135" s="9" t="s">
        <v>2714</v>
      </c>
      <c r="I135" s="13" t="s">
        <v>692</v>
      </c>
      <c r="J135" s="19"/>
      <c r="K135" s="14"/>
      <c r="L135" s="14"/>
      <c r="M135" s="14"/>
      <c r="N135" s="22"/>
      <c r="O135" s="12" t="str">
        <f t="shared" si="1"/>
        <v>Pendiente</v>
      </c>
    </row>
    <row r="136" spans="1:15" ht="61.95" customHeight="1">
      <c r="A136" s="17" t="s">
        <v>198</v>
      </c>
      <c r="B136" s="9" t="s">
        <v>108</v>
      </c>
      <c r="C136" s="9" t="s">
        <v>199</v>
      </c>
      <c r="D136" s="17" t="s">
        <v>2715</v>
      </c>
      <c r="E136" s="9" t="s">
        <v>2716</v>
      </c>
      <c r="F136" s="9" t="s">
        <v>16</v>
      </c>
      <c r="G136" s="9" t="s">
        <v>40</v>
      </c>
      <c r="H136" s="9" t="s">
        <v>2717</v>
      </c>
      <c r="I136" s="13" t="s">
        <v>692</v>
      </c>
      <c r="J136" s="19"/>
      <c r="K136" s="14"/>
      <c r="L136" s="14"/>
      <c r="M136" s="14"/>
      <c r="N136" s="22"/>
      <c r="O136" s="12" t="str">
        <f t="shared" ref="O136:O199" si="2">IF(I136="Pendiente","Pendiente",IF(I136="Equivalente confirmado",IF(OR(J136="",K136=""),"Falta código o nombre",IF(OR(L136="",M136=""),"Falta validación",IF(OR(NOT(ISNUMBER(N136)),N136&lt;=0),"Falta fecha","Homologado"))),IF(I136="Sin equivalente en SAP",IF(OR(J136&lt;&gt;"",K136&lt;&gt;""),"Quitar código y nombre",IF(OR(L136="",M136=""),"Falta validación",IF(OR(NOT(ISNUMBER(N136)),N136&lt;=0),"Falta fecha","Sin equivalente confirmado"))),"Revisar decisión")))</f>
        <v>Pendiente</v>
      </c>
    </row>
    <row r="137" spans="1:15" ht="61.95" customHeight="1">
      <c r="A137" s="17" t="s">
        <v>202</v>
      </c>
      <c r="B137" s="9" t="s">
        <v>108</v>
      </c>
      <c r="C137" s="9" t="s">
        <v>203</v>
      </c>
      <c r="D137" s="17" t="s">
        <v>2718</v>
      </c>
      <c r="E137" s="9" t="s">
        <v>2719</v>
      </c>
      <c r="F137" s="9" t="s">
        <v>16</v>
      </c>
      <c r="G137" s="9" t="s">
        <v>40</v>
      </c>
      <c r="H137" s="9" t="s">
        <v>2720</v>
      </c>
      <c r="I137" s="13" t="s">
        <v>692</v>
      </c>
      <c r="J137" s="19"/>
      <c r="K137" s="14"/>
      <c r="L137" s="14"/>
      <c r="M137" s="14"/>
      <c r="N137" s="22"/>
      <c r="O137" s="12" t="str">
        <f t="shared" si="2"/>
        <v>Pendiente</v>
      </c>
    </row>
    <row r="138" spans="1:15" ht="61.95" customHeight="1">
      <c r="A138" s="17" t="s">
        <v>206</v>
      </c>
      <c r="B138" s="9" t="s">
        <v>108</v>
      </c>
      <c r="C138" s="9" t="s">
        <v>207</v>
      </c>
      <c r="D138" s="17" t="s">
        <v>2721</v>
      </c>
      <c r="E138" s="9" t="s">
        <v>2722</v>
      </c>
      <c r="F138" s="9" t="s">
        <v>16</v>
      </c>
      <c r="G138" s="9" t="s">
        <v>40</v>
      </c>
      <c r="H138" s="9" t="s">
        <v>2723</v>
      </c>
      <c r="I138" s="13" t="s">
        <v>692</v>
      </c>
      <c r="J138" s="19"/>
      <c r="K138" s="14"/>
      <c r="L138" s="14"/>
      <c r="M138" s="14"/>
      <c r="N138" s="22"/>
      <c r="O138" s="12" t="str">
        <f t="shared" si="2"/>
        <v>Pendiente</v>
      </c>
    </row>
    <row r="139" spans="1:15" ht="94.05" customHeight="1">
      <c r="A139" s="17" t="s">
        <v>210</v>
      </c>
      <c r="B139" s="9" t="s">
        <v>108</v>
      </c>
      <c r="C139" s="9" t="s">
        <v>211</v>
      </c>
      <c r="D139" s="17" t="s">
        <v>2724</v>
      </c>
      <c r="E139" s="9" t="s">
        <v>2725</v>
      </c>
      <c r="F139" s="9" t="s">
        <v>16</v>
      </c>
      <c r="G139" s="9" t="s">
        <v>40</v>
      </c>
      <c r="H139" s="9" t="s">
        <v>2726</v>
      </c>
      <c r="I139" s="13" t="s">
        <v>692</v>
      </c>
      <c r="J139" s="19"/>
      <c r="K139" s="14"/>
      <c r="L139" s="14"/>
      <c r="M139" s="14"/>
      <c r="N139" s="22"/>
      <c r="O139" s="12" t="str">
        <f t="shared" si="2"/>
        <v>Pendiente</v>
      </c>
    </row>
    <row r="140" spans="1:15" ht="61.95" customHeight="1">
      <c r="A140" s="17" t="s">
        <v>220</v>
      </c>
      <c r="B140" s="9" t="s">
        <v>108</v>
      </c>
      <c r="C140" s="9" t="s">
        <v>221</v>
      </c>
      <c r="D140" s="17" t="s">
        <v>2727</v>
      </c>
      <c r="E140" s="9" t="s">
        <v>2728</v>
      </c>
      <c r="F140" s="9" t="s">
        <v>16</v>
      </c>
      <c r="G140" s="9" t="s">
        <v>40</v>
      </c>
      <c r="H140" s="9" t="s">
        <v>2729</v>
      </c>
      <c r="I140" s="13" t="s">
        <v>692</v>
      </c>
      <c r="J140" s="19"/>
      <c r="K140" s="14"/>
      <c r="L140" s="14"/>
      <c r="M140" s="14"/>
      <c r="N140" s="22"/>
      <c r="O140" s="12" t="str">
        <f t="shared" si="2"/>
        <v>Pendiente</v>
      </c>
    </row>
    <row r="141" spans="1:15" ht="61.95" customHeight="1">
      <c r="A141" s="17" t="s">
        <v>222</v>
      </c>
      <c r="B141" s="9" t="s">
        <v>108</v>
      </c>
      <c r="C141" s="9" t="s">
        <v>223</v>
      </c>
      <c r="D141" s="17" t="s">
        <v>2730</v>
      </c>
      <c r="E141" s="9" t="s">
        <v>2731</v>
      </c>
      <c r="F141" s="9" t="s">
        <v>16</v>
      </c>
      <c r="G141" s="9" t="s">
        <v>40</v>
      </c>
      <c r="H141" s="9" t="s">
        <v>2732</v>
      </c>
      <c r="I141" s="13" t="s">
        <v>692</v>
      </c>
      <c r="J141" s="19"/>
      <c r="K141" s="14"/>
      <c r="L141" s="14"/>
      <c r="M141" s="14"/>
      <c r="N141" s="22"/>
      <c r="O141" s="12" t="str">
        <f t="shared" si="2"/>
        <v>Pendiente</v>
      </c>
    </row>
    <row r="142" spans="1:15" ht="61.95" customHeight="1">
      <c r="A142" s="17" t="s">
        <v>224</v>
      </c>
      <c r="B142" s="9" t="s">
        <v>108</v>
      </c>
      <c r="C142" s="9" t="s">
        <v>225</v>
      </c>
      <c r="D142" s="17" t="s">
        <v>2733</v>
      </c>
      <c r="E142" s="9" t="s">
        <v>2734</v>
      </c>
      <c r="F142" s="9" t="s">
        <v>16</v>
      </c>
      <c r="G142" s="9" t="s">
        <v>40</v>
      </c>
      <c r="H142" s="9" t="s">
        <v>2735</v>
      </c>
      <c r="I142" s="13" t="s">
        <v>692</v>
      </c>
      <c r="J142" s="19"/>
      <c r="K142" s="14"/>
      <c r="L142" s="14"/>
      <c r="M142" s="14"/>
      <c r="N142" s="22"/>
      <c r="O142" s="12" t="str">
        <f t="shared" si="2"/>
        <v>Pendiente</v>
      </c>
    </row>
    <row r="143" spans="1:15" ht="61.95" customHeight="1">
      <c r="A143" s="17" t="s">
        <v>228</v>
      </c>
      <c r="B143" s="9" t="s">
        <v>108</v>
      </c>
      <c r="C143" s="9" t="s">
        <v>229</v>
      </c>
      <c r="D143" s="17" t="s">
        <v>2736</v>
      </c>
      <c r="E143" s="9" t="s">
        <v>2737</v>
      </c>
      <c r="F143" s="9" t="s">
        <v>16</v>
      </c>
      <c r="G143" s="9" t="s">
        <v>40</v>
      </c>
      <c r="H143" s="9" t="s">
        <v>2738</v>
      </c>
      <c r="I143" s="13" t="s">
        <v>692</v>
      </c>
      <c r="J143" s="19"/>
      <c r="K143" s="14"/>
      <c r="L143" s="14"/>
      <c r="M143" s="14"/>
      <c r="N143" s="22"/>
      <c r="O143" s="12" t="str">
        <f t="shared" si="2"/>
        <v>Pendiente</v>
      </c>
    </row>
    <row r="144" spans="1:15" ht="61.95" customHeight="1">
      <c r="A144" s="17" t="s">
        <v>230</v>
      </c>
      <c r="B144" s="9" t="s">
        <v>108</v>
      </c>
      <c r="C144" s="9" t="s">
        <v>231</v>
      </c>
      <c r="D144" s="17" t="s">
        <v>2739</v>
      </c>
      <c r="E144" s="9" t="s">
        <v>2740</v>
      </c>
      <c r="F144" s="9" t="s">
        <v>16</v>
      </c>
      <c r="G144" s="9" t="s">
        <v>40</v>
      </c>
      <c r="H144" s="9" t="s">
        <v>2741</v>
      </c>
      <c r="I144" s="13" t="s">
        <v>692</v>
      </c>
      <c r="J144" s="19"/>
      <c r="K144" s="14"/>
      <c r="L144" s="14"/>
      <c r="M144" s="14"/>
      <c r="N144" s="22"/>
      <c r="O144" s="12" t="str">
        <f t="shared" si="2"/>
        <v>Pendiente</v>
      </c>
    </row>
    <row r="145" spans="1:15" ht="94.05" customHeight="1">
      <c r="A145" s="17" t="s">
        <v>232</v>
      </c>
      <c r="B145" s="9" t="s">
        <v>108</v>
      </c>
      <c r="C145" s="9" t="s">
        <v>233</v>
      </c>
      <c r="D145" s="17" t="s">
        <v>2742</v>
      </c>
      <c r="E145" s="9" t="s">
        <v>2743</v>
      </c>
      <c r="F145" s="9" t="s">
        <v>16</v>
      </c>
      <c r="G145" s="9" t="s">
        <v>40</v>
      </c>
      <c r="H145" s="9" t="s">
        <v>2744</v>
      </c>
      <c r="I145" s="13" t="s">
        <v>692</v>
      </c>
      <c r="J145" s="19"/>
      <c r="K145" s="14"/>
      <c r="L145" s="14"/>
      <c r="M145" s="14"/>
      <c r="N145" s="22"/>
      <c r="O145" s="12" t="str">
        <f t="shared" si="2"/>
        <v>Pendiente</v>
      </c>
    </row>
    <row r="146" spans="1:15" ht="94.05" customHeight="1">
      <c r="A146" s="17" t="s">
        <v>234</v>
      </c>
      <c r="B146" s="9" t="s">
        <v>108</v>
      </c>
      <c r="C146" s="9" t="s">
        <v>235</v>
      </c>
      <c r="D146" s="17" t="s">
        <v>2745</v>
      </c>
      <c r="E146" s="9" t="s">
        <v>2746</v>
      </c>
      <c r="F146" s="9" t="s">
        <v>16</v>
      </c>
      <c r="G146" s="9" t="s">
        <v>40</v>
      </c>
      <c r="H146" s="9" t="s">
        <v>2747</v>
      </c>
      <c r="I146" s="13" t="s">
        <v>692</v>
      </c>
      <c r="J146" s="19"/>
      <c r="K146" s="14"/>
      <c r="L146" s="14"/>
      <c r="M146" s="14"/>
      <c r="N146" s="22"/>
      <c r="O146" s="12" t="str">
        <f t="shared" si="2"/>
        <v>Pendiente</v>
      </c>
    </row>
    <row r="147" spans="1:15" ht="61.95" customHeight="1">
      <c r="A147" s="17" t="s">
        <v>236</v>
      </c>
      <c r="B147" s="9" t="s">
        <v>108</v>
      </c>
      <c r="C147" s="9" t="s">
        <v>237</v>
      </c>
      <c r="D147" s="17" t="s">
        <v>2748</v>
      </c>
      <c r="E147" s="9" t="s">
        <v>2749</v>
      </c>
      <c r="F147" s="9" t="s">
        <v>16</v>
      </c>
      <c r="G147" s="9" t="s">
        <v>40</v>
      </c>
      <c r="H147" s="9" t="s">
        <v>2750</v>
      </c>
      <c r="I147" s="13" t="s">
        <v>692</v>
      </c>
      <c r="J147" s="19"/>
      <c r="K147" s="14"/>
      <c r="L147" s="14"/>
      <c r="M147" s="14"/>
      <c r="N147" s="22"/>
      <c r="O147" s="12" t="str">
        <f t="shared" si="2"/>
        <v>Pendiente</v>
      </c>
    </row>
    <row r="148" spans="1:15" ht="94.05" customHeight="1">
      <c r="A148" s="17" t="s">
        <v>238</v>
      </c>
      <c r="B148" s="9" t="s">
        <v>108</v>
      </c>
      <c r="C148" s="9" t="s">
        <v>239</v>
      </c>
      <c r="D148" s="17" t="s">
        <v>2751</v>
      </c>
      <c r="E148" s="9" t="s">
        <v>2752</v>
      </c>
      <c r="F148" s="9" t="s">
        <v>16</v>
      </c>
      <c r="G148" s="9" t="s">
        <v>40</v>
      </c>
      <c r="H148" s="9" t="s">
        <v>2753</v>
      </c>
      <c r="I148" s="13" t="s">
        <v>692</v>
      </c>
      <c r="J148" s="19"/>
      <c r="K148" s="14"/>
      <c r="L148" s="14"/>
      <c r="M148" s="14"/>
      <c r="N148" s="22"/>
      <c r="O148" s="12" t="str">
        <f t="shared" si="2"/>
        <v>Pendiente</v>
      </c>
    </row>
    <row r="149" spans="1:15" ht="61.95" customHeight="1">
      <c r="A149" s="17" t="s">
        <v>240</v>
      </c>
      <c r="B149" s="9" t="s">
        <v>108</v>
      </c>
      <c r="C149" s="9" t="s">
        <v>241</v>
      </c>
      <c r="D149" s="17" t="s">
        <v>2754</v>
      </c>
      <c r="E149" s="9" t="s">
        <v>2755</v>
      </c>
      <c r="F149" s="9" t="s">
        <v>16</v>
      </c>
      <c r="G149" s="9" t="s">
        <v>40</v>
      </c>
      <c r="H149" s="9" t="s">
        <v>2756</v>
      </c>
      <c r="I149" s="13" t="s">
        <v>692</v>
      </c>
      <c r="J149" s="19"/>
      <c r="K149" s="14"/>
      <c r="L149" s="14"/>
      <c r="M149" s="14"/>
      <c r="N149" s="22"/>
      <c r="O149" s="12" t="str">
        <f t="shared" si="2"/>
        <v>Pendiente</v>
      </c>
    </row>
    <row r="150" spans="1:15" ht="61.95" customHeight="1">
      <c r="A150" s="17" t="s">
        <v>242</v>
      </c>
      <c r="B150" s="9" t="s">
        <v>108</v>
      </c>
      <c r="C150" s="9" t="s">
        <v>243</v>
      </c>
      <c r="D150" s="17" t="s">
        <v>2757</v>
      </c>
      <c r="E150" s="9" t="s">
        <v>2758</v>
      </c>
      <c r="F150" s="9" t="s">
        <v>16</v>
      </c>
      <c r="G150" s="9" t="s">
        <v>40</v>
      </c>
      <c r="H150" s="9" t="s">
        <v>2759</v>
      </c>
      <c r="I150" s="13" t="s">
        <v>692</v>
      </c>
      <c r="J150" s="19"/>
      <c r="K150" s="14"/>
      <c r="L150" s="14"/>
      <c r="M150" s="14"/>
      <c r="N150" s="22"/>
      <c r="O150" s="12" t="str">
        <f t="shared" si="2"/>
        <v>Pendiente</v>
      </c>
    </row>
    <row r="151" spans="1:15" ht="78" customHeight="1">
      <c r="A151" s="17" t="s">
        <v>244</v>
      </c>
      <c r="B151" s="9" t="s">
        <v>108</v>
      </c>
      <c r="C151" s="9" t="s">
        <v>245</v>
      </c>
      <c r="D151" s="17" t="s">
        <v>2760</v>
      </c>
      <c r="E151" s="9" t="s">
        <v>2761</v>
      </c>
      <c r="F151" s="9" t="s">
        <v>16</v>
      </c>
      <c r="G151" s="9" t="s">
        <v>40</v>
      </c>
      <c r="H151" s="9" t="s">
        <v>2762</v>
      </c>
      <c r="I151" s="13" t="s">
        <v>692</v>
      </c>
      <c r="J151" s="19"/>
      <c r="K151" s="14"/>
      <c r="L151" s="14"/>
      <c r="M151" s="14"/>
      <c r="N151" s="22"/>
      <c r="O151" s="12" t="str">
        <f t="shared" si="2"/>
        <v>Pendiente</v>
      </c>
    </row>
    <row r="152" spans="1:15" ht="61.95" customHeight="1">
      <c r="A152" s="17" t="s">
        <v>248</v>
      </c>
      <c r="B152" s="9" t="s">
        <v>108</v>
      </c>
      <c r="C152" s="9" t="s">
        <v>249</v>
      </c>
      <c r="D152" s="17" t="s">
        <v>2763</v>
      </c>
      <c r="E152" s="9" t="s">
        <v>2764</v>
      </c>
      <c r="F152" s="9" t="s">
        <v>16</v>
      </c>
      <c r="G152" s="9" t="s">
        <v>40</v>
      </c>
      <c r="H152" s="9" t="s">
        <v>2765</v>
      </c>
      <c r="I152" s="13" t="s">
        <v>692</v>
      </c>
      <c r="J152" s="19"/>
      <c r="K152" s="14"/>
      <c r="L152" s="14"/>
      <c r="M152" s="14"/>
      <c r="N152" s="22"/>
      <c r="O152" s="12" t="str">
        <f t="shared" si="2"/>
        <v>Pendiente</v>
      </c>
    </row>
    <row r="153" spans="1:15" ht="61.95" customHeight="1">
      <c r="A153" s="17" t="s">
        <v>250</v>
      </c>
      <c r="B153" s="9" t="s">
        <v>108</v>
      </c>
      <c r="C153" s="9" t="s">
        <v>251</v>
      </c>
      <c r="D153" s="17" t="s">
        <v>2766</v>
      </c>
      <c r="E153" s="9" t="s">
        <v>2767</v>
      </c>
      <c r="F153" s="9" t="s">
        <v>16</v>
      </c>
      <c r="G153" s="9" t="s">
        <v>40</v>
      </c>
      <c r="H153" s="9" t="s">
        <v>2768</v>
      </c>
      <c r="I153" s="13" t="s">
        <v>692</v>
      </c>
      <c r="J153" s="19"/>
      <c r="K153" s="14"/>
      <c r="L153" s="14"/>
      <c r="M153" s="14"/>
      <c r="N153" s="22"/>
      <c r="O153" s="12" t="str">
        <f t="shared" si="2"/>
        <v>Pendiente</v>
      </c>
    </row>
    <row r="154" spans="1:15" ht="61.95" customHeight="1">
      <c r="A154" s="17" t="s">
        <v>254</v>
      </c>
      <c r="B154" s="9" t="s">
        <v>108</v>
      </c>
      <c r="C154" s="9" t="s">
        <v>255</v>
      </c>
      <c r="D154" s="17" t="s">
        <v>2769</v>
      </c>
      <c r="E154" s="9" t="s">
        <v>2770</v>
      </c>
      <c r="F154" s="9" t="s">
        <v>16</v>
      </c>
      <c r="G154" s="9" t="s">
        <v>40</v>
      </c>
      <c r="H154" s="9" t="s">
        <v>2771</v>
      </c>
      <c r="I154" s="13" t="s">
        <v>692</v>
      </c>
      <c r="J154" s="19"/>
      <c r="K154" s="14"/>
      <c r="L154" s="14"/>
      <c r="M154" s="14"/>
      <c r="N154" s="22"/>
      <c r="O154" s="12" t="str">
        <f t="shared" si="2"/>
        <v>Pendiente</v>
      </c>
    </row>
    <row r="155" spans="1:15" ht="61.95" customHeight="1">
      <c r="A155" s="17" t="s">
        <v>256</v>
      </c>
      <c r="B155" s="9" t="s">
        <v>108</v>
      </c>
      <c r="C155" s="9" t="s">
        <v>257</v>
      </c>
      <c r="D155" s="17" t="s">
        <v>2772</v>
      </c>
      <c r="E155" s="9" t="s">
        <v>2773</v>
      </c>
      <c r="F155" s="9" t="s">
        <v>16</v>
      </c>
      <c r="G155" s="9" t="s">
        <v>40</v>
      </c>
      <c r="H155" s="9" t="s">
        <v>2774</v>
      </c>
      <c r="I155" s="13" t="s">
        <v>692</v>
      </c>
      <c r="J155" s="19"/>
      <c r="K155" s="14"/>
      <c r="L155" s="14"/>
      <c r="M155" s="14"/>
      <c r="N155" s="22"/>
      <c r="O155" s="12" t="str">
        <f t="shared" si="2"/>
        <v>Pendiente</v>
      </c>
    </row>
    <row r="156" spans="1:15" ht="61.95" customHeight="1">
      <c r="A156" s="17" t="s">
        <v>258</v>
      </c>
      <c r="B156" s="9" t="s">
        <v>108</v>
      </c>
      <c r="C156" s="9" t="s">
        <v>259</v>
      </c>
      <c r="D156" s="17" t="s">
        <v>2775</v>
      </c>
      <c r="E156" s="9" t="s">
        <v>2776</v>
      </c>
      <c r="F156" s="9" t="s">
        <v>16</v>
      </c>
      <c r="G156" s="9" t="s">
        <v>40</v>
      </c>
      <c r="H156" s="9" t="s">
        <v>2777</v>
      </c>
      <c r="I156" s="13" t="s">
        <v>692</v>
      </c>
      <c r="J156" s="19"/>
      <c r="K156" s="14"/>
      <c r="L156" s="14"/>
      <c r="M156" s="14"/>
      <c r="N156" s="22"/>
      <c r="O156" s="12" t="str">
        <f t="shared" si="2"/>
        <v>Pendiente</v>
      </c>
    </row>
    <row r="157" spans="1:15" ht="61.95" customHeight="1">
      <c r="A157" s="17" t="s">
        <v>260</v>
      </c>
      <c r="B157" s="9" t="s">
        <v>108</v>
      </c>
      <c r="C157" s="9" t="s">
        <v>261</v>
      </c>
      <c r="D157" s="17" t="s">
        <v>2778</v>
      </c>
      <c r="E157" s="9" t="s">
        <v>2779</v>
      </c>
      <c r="F157" s="9" t="s">
        <v>16</v>
      </c>
      <c r="G157" s="9" t="s">
        <v>40</v>
      </c>
      <c r="H157" s="9" t="s">
        <v>2780</v>
      </c>
      <c r="I157" s="13" t="s">
        <v>692</v>
      </c>
      <c r="J157" s="19"/>
      <c r="K157" s="14"/>
      <c r="L157" s="14"/>
      <c r="M157" s="14"/>
      <c r="N157" s="22"/>
      <c r="O157" s="12" t="str">
        <f t="shared" si="2"/>
        <v>Pendiente</v>
      </c>
    </row>
    <row r="158" spans="1:15" ht="61.95" customHeight="1">
      <c r="A158" s="17" t="s">
        <v>262</v>
      </c>
      <c r="B158" s="9" t="s">
        <v>108</v>
      </c>
      <c r="C158" s="9" t="s">
        <v>263</v>
      </c>
      <c r="D158" s="17" t="s">
        <v>2781</v>
      </c>
      <c r="E158" s="9" t="s">
        <v>2782</v>
      </c>
      <c r="F158" s="9" t="s">
        <v>16</v>
      </c>
      <c r="G158" s="9" t="s">
        <v>40</v>
      </c>
      <c r="H158" s="9" t="s">
        <v>2783</v>
      </c>
      <c r="I158" s="13" t="s">
        <v>692</v>
      </c>
      <c r="J158" s="19"/>
      <c r="K158" s="14"/>
      <c r="L158" s="14"/>
      <c r="M158" s="14"/>
      <c r="N158" s="22"/>
      <c r="O158" s="12" t="str">
        <f t="shared" si="2"/>
        <v>Pendiente</v>
      </c>
    </row>
    <row r="159" spans="1:15" ht="61.95" customHeight="1">
      <c r="A159" s="17" t="s">
        <v>264</v>
      </c>
      <c r="B159" s="9" t="s">
        <v>108</v>
      </c>
      <c r="C159" s="9" t="s">
        <v>265</v>
      </c>
      <c r="D159" s="17" t="s">
        <v>2784</v>
      </c>
      <c r="E159" s="9" t="s">
        <v>2785</v>
      </c>
      <c r="F159" s="9" t="s">
        <v>16</v>
      </c>
      <c r="G159" s="9" t="s">
        <v>40</v>
      </c>
      <c r="H159" s="9" t="s">
        <v>2786</v>
      </c>
      <c r="I159" s="13" t="s">
        <v>692</v>
      </c>
      <c r="J159" s="19"/>
      <c r="K159" s="14"/>
      <c r="L159" s="14"/>
      <c r="M159" s="14"/>
      <c r="N159" s="22"/>
      <c r="O159" s="12" t="str">
        <f t="shared" si="2"/>
        <v>Pendiente</v>
      </c>
    </row>
    <row r="160" spans="1:15" ht="61.95" customHeight="1">
      <c r="A160" s="17" t="s">
        <v>268</v>
      </c>
      <c r="B160" s="9" t="s">
        <v>108</v>
      </c>
      <c r="C160" s="9" t="s">
        <v>269</v>
      </c>
      <c r="D160" s="17" t="s">
        <v>2787</v>
      </c>
      <c r="E160" s="9" t="s">
        <v>2788</v>
      </c>
      <c r="F160" s="9" t="s">
        <v>16</v>
      </c>
      <c r="G160" s="9" t="s">
        <v>40</v>
      </c>
      <c r="H160" s="9" t="s">
        <v>2789</v>
      </c>
      <c r="I160" s="13" t="s">
        <v>692</v>
      </c>
      <c r="J160" s="19"/>
      <c r="K160" s="14"/>
      <c r="L160" s="14"/>
      <c r="M160" s="14"/>
      <c r="N160" s="22"/>
      <c r="O160" s="12" t="str">
        <f t="shared" si="2"/>
        <v>Pendiente</v>
      </c>
    </row>
    <row r="161" spans="1:15" ht="78" customHeight="1">
      <c r="A161" s="17" t="s">
        <v>270</v>
      </c>
      <c r="B161" s="9" t="s">
        <v>108</v>
      </c>
      <c r="C161" s="9" t="s">
        <v>271</v>
      </c>
      <c r="D161" s="17" t="s">
        <v>2790</v>
      </c>
      <c r="E161" s="9" t="s">
        <v>2791</v>
      </c>
      <c r="F161" s="9" t="s">
        <v>16</v>
      </c>
      <c r="G161" s="9" t="s">
        <v>40</v>
      </c>
      <c r="H161" s="9" t="s">
        <v>2792</v>
      </c>
      <c r="I161" s="13" t="s">
        <v>692</v>
      </c>
      <c r="J161" s="19"/>
      <c r="K161" s="14"/>
      <c r="L161" s="14"/>
      <c r="M161" s="14"/>
      <c r="N161" s="22"/>
      <c r="O161" s="12" t="str">
        <f t="shared" si="2"/>
        <v>Pendiente</v>
      </c>
    </row>
    <row r="162" spans="1:15" ht="61.95" customHeight="1">
      <c r="A162" s="17" t="s">
        <v>272</v>
      </c>
      <c r="B162" s="9" t="s">
        <v>108</v>
      </c>
      <c r="C162" s="9" t="s">
        <v>273</v>
      </c>
      <c r="D162" s="17" t="s">
        <v>2793</v>
      </c>
      <c r="E162" s="9" t="s">
        <v>2794</v>
      </c>
      <c r="F162" s="9" t="s">
        <v>16</v>
      </c>
      <c r="G162" s="9" t="s">
        <v>40</v>
      </c>
      <c r="H162" s="9" t="s">
        <v>2795</v>
      </c>
      <c r="I162" s="13" t="s">
        <v>692</v>
      </c>
      <c r="J162" s="19"/>
      <c r="K162" s="14"/>
      <c r="L162" s="14"/>
      <c r="M162" s="14"/>
      <c r="N162" s="22"/>
      <c r="O162" s="12" t="str">
        <f t="shared" si="2"/>
        <v>Pendiente</v>
      </c>
    </row>
    <row r="163" spans="1:15" ht="94.05" customHeight="1">
      <c r="A163" s="17" t="s">
        <v>282</v>
      </c>
      <c r="B163" s="9" t="s">
        <v>108</v>
      </c>
      <c r="C163" s="9" t="s">
        <v>283</v>
      </c>
      <c r="D163" s="17" t="s">
        <v>2796</v>
      </c>
      <c r="E163" s="9" t="s">
        <v>2797</v>
      </c>
      <c r="F163" s="9" t="s">
        <v>16</v>
      </c>
      <c r="G163" s="9" t="s">
        <v>40</v>
      </c>
      <c r="H163" s="9" t="s">
        <v>2798</v>
      </c>
      <c r="I163" s="13" t="s">
        <v>692</v>
      </c>
      <c r="J163" s="19"/>
      <c r="K163" s="14"/>
      <c r="L163" s="14"/>
      <c r="M163" s="14"/>
      <c r="N163" s="22"/>
      <c r="O163" s="12" t="str">
        <f t="shared" si="2"/>
        <v>Pendiente</v>
      </c>
    </row>
    <row r="164" spans="1:15" ht="61.95" customHeight="1">
      <c r="A164" s="17" t="s">
        <v>284</v>
      </c>
      <c r="B164" s="9" t="s">
        <v>108</v>
      </c>
      <c r="C164" s="9" t="s">
        <v>285</v>
      </c>
      <c r="D164" s="17" t="s">
        <v>2799</v>
      </c>
      <c r="E164" s="9" t="s">
        <v>2800</v>
      </c>
      <c r="F164" s="9" t="s">
        <v>16</v>
      </c>
      <c r="G164" s="9" t="s">
        <v>40</v>
      </c>
      <c r="H164" s="9" t="s">
        <v>2801</v>
      </c>
      <c r="I164" s="13" t="s">
        <v>692</v>
      </c>
      <c r="J164" s="19"/>
      <c r="K164" s="14"/>
      <c r="L164" s="14"/>
      <c r="M164" s="14"/>
      <c r="N164" s="22"/>
      <c r="O164" s="12" t="str">
        <f t="shared" si="2"/>
        <v>Pendiente</v>
      </c>
    </row>
    <row r="165" spans="1:15" ht="94.05" customHeight="1">
      <c r="A165" s="17" t="s">
        <v>286</v>
      </c>
      <c r="B165" s="9" t="s">
        <v>108</v>
      </c>
      <c r="C165" s="9" t="s">
        <v>287</v>
      </c>
      <c r="D165" s="17" t="s">
        <v>2802</v>
      </c>
      <c r="E165" s="9" t="s">
        <v>2803</v>
      </c>
      <c r="F165" s="9" t="s">
        <v>16</v>
      </c>
      <c r="G165" s="9" t="s">
        <v>40</v>
      </c>
      <c r="H165" s="9" t="s">
        <v>2804</v>
      </c>
      <c r="I165" s="13" t="s">
        <v>692</v>
      </c>
      <c r="J165" s="19"/>
      <c r="K165" s="14"/>
      <c r="L165" s="14"/>
      <c r="M165" s="14"/>
      <c r="N165" s="22"/>
      <c r="O165" s="12" t="str">
        <f t="shared" si="2"/>
        <v>Pendiente</v>
      </c>
    </row>
    <row r="166" spans="1:15" ht="61.95" customHeight="1">
      <c r="A166" s="17" t="s">
        <v>288</v>
      </c>
      <c r="B166" s="9" t="s">
        <v>108</v>
      </c>
      <c r="C166" s="9" t="s">
        <v>289</v>
      </c>
      <c r="D166" s="17" t="s">
        <v>2805</v>
      </c>
      <c r="E166" s="9" t="s">
        <v>2806</v>
      </c>
      <c r="F166" s="9" t="s">
        <v>16</v>
      </c>
      <c r="G166" s="9" t="s">
        <v>40</v>
      </c>
      <c r="H166" s="9" t="s">
        <v>2807</v>
      </c>
      <c r="I166" s="13" t="s">
        <v>692</v>
      </c>
      <c r="J166" s="19"/>
      <c r="K166" s="14"/>
      <c r="L166" s="14"/>
      <c r="M166" s="14"/>
      <c r="N166" s="22"/>
      <c r="O166" s="12" t="str">
        <f t="shared" si="2"/>
        <v>Pendiente</v>
      </c>
    </row>
    <row r="167" spans="1:15" ht="61.95" customHeight="1">
      <c r="A167" s="17" t="s">
        <v>292</v>
      </c>
      <c r="B167" s="9" t="s">
        <v>108</v>
      </c>
      <c r="C167" s="9" t="s">
        <v>293</v>
      </c>
      <c r="D167" s="17" t="s">
        <v>2808</v>
      </c>
      <c r="E167" s="9" t="s">
        <v>2809</v>
      </c>
      <c r="F167" s="9" t="s">
        <v>16</v>
      </c>
      <c r="G167" s="9" t="s">
        <v>40</v>
      </c>
      <c r="H167" s="9" t="s">
        <v>2810</v>
      </c>
      <c r="I167" s="13" t="s">
        <v>692</v>
      </c>
      <c r="J167" s="19"/>
      <c r="K167" s="14"/>
      <c r="L167" s="14"/>
      <c r="M167" s="14"/>
      <c r="N167" s="22"/>
      <c r="O167" s="12" t="str">
        <f t="shared" si="2"/>
        <v>Pendiente</v>
      </c>
    </row>
    <row r="168" spans="1:15" ht="61.95" customHeight="1">
      <c r="A168" s="17" t="s">
        <v>294</v>
      </c>
      <c r="B168" s="9" t="s">
        <v>108</v>
      </c>
      <c r="C168" s="9" t="s">
        <v>295</v>
      </c>
      <c r="D168" s="17" t="s">
        <v>2811</v>
      </c>
      <c r="E168" s="9" t="s">
        <v>2812</v>
      </c>
      <c r="F168" s="9" t="s">
        <v>16</v>
      </c>
      <c r="G168" s="9" t="s">
        <v>40</v>
      </c>
      <c r="H168" s="9" t="s">
        <v>2813</v>
      </c>
      <c r="I168" s="13" t="s">
        <v>692</v>
      </c>
      <c r="J168" s="19"/>
      <c r="K168" s="14"/>
      <c r="L168" s="14"/>
      <c r="M168" s="14"/>
      <c r="N168" s="22"/>
      <c r="O168" s="12" t="str">
        <f t="shared" si="2"/>
        <v>Pendiente</v>
      </c>
    </row>
    <row r="169" spans="1:15" ht="61.95" customHeight="1">
      <c r="A169" s="17" t="s">
        <v>298</v>
      </c>
      <c r="B169" s="9" t="s">
        <v>108</v>
      </c>
      <c r="C169" s="9" t="s">
        <v>299</v>
      </c>
      <c r="D169" s="17" t="s">
        <v>2814</v>
      </c>
      <c r="E169" s="9" t="s">
        <v>2815</v>
      </c>
      <c r="F169" s="9" t="s">
        <v>16</v>
      </c>
      <c r="G169" s="9" t="s">
        <v>40</v>
      </c>
      <c r="H169" s="9" t="s">
        <v>2816</v>
      </c>
      <c r="I169" s="13" t="s">
        <v>692</v>
      </c>
      <c r="J169" s="19"/>
      <c r="K169" s="14"/>
      <c r="L169" s="14"/>
      <c r="M169" s="14"/>
      <c r="N169" s="22"/>
      <c r="O169" s="12" t="str">
        <f t="shared" si="2"/>
        <v>Pendiente</v>
      </c>
    </row>
    <row r="170" spans="1:15" ht="61.95" customHeight="1">
      <c r="A170" s="17" t="s">
        <v>302</v>
      </c>
      <c r="B170" s="9" t="s">
        <v>108</v>
      </c>
      <c r="C170" s="9" t="s">
        <v>303</v>
      </c>
      <c r="D170" s="17" t="s">
        <v>2817</v>
      </c>
      <c r="E170" s="9" t="s">
        <v>2818</v>
      </c>
      <c r="F170" s="9" t="s">
        <v>16</v>
      </c>
      <c r="G170" s="9" t="s">
        <v>40</v>
      </c>
      <c r="H170" s="9" t="s">
        <v>2819</v>
      </c>
      <c r="I170" s="13" t="s">
        <v>692</v>
      </c>
      <c r="J170" s="19"/>
      <c r="K170" s="14"/>
      <c r="L170" s="14"/>
      <c r="M170" s="14"/>
      <c r="N170" s="22"/>
      <c r="O170" s="12" t="str">
        <f t="shared" si="2"/>
        <v>Pendiente</v>
      </c>
    </row>
    <row r="171" spans="1:15" ht="61.95" customHeight="1">
      <c r="A171" s="17" t="s">
        <v>304</v>
      </c>
      <c r="B171" s="9" t="s">
        <v>108</v>
      </c>
      <c r="C171" s="9" t="s">
        <v>305</v>
      </c>
      <c r="D171" s="17" t="s">
        <v>2820</v>
      </c>
      <c r="E171" s="9" t="s">
        <v>2821</v>
      </c>
      <c r="F171" s="9" t="s">
        <v>16</v>
      </c>
      <c r="G171" s="9" t="s">
        <v>40</v>
      </c>
      <c r="H171" s="9" t="s">
        <v>2822</v>
      </c>
      <c r="I171" s="13" t="s">
        <v>692</v>
      </c>
      <c r="J171" s="19"/>
      <c r="K171" s="14"/>
      <c r="L171" s="14"/>
      <c r="M171" s="14"/>
      <c r="N171" s="22"/>
      <c r="O171" s="12" t="str">
        <f t="shared" si="2"/>
        <v>Pendiente</v>
      </c>
    </row>
    <row r="172" spans="1:15" ht="61.95" customHeight="1">
      <c r="A172" s="17" t="s">
        <v>306</v>
      </c>
      <c r="B172" s="9" t="s">
        <v>108</v>
      </c>
      <c r="C172" s="9" t="s">
        <v>307</v>
      </c>
      <c r="D172" s="17" t="s">
        <v>2823</v>
      </c>
      <c r="E172" s="9" t="s">
        <v>2824</v>
      </c>
      <c r="F172" s="9" t="s">
        <v>16</v>
      </c>
      <c r="G172" s="9" t="s">
        <v>40</v>
      </c>
      <c r="H172" s="9" t="s">
        <v>2825</v>
      </c>
      <c r="I172" s="13" t="s">
        <v>692</v>
      </c>
      <c r="J172" s="19"/>
      <c r="K172" s="14"/>
      <c r="L172" s="14"/>
      <c r="M172" s="14"/>
      <c r="N172" s="22"/>
      <c r="O172" s="12" t="str">
        <f t="shared" si="2"/>
        <v>Pendiente</v>
      </c>
    </row>
    <row r="173" spans="1:15" ht="61.95" customHeight="1">
      <c r="A173" s="17" t="s">
        <v>308</v>
      </c>
      <c r="B173" s="9" t="s">
        <v>108</v>
      </c>
      <c r="C173" s="9" t="s">
        <v>309</v>
      </c>
      <c r="D173" s="17" t="s">
        <v>2826</v>
      </c>
      <c r="E173" s="9" t="s">
        <v>2827</v>
      </c>
      <c r="F173" s="9" t="s">
        <v>16</v>
      </c>
      <c r="G173" s="9" t="s">
        <v>40</v>
      </c>
      <c r="H173" s="9" t="s">
        <v>2828</v>
      </c>
      <c r="I173" s="13" t="s">
        <v>692</v>
      </c>
      <c r="J173" s="19"/>
      <c r="K173" s="14"/>
      <c r="L173" s="14"/>
      <c r="M173" s="14"/>
      <c r="N173" s="22"/>
      <c r="O173" s="12" t="str">
        <f t="shared" si="2"/>
        <v>Pendiente</v>
      </c>
    </row>
    <row r="174" spans="1:15" ht="61.95" customHeight="1">
      <c r="A174" s="17" t="s">
        <v>312</v>
      </c>
      <c r="B174" s="9" t="s">
        <v>108</v>
      </c>
      <c r="C174" s="9" t="s">
        <v>313</v>
      </c>
      <c r="D174" s="17" t="s">
        <v>2829</v>
      </c>
      <c r="E174" s="9" t="s">
        <v>2830</v>
      </c>
      <c r="F174" s="9" t="s">
        <v>16</v>
      </c>
      <c r="G174" s="9" t="s">
        <v>40</v>
      </c>
      <c r="H174" s="9" t="s">
        <v>2831</v>
      </c>
      <c r="I174" s="13" t="s">
        <v>692</v>
      </c>
      <c r="J174" s="19"/>
      <c r="K174" s="14"/>
      <c r="L174" s="14"/>
      <c r="M174" s="14"/>
      <c r="N174" s="22"/>
      <c r="O174" s="12" t="str">
        <f t="shared" si="2"/>
        <v>Pendiente</v>
      </c>
    </row>
    <row r="175" spans="1:15" ht="94.05" customHeight="1">
      <c r="A175" s="17" t="s">
        <v>314</v>
      </c>
      <c r="B175" s="9" t="s">
        <v>108</v>
      </c>
      <c r="C175" s="9" t="s">
        <v>315</v>
      </c>
      <c r="D175" s="17" t="s">
        <v>2500</v>
      </c>
      <c r="E175" s="9" t="s">
        <v>2501</v>
      </c>
      <c r="F175" s="9" t="s">
        <v>16</v>
      </c>
      <c r="G175" s="9" t="s">
        <v>40</v>
      </c>
      <c r="H175" s="9" t="s">
        <v>2832</v>
      </c>
      <c r="I175" s="13" t="s">
        <v>692</v>
      </c>
      <c r="J175" s="19"/>
      <c r="K175" s="14"/>
      <c r="L175" s="14"/>
      <c r="M175" s="14"/>
      <c r="N175" s="22"/>
      <c r="O175" s="12" t="str">
        <f t="shared" si="2"/>
        <v>Pendiente</v>
      </c>
    </row>
    <row r="176" spans="1:15" ht="61.95" customHeight="1">
      <c r="A176" s="17" t="s">
        <v>316</v>
      </c>
      <c r="B176" s="9" t="s">
        <v>108</v>
      </c>
      <c r="C176" s="9" t="s">
        <v>317</v>
      </c>
      <c r="D176" s="17" t="s">
        <v>2833</v>
      </c>
      <c r="E176" s="9" t="s">
        <v>2834</v>
      </c>
      <c r="F176" s="9" t="s">
        <v>16</v>
      </c>
      <c r="G176" s="9" t="s">
        <v>40</v>
      </c>
      <c r="H176" s="9" t="s">
        <v>2835</v>
      </c>
      <c r="I176" s="13" t="s">
        <v>692</v>
      </c>
      <c r="J176" s="19"/>
      <c r="K176" s="14"/>
      <c r="L176" s="14"/>
      <c r="M176" s="14"/>
      <c r="N176" s="22"/>
      <c r="O176" s="12" t="str">
        <f t="shared" si="2"/>
        <v>Pendiente</v>
      </c>
    </row>
    <row r="177" spans="1:15" ht="61.95" customHeight="1">
      <c r="A177" s="17" t="s">
        <v>318</v>
      </c>
      <c r="B177" s="9" t="s">
        <v>108</v>
      </c>
      <c r="C177" s="9" t="s">
        <v>319</v>
      </c>
      <c r="D177" s="17" t="s">
        <v>2836</v>
      </c>
      <c r="E177" s="9" t="s">
        <v>2837</v>
      </c>
      <c r="F177" s="9" t="s">
        <v>16</v>
      </c>
      <c r="G177" s="9" t="s">
        <v>40</v>
      </c>
      <c r="H177" s="9" t="s">
        <v>2838</v>
      </c>
      <c r="I177" s="13" t="s">
        <v>692</v>
      </c>
      <c r="J177" s="19"/>
      <c r="K177" s="14"/>
      <c r="L177" s="14"/>
      <c r="M177" s="14"/>
      <c r="N177" s="22"/>
      <c r="O177" s="12" t="str">
        <f t="shared" si="2"/>
        <v>Pendiente</v>
      </c>
    </row>
    <row r="178" spans="1:15" ht="78" customHeight="1">
      <c r="A178" s="17" t="s">
        <v>320</v>
      </c>
      <c r="B178" s="9" t="s">
        <v>108</v>
      </c>
      <c r="C178" s="9" t="s">
        <v>321</v>
      </c>
      <c r="D178" s="17" t="s">
        <v>2839</v>
      </c>
      <c r="E178" s="9" t="s">
        <v>2840</v>
      </c>
      <c r="F178" s="9" t="s">
        <v>16</v>
      </c>
      <c r="G178" s="9" t="s">
        <v>40</v>
      </c>
      <c r="H178" s="9" t="s">
        <v>2841</v>
      </c>
      <c r="I178" s="13" t="s">
        <v>692</v>
      </c>
      <c r="J178" s="19"/>
      <c r="K178" s="14"/>
      <c r="L178" s="14"/>
      <c r="M178" s="14"/>
      <c r="N178" s="22"/>
      <c r="O178" s="12" t="str">
        <f t="shared" si="2"/>
        <v>Pendiente</v>
      </c>
    </row>
    <row r="179" spans="1:15" ht="61.95" customHeight="1">
      <c r="A179" s="17" t="s">
        <v>322</v>
      </c>
      <c r="B179" s="9" t="s">
        <v>108</v>
      </c>
      <c r="C179" s="9" t="s">
        <v>323</v>
      </c>
      <c r="D179" s="17" t="s">
        <v>2842</v>
      </c>
      <c r="E179" s="9" t="s">
        <v>2843</v>
      </c>
      <c r="F179" s="9" t="s">
        <v>16</v>
      </c>
      <c r="G179" s="9" t="s">
        <v>40</v>
      </c>
      <c r="H179" s="9" t="s">
        <v>2844</v>
      </c>
      <c r="I179" s="13" t="s">
        <v>692</v>
      </c>
      <c r="J179" s="19"/>
      <c r="K179" s="14"/>
      <c r="L179" s="14"/>
      <c r="M179" s="14"/>
      <c r="N179" s="22"/>
      <c r="O179" s="12" t="str">
        <f t="shared" si="2"/>
        <v>Pendiente</v>
      </c>
    </row>
    <row r="180" spans="1:15" ht="61.95" customHeight="1">
      <c r="A180" s="17" t="s">
        <v>328</v>
      </c>
      <c r="B180" s="9" t="s">
        <v>108</v>
      </c>
      <c r="C180" s="9" t="s">
        <v>329</v>
      </c>
      <c r="D180" s="17" t="s">
        <v>2845</v>
      </c>
      <c r="E180" s="9" t="s">
        <v>2846</v>
      </c>
      <c r="F180" s="9" t="s">
        <v>16</v>
      </c>
      <c r="G180" s="9" t="s">
        <v>40</v>
      </c>
      <c r="H180" s="9" t="s">
        <v>2847</v>
      </c>
      <c r="I180" s="13" t="s">
        <v>692</v>
      </c>
      <c r="J180" s="19"/>
      <c r="K180" s="14"/>
      <c r="L180" s="14"/>
      <c r="M180" s="14"/>
      <c r="N180" s="22"/>
      <c r="O180" s="12" t="str">
        <f t="shared" si="2"/>
        <v>Pendiente</v>
      </c>
    </row>
    <row r="181" spans="1:15" ht="94.05" customHeight="1">
      <c r="A181" s="17" t="s">
        <v>336</v>
      </c>
      <c r="B181" s="9" t="s">
        <v>108</v>
      </c>
      <c r="C181" s="9" t="s">
        <v>337</v>
      </c>
      <c r="D181" s="17" t="s">
        <v>2848</v>
      </c>
      <c r="E181" s="9" t="s">
        <v>2849</v>
      </c>
      <c r="F181" s="9" t="s">
        <v>16</v>
      </c>
      <c r="G181" s="9" t="s">
        <v>40</v>
      </c>
      <c r="H181" s="9" t="s">
        <v>2850</v>
      </c>
      <c r="I181" s="13" t="s">
        <v>692</v>
      </c>
      <c r="J181" s="19"/>
      <c r="K181" s="14"/>
      <c r="L181" s="14"/>
      <c r="M181" s="14"/>
      <c r="N181" s="22"/>
      <c r="O181" s="12" t="str">
        <f t="shared" si="2"/>
        <v>Pendiente</v>
      </c>
    </row>
    <row r="182" spans="1:15" ht="61.95" customHeight="1">
      <c r="A182" s="17" t="s">
        <v>338</v>
      </c>
      <c r="B182" s="9" t="s">
        <v>108</v>
      </c>
      <c r="C182" s="9" t="s">
        <v>339</v>
      </c>
      <c r="D182" s="17" t="s">
        <v>2851</v>
      </c>
      <c r="E182" s="9" t="s">
        <v>2852</v>
      </c>
      <c r="F182" s="9" t="s">
        <v>16</v>
      </c>
      <c r="G182" s="9" t="s">
        <v>40</v>
      </c>
      <c r="H182" s="9" t="s">
        <v>2853</v>
      </c>
      <c r="I182" s="13" t="s">
        <v>692</v>
      </c>
      <c r="J182" s="19"/>
      <c r="K182" s="14"/>
      <c r="L182" s="14"/>
      <c r="M182" s="14"/>
      <c r="N182" s="22"/>
      <c r="O182" s="12" t="str">
        <f t="shared" si="2"/>
        <v>Pendiente</v>
      </c>
    </row>
    <row r="183" spans="1:15" ht="61.95" customHeight="1">
      <c r="A183" s="17" t="s">
        <v>340</v>
      </c>
      <c r="B183" s="9" t="s">
        <v>108</v>
      </c>
      <c r="C183" s="9" t="s">
        <v>341</v>
      </c>
      <c r="D183" s="17" t="s">
        <v>2854</v>
      </c>
      <c r="E183" s="9" t="s">
        <v>2855</v>
      </c>
      <c r="F183" s="9" t="s">
        <v>16</v>
      </c>
      <c r="G183" s="9" t="s">
        <v>40</v>
      </c>
      <c r="H183" s="9" t="s">
        <v>2856</v>
      </c>
      <c r="I183" s="13" t="s">
        <v>692</v>
      </c>
      <c r="J183" s="19"/>
      <c r="K183" s="14"/>
      <c r="L183" s="14"/>
      <c r="M183" s="14"/>
      <c r="N183" s="22"/>
      <c r="O183" s="12" t="str">
        <f t="shared" si="2"/>
        <v>Pendiente</v>
      </c>
    </row>
    <row r="184" spans="1:15" ht="94.05" customHeight="1">
      <c r="A184" s="17" t="s">
        <v>346</v>
      </c>
      <c r="B184" s="9" t="s">
        <v>108</v>
      </c>
      <c r="C184" s="9" t="s">
        <v>347</v>
      </c>
      <c r="D184" s="17" t="s">
        <v>2857</v>
      </c>
      <c r="E184" s="9" t="s">
        <v>2858</v>
      </c>
      <c r="F184" s="9" t="s">
        <v>16</v>
      </c>
      <c r="G184" s="9" t="s">
        <v>40</v>
      </c>
      <c r="H184" s="9" t="s">
        <v>2859</v>
      </c>
      <c r="I184" s="13" t="s">
        <v>692</v>
      </c>
      <c r="J184" s="19"/>
      <c r="K184" s="14"/>
      <c r="L184" s="14"/>
      <c r="M184" s="14"/>
      <c r="N184" s="22"/>
      <c r="O184" s="12" t="str">
        <f t="shared" si="2"/>
        <v>Pendiente</v>
      </c>
    </row>
    <row r="185" spans="1:15" ht="94.05" customHeight="1">
      <c r="A185" s="17" t="s">
        <v>356</v>
      </c>
      <c r="B185" s="9" t="s">
        <v>357</v>
      </c>
      <c r="C185" s="9" t="s">
        <v>358</v>
      </c>
      <c r="D185" s="17" t="s">
        <v>2860</v>
      </c>
      <c r="E185" s="9" t="s">
        <v>2861</v>
      </c>
      <c r="F185" s="9" t="s">
        <v>16</v>
      </c>
      <c r="G185" s="9" t="s">
        <v>40</v>
      </c>
      <c r="H185" s="9" t="s">
        <v>2862</v>
      </c>
      <c r="I185" s="13" t="s">
        <v>692</v>
      </c>
      <c r="J185" s="19"/>
      <c r="K185" s="14"/>
      <c r="L185" s="14"/>
      <c r="M185" s="14"/>
      <c r="N185" s="22"/>
      <c r="O185" s="12" t="str">
        <f t="shared" si="2"/>
        <v>Pendiente</v>
      </c>
    </row>
    <row r="186" spans="1:15" ht="78" customHeight="1">
      <c r="A186" s="17" t="s">
        <v>359</v>
      </c>
      <c r="B186" s="9" t="s">
        <v>357</v>
      </c>
      <c r="C186" s="9" t="s">
        <v>360</v>
      </c>
      <c r="D186" s="17" t="s">
        <v>2863</v>
      </c>
      <c r="E186" s="9" t="s">
        <v>2864</v>
      </c>
      <c r="F186" s="9" t="s">
        <v>16</v>
      </c>
      <c r="G186" s="9" t="s">
        <v>40</v>
      </c>
      <c r="H186" s="9" t="s">
        <v>2865</v>
      </c>
      <c r="I186" s="13" t="s">
        <v>692</v>
      </c>
      <c r="J186" s="19"/>
      <c r="K186" s="14"/>
      <c r="L186" s="14"/>
      <c r="M186" s="14"/>
      <c r="N186" s="22"/>
      <c r="O186" s="12" t="str">
        <f t="shared" si="2"/>
        <v>Pendiente</v>
      </c>
    </row>
    <row r="187" spans="1:15" ht="61.95" customHeight="1">
      <c r="A187" s="17" t="s">
        <v>361</v>
      </c>
      <c r="B187" s="9" t="s">
        <v>357</v>
      </c>
      <c r="C187" s="9" t="s">
        <v>362</v>
      </c>
      <c r="D187" s="17" t="s">
        <v>2866</v>
      </c>
      <c r="E187" s="9" t="s">
        <v>2867</v>
      </c>
      <c r="F187" s="9" t="s">
        <v>16</v>
      </c>
      <c r="G187" s="9" t="s">
        <v>40</v>
      </c>
      <c r="H187" s="9" t="s">
        <v>2868</v>
      </c>
      <c r="I187" s="13" t="s">
        <v>692</v>
      </c>
      <c r="J187" s="19"/>
      <c r="K187" s="14"/>
      <c r="L187" s="14"/>
      <c r="M187" s="14"/>
      <c r="N187" s="22"/>
      <c r="O187" s="12" t="str">
        <f t="shared" si="2"/>
        <v>Pendiente</v>
      </c>
    </row>
    <row r="188" spans="1:15" ht="61.95" customHeight="1">
      <c r="A188" s="17" t="s">
        <v>363</v>
      </c>
      <c r="B188" s="9" t="s">
        <v>357</v>
      </c>
      <c r="C188" s="9" t="s">
        <v>364</v>
      </c>
      <c r="D188" s="17" t="s">
        <v>2869</v>
      </c>
      <c r="E188" s="9" t="s">
        <v>2870</v>
      </c>
      <c r="F188" s="9" t="s">
        <v>16</v>
      </c>
      <c r="G188" s="9" t="s">
        <v>40</v>
      </c>
      <c r="H188" s="9" t="s">
        <v>2871</v>
      </c>
      <c r="I188" s="13" t="s">
        <v>692</v>
      </c>
      <c r="J188" s="19"/>
      <c r="K188" s="14"/>
      <c r="L188" s="14"/>
      <c r="M188" s="14"/>
      <c r="N188" s="22"/>
      <c r="O188" s="12" t="str">
        <f t="shared" si="2"/>
        <v>Pendiente</v>
      </c>
    </row>
    <row r="189" spans="1:15" ht="61.95" customHeight="1">
      <c r="A189" s="17" t="s">
        <v>365</v>
      </c>
      <c r="B189" s="9" t="s">
        <v>357</v>
      </c>
      <c r="C189" s="9" t="s">
        <v>366</v>
      </c>
      <c r="D189" s="17" t="s">
        <v>2872</v>
      </c>
      <c r="E189" s="9" t="s">
        <v>2873</v>
      </c>
      <c r="F189" s="9" t="s">
        <v>16</v>
      </c>
      <c r="G189" s="9" t="s">
        <v>40</v>
      </c>
      <c r="H189" s="9" t="s">
        <v>2874</v>
      </c>
      <c r="I189" s="13" t="s">
        <v>692</v>
      </c>
      <c r="J189" s="19"/>
      <c r="K189" s="14"/>
      <c r="L189" s="14"/>
      <c r="M189" s="14"/>
      <c r="N189" s="22"/>
      <c r="O189" s="12" t="str">
        <f t="shared" si="2"/>
        <v>Pendiente</v>
      </c>
    </row>
    <row r="190" spans="1:15" ht="61.95" customHeight="1">
      <c r="A190" s="17" t="s">
        <v>367</v>
      </c>
      <c r="B190" s="9" t="s">
        <v>357</v>
      </c>
      <c r="C190" s="9" t="s">
        <v>368</v>
      </c>
      <c r="D190" s="17" t="s">
        <v>2875</v>
      </c>
      <c r="E190" s="9" t="s">
        <v>2876</v>
      </c>
      <c r="F190" s="9" t="s">
        <v>16</v>
      </c>
      <c r="G190" s="9" t="s">
        <v>40</v>
      </c>
      <c r="H190" s="9" t="s">
        <v>2877</v>
      </c>
      <c r="I190" s="13" t="s">
        <v>692</v>
      </c>
      <c r="J190" s="19"/>
      <c r="K190" s="14"/>
      <c r="L190" s="14"/>
      <c r="M190" s="14"/>
      <c r="N190" s="22"/>
      <c r="O190" s="12" t="str">
        <f t="shared" si="2"/>
        <v>Pendiente</v>
      </c>
    </row>
    <row r="191" spans="1:15" ht="61.95" customHeight="1">
      <c r="A191" s="17" t="s">
        <v>369</v>
      </c>
      <c r="B191" s="9" t="s">
        <v>357</v>
      </c>
      <c r="C191" s="9" t="s">
        <v>370</v>
      </c>
      <c r="D191" s="17" t="s">
        <v>2878</v>
      </c>
      <c r="E191" s="9" t="s">
        <v>2879</v>
      </c>
      <c r="F191" s="9" t="s">
        <v>16</v>
      </c>
      <c r="G191" s="9" t="s">
        <v>40</v>
      </c>
      <c r="H191" s="9" t="s">
        <v>2880</v>
      </c>
      <c r="I191" s="13" t="s">
        <v>692</v>
      </c>
      <c r="J191" s="19"/>
      <c r="K191" s="14"/>
      <c r="L191" s="14"/>
      <c r="M191" s="14"/>
      <c r="N191" s="22"/>
      <c r="O191" s="12" t="str">
        <f t="shared" si="2"/>
        <v>Pendiente</v>
      </c>
    </row>
    <row r="192" spans="1:15" ht="61.95" customHeight="1">
      <c r="A192" s="17" t="s">
        <v>371</v>
      </c>
      <c r="B192" s="9" t="s">
        <v>357</v>
      </c>
      <c r="C192" s="9" t="s">
        <v>372</v>
      </c>
      <c r="D192" s="17" t="s">
        <v>2881</v>
      </c>
      <c r="E192" s="9" t="s">
        <v>2882</v>
      </c>
      <c r="F192" s="9" t="s">
        <v>16</v>
      </c>
      <c r="G192" s="9" t="s">
        <v>40</v>
      </c>
      <c r="H192" s="9" t="s">
        <v>2883</v>
      </c>
      <c r="I192" s="13" t="s">
        <v>692</v>
      </c>
      <c r="J192" s="19"/>
      <c r="K192" s="14"/>
      <c r="L192" s="14"/>
      <c r="M192" s="14"/>
      <c r="N192" s="22"/>
      <c r="O192" s="12" t="str">
        <f t="shared" si="2"/>
        <v>Pendiente</v>
      </c>
    </row>
    <row r="193" spans="1:15" ht="61.95" customHeight="1">
      <c r="A193" s="17" t="s">
        <v>377</v>
      </c>
      <c r="B193" s="9" t="s">
        <v>357</v>
      </c>
      <c r="C193" s="9" t="s">
        <v>378</v>
      </c>
      <c r="D193" s="17" t="s">
        <v>2884</v>
      </c>
      <c r="E193" s="9" t="s">
        <v>2885</v>
      </c>
      <c r="F193" s="9" t="s">
        <v>16</v>
      </c>
      <c r="G193" s="9" t="s">
        <v>40</v>
      </c>
      <c r="H193" s="9" t="s">
        <v>2886</v>
      </c>
      <c r="I193" s="13" t="s">
        <v>692</v>
      </c>
      <c r="J193" s="19"/>
      <c r="K193" s="14"/>
      <c r="L193" s="14"/>
      <c r="M193" s="14"/>
      <c r="N193" s="22"/>
      <c r="O193" s="12" t="str">
        <f t="shared" si="2"/>
        <v>Pendiente</v>
      </c>
    </row>
    <row r="194" spans="1:15" ht="61.95" customHeight="1">
      <c r="A194" s="17" t="s">
        <v>379</v>
      </c>
      <c r="B194" s="9" t="s">
        <v>357</v>
      </c>
      <c r="C194" s="9" t="s">
        <v>380</v>
      </c>
      <c r="D194" s="17" t="s">
        <v>2887</v>
      </c>
      <c r="E194" s="9" t="s">
        <v>2888</v>
      </c>
      <c r="F194" s="9" t="s">
        <v>16</v>
      </c>
      <c r="G194" s="9" t="s">
        <v>40</v>
      </c>
      <c r="H194" s="9" t="s">
        <v>2889</v>
      </c>
      <c r="I194" s="13" t="s">
        <v>692</v>
      </c>
      <c r="J194" s="19"/>
      <c r="K194" s="14"/>
      <c r="L194" s="14"/>
      <c r="M194" s="14"/>
      <c r="N194" s="22"/>
      <c r="O194" s="12" t="str">
        <f t="shared" si="2"/>
        <v>Pendiente</v>
      </c>
    </row>
    <row r="195" spans="1:15" ht="94.05" customHeight="1">
      <c r="A195" s="17" t="s">
        <v>381</v>
      </c>
      <c r="B195" s="9" t="s">
        <v>357</v>
      </c>
      <c r="C195" s="9" t="s">
        <v>382</v>
      </c>
      <c r="D195" s="17" t="s">
        <v>2890</v>
      </c>
      <c r="E195" s="9" t="s">
        <v>2891</v>
      </c>
      <c r="F195" s="9" t="s">
        <v>16</v>
      </c>
      <c r="G195" s="9" t="s">
        <v>40</v>
      </c>
      <c r="H195" s="9" t="s">
        <v>2892</v>
      </c>
      <c r="I195" s="13" t="s">
        <v>692</v>
      </c>
      <c r="J195" s="19"/>
      <c r="K195" s="14"/>
      <c r="L195" s="14"/>
      <c r="M195" s="14"/>
      <c r="N195" s="22"/>
      <c r="O195" s="12" t="str">
        <f t="shared" si="2"/>
        <v>Pendiente</v>
      </c>
    </row>
    <row r="196" spans="1:15" ht="61.95" customHeight="1">
      <c r="A196" s="17" t="s">
        <v>383</v>
      </c>
      <c r="B196" s="9" t="s">
        <v>357</v>
      </c>
      <c r="C196" s="9" t="s">
        <v>384</v>
      </c>
      <c r="D196" s="17" t="s">
        <v>2893</v>
      </c>
      <c r="E196" s="9" t="s">
        <v>2894</v>
      </c>
      <c r="F196" s="9" t="s">
        <v>16</v>
      </c>
      <c r="G196" s="9" t="s">
        <v>40</v>
      </c>
      <c r="H196" s="9" t="s">
        <v>2895</v>
      </c>
      <c r="I196" s="13" t="s">
        <v>692</v>
      </c>
      <c r="J196" s="19"/>
      <c r="K196" s="14"/>
      <c r="L196" s="14"/>
      <c r="M196" s="14"/>
      <c r="N196" s="22"/>
      <c r="O196" s="12" t="str">
        <f t="shared" si="2"/>
        <v>Pendiente</v>
      </c>
    </row>
    <row r="197" spans="1:15" ht="61.95" customHeight="1">
      <c r="A197" s="17" t="s">
        <v>385</v>
      </c>
      <c r="B197" s="9" t="s">
        <v>357</v>
      </c>
      <c r="C197" s="9" t="s">
        <v>386</v>
      </c>
      <c r="D197" s="17" t="s">
        <v>2896</v>
      </c>
      <c r="E197" s="9" t="s">
        <v>2897</v>
      </c>
      <c r="F197" s="9" t="s">
        <v>16</v>
      </c>
      <c r="G197" s="9" t="s">
        <v>40</v>
      </c>
      <c r="H197" s="9" t="s">
        <v>2898</v>
      </c>
      <c r="I197" s="13" t="s">
        <v>692</v>
      </c>
      <c r="J197" s="19"/>
      <c r="K197" s="14"/>
      <c r="L197" s="14"/>
      <c r="M197" s="14"/>
      <c r="N197" s="22"/>
      <c r="O197" s="12" t="str">
        <f t="shared" si="2"/>
        <v>Pendiente</v>
      </c>
    </row>
    <row r="198" spans="1:15" ht="61.95" customHeight="1">
      <c r="A198" s="17" t="s">
        <v>387</v>
      </c>
      <c r="B198" s="9" t="s">
        <v>357</v>
      </c>
      <c r="C198" s="9" t="s">
        <v>388</v>
      </c>
      <c r="D198" s="17" t="s">
        <v>2899</v>
      </c>
      <c r="E198" s="9" t="s">
        <v>2900</v>
      </c>
      <c r="F198" s="9" t="s">
        <v>16</v>
      </c>
      <c r="G198" s="9" t="s">
        <v>40</v>
      </c>
      <c r="H198" s="9" t="s">
        <v>2901</v>
      </c>
      <c r="I198" s="13" t="s">
        <v>692</v>
      </c>
      <c r="J198" s="19"/>
      <c r="K198" s="14"/>
      <c r="L198" s="14"/>
      <c r="M198" s="14"/>
      <c r="N198" s="22"/>
      <c r="O198" s="12" t="str">
        <f t="shared" si="2"/>
        <v>Pendiente</v>
      </c>
    </row>
    <row r="199" spans="1:15" ht="94.05" customHeight="1">
      <c r="A199" s="17" t="s">
        <v>389</v>
      </c>
      <c r="B199" s="9" t="s">
        <v>357</v>
      </c>
      <c r="C199" s="9" t="s">
        <v>390</v>
      </c>
      <c r="D199" s="17" t="s">
        <v>2902</v>
      </c>
      <c r="E199" s="9" t="s">
        <v>2903</v>
      </c>
      <c r="F199" s="9" t="s">
        <v>16</v>
      </c>
      <c r="G199" s="9" t="s">
        <v>40</v>
      </c>
      <c r="H199" s="9" t="s">
        <v>2904</v>
      </c>
      <c r="I199" s="13" t="s">
        <v>692</v>
      </c>
      <c r="J199" s="19"/>
      <c r="K199" s="14"/>
      <c r="L199" s="14"/>
      <c r="M199" s="14"/>
      <c r="N199" s="22"/>
      <c r="O199" s="12" t="str">
        <f t="shared" si="2"/>
        <v>Pendiente</v>
      </c>
    </row>
    <row r="200" spans="1:15" ht="109.95" customHeight="1">
      <c r="A200" s="17" t="s">
        <v>391</v>
      </c>
      <c r="B200" s="9" t="s">
        <v>357</v>
      </c>
      <c r="C200" s="9" t="s">
        <v>392</v>
      </c>
      <c r="D200" s="17" t="s">
        <v>2905</v>
      </c>
      <c r="E200" s="9" t="s">
        <v>2906</v>
      </c>
      <c r="F200" s="9" t="s">
        <v>16</v>
      </c>
      <c r="G200" s="9" t="s">
        <v>40</v>
      </c>
      <c r="H200" s="9" t="s">
        <v>2907</v>
      </c>
      <c r="I200" s="13" t="s">
        <v>692</v>
      </c>
      <c r="J200" s="19"/>
      <c r="K200" s="14"/>
      <c r="L200" s="14"/>
      <c r="M200" s="14"/>
      <c r="N200" s="22"/>
      <c r="O200" s="12" t="str">
        <f t="shared" ref="O200:O263" si="3">IF(I200="Pendiente","Pendiente",IF(I200="Equivalente confirmado",IF(OR(J200="",K200=""),"Falta código o nombre",IF(OR(L200="",M200=""),"Falta validación",IF(OR(NOT(ISNUMBER(N200)),N200&lt;=0),"Falta fecha","Homologado"))),IF(I200="Sin equivalente en SAP",IF(OR(J200&lt;&gt;"",K200&lt;&gt;""),"Quitar código y nombre",IF(OR(L200="",M200=""),"Falta validación",IF(OR(NOT(ISNUMBER(N200)),N200&lt;=0),"Falta fecha","Sin equivalente confirmado"))),"Revisar decisión")))</f>
        <v>Pendiente</v>
      </c>
    </row>
    <row r="201" spans="1:15" ht="78" customHeight="1">
      <c r="A201" s="17" t="s">
        <v>393</v>
      </c>
      <c r="B201" s="9" t="s">
        <v>357</v>
      </c>
      <c r="C201" s="9" t="s">
        <v>394</v>
      </c>
      <c r="D201" s="17" t="s">
        <v>2908</v>
      </c>
      <c r="E201" s="9" t="s">
        <v>2909</v>
      </c>
      <c r="F201" s="9" t="s">
        <v>16</v>
      </c>
      <c r="G201" s="9" t="s">
        <v>40</v>
      </c>
      <c r="H201" s="9" t="s">
        <v>2910</v>
      </c>
      <c r="I201" s="13" t="s">
        <v>692</v>
      </c>
      <c r="J201" s="19"/>
      <c r="K201" s="14"/>
      <c r="L201" s="14"/>
      <c r="M201" s="14"/>
      <c r="N201" s="22"/>
      <c r="O201" s="12" t="str">
        <f t="shared" si="3"/>
        <v>Pendiente</v>
      </c>
    </row>
    <row r="202" spans="1:15" ht="61.95" customHeight="1">
      <c r="A202" s="17" t="s">
        <v>395</v>
      </c>
      <c r="B202" s="9" t="s">
        <v>357</v>
      </c>
      <c r="C202" s="9" t="s">
        <v>396</v>
      </c>
      <c r="D202" s="17" t="s">
        <v>2911</v>
      </c>
      <c r="E202" s="9" t="s">
        <v>2912</v>
      </c>
      <c r="F202" s="9" t="s">
        <v>16</v>
      </c>
      <c r="G202" s="9" t="s">
        <v>40</v>
      </c>
      <c r="H202" s="9" t="s">
        <v>2913</v>
      </c>
      <c r="I202" s="13" t="s">
        <v>692</v>
      </c>
      <c r="J202" s="19"/>
      <c r="K202" s="14"/>
      <c r="L202" s="14"/>
      <c r="M202" s="14"/>
      <c r="N202" s="22"/>
      <c r="O202" s="12" t="str">
        <f t="shared" si="3"/>
        <v>Pendiente</v>
      </c>
    </row>
    <row r="203" spans="1:15" ht="94.05" customHeight="1">
      <c r="A203" s="17" t="s">
        <v>397</v>
      </c>
      <c r="B203" s="9" t="s">
        <v>357</v>
      </c>
      <c r="C203" s="9" t="s">
        <v>398</v>
      </c>
      <c r="D203" s="17" t="s">
        <v>2914</v>
      </c>
      <c r="E203" s="9" t="s">
        <v>2915</v>
      </c>
      <c r="F203" s="9" t="s">
        <v>16</v>
      </c>
      <c r="G203" s="9" t="s">
        <v>40</v>
      </c>
      <c r="H203" s="9" t="s">
        <v>2916</v>
      </c>
      <c r="I203" s="13" t="s">
        <v>692</v>
      </c>
      <c r="J203" s="19"/>
      <c r="K203" s="14"/>
      <c r="L203" s="14"/>
      <c r="M203" s="14"/>
      <c r="N203" s="22"/>
      <c r="O203" s="12" t="str">
        <f t="shared" si="3"/>
        <v>Pendiente</v>
      </c>
    </row>
    <row r="204" spans="1:15" ht="61.95" customHeight="1">
      <c r="A204" s="17" t="s">
        <v>399</v>
      </c>
      <c r="B204" s="9" t="s">
        <v>357</v>
      </c>
      <c r="C204" s="9" t="s">
        <v>400</v>
      </c>
      <c r="D204" s="17" t="s">
        <v>2917</v>
      </c>
      <c r="E204" s="9" t="s">
        <v>2918</v>
      </c>
      <c r="F204" s="9" t="s">
        <v>16</v>
      </c>
      <c r="G204" s="9" t="s">
        <v>40</v>
      </c>
      <c r="H204" s="9" t="s">
        <v>2919</v>
      </c>
      <c r="I204" s="13" t="s">
        <v>692</v>
      </c>
      <c r="J204" s="19"/>
      <c r="K204" s="14"/>
      <c r="L204" s="14"/>
      <c r="M204" s="14"/>
      <c r="N204" s="22"/>
      <c r="O204" s="12" t="str">
        <f t="shared" si="3"/>
        <v>Pendiente</v>
      </c>
    </row>
    <row r="205" spans="1:15" ht="94.05" customHeight="1">
      <c r="A205" s="17" t="s">
        <v>401</v>
      </c>
      <c r="B205" s="9" t="s">
        <v>357</v>
      </c>
      <c r="C205" s="9" t="s">
        <v>402</v>
      </c>
      <c r="D205" s="17" t="s">
        <v>2920</v>
      </c>
      <c r="E205" s="9" t="s">
        <v>2921</v>
      </c>
      <c r="F205" s="9" t="s">
        <v>16</v>
      </c>
      <c r="G205" s="9" t="s">
        <v>40</v>
      </c>
      <c r="H205" s="9" t="s">
        <v>2922</v>
      </c>
      <c r="I205" s="13" t="s">
        <v>692</v>
      </c>
      <c r="J205" s="19"/>
      <c r="K205" s="14"/>
      <c r="L205" s="14"/>
      <c r="M205" s="14"/>
      <c r="N205" s="22"/>
      <c r="O205" s="12" t="str">
        <f t="shared" si="3"/>
        <v>Pendiente</v>
      </c>
    </row>
    <row r="206" spans="1:15" ht="61.95" customHeight="1">
      <c r="A206" s="17" t="s">
        <v>413</v>
      </c>
      <c r="B206" s="9" t="s">
        <v>357</v>
      </c>
      <c r="C206" s="9" t="s">
        <v>414</v>
      </c>
      <c r="D206" s="17" t="s">
        <v>2923</v>
      </c>
      <c r="E206" s="9" t="s">
        <v>2924</v>
      </c>
      <c r="F206" s="9" t="s">
        <v>16</v>
      </c>
      <c r="G206" s="9" t="s">
        <v>40</v>
      </c>
      <c r="H206" s="9" t="s">
        <v>2925</v>
      </c>
      <c r="I206" s="13" t="s">
        <v>692</v>
      </c>
      <c r="J206" s="19"/>
      <c r="K206" s="14"/>
      <c r="L206" s="14"/>
      <c r="M206" s="14"/>
      <c r="N206" s="22"/>
      <c r="O206" s="12" t="str">
        <f t="shared" si="3"/>
        <v>Pendiente</v>
      </c>
    </row>
    <row r="207" spans="1:15" ht="61.95" customHeight="1">
      <c r="A207" s="17" t="s">
        <v>415</v>
      </c>
      <c r="B207" s="9" t="s">
        <v>357</v>
      </c>
      <c r="C207" s="9" t="s">
        <v>416</v>
      </c>
      <c r="D207" s="17" t="s">
        <v>2926</v>
      </c>
      <c r="E207" s="9" t="s">
        <v>2927</v>
      </c>
      <c r="F207" s="9" t="s">
        <v>16</v>
      </c>
      <c r="G207" s="9" t="s">
        <v>40</v>
      </c>
      <c r="H207" s="9" t="s">
        <v>2928</v>
      </c>
      <c r="I207" s="13" t="s">
        <v>692</v>
      </c>
      <c r="J207" s="19"/>
      <c r="K207" s="14"/>
      <c r="L207" s="14"/>
      <c r="M207" s="14"/>
      <c r="N207" s="22"/>
      <c r="O207" s="12" t="str">
        <f t="shared" si="3"/>
        <v>Pendiente</v>
      </c>
    </row>
    <row r="208" spans="1:15" ht="61.95" customHeight="1">
      <c r="A208" s="17" t="s">
        <v>417</v>
      </c>
      <c r="B208" s="9" t="s">
        <v>357</v>
      </c>
      <c r="C208" s="9" t="s">
        <v>418</v>
      </c>
      <c r="D208" s="17" t="s">
        <v>2929</v>
      </c>
      <c r="E208" s="9" t="s">
        <v>2930</v>
      </c>
      <c r="F208" s="9" t="s">
        <v>16</v>
      </c>
      <c r="G208" s="9" t="s">
        <v>40</v>
      </c>
      <c r="H208" s="9" t="s">
        <v>2931</v>
      </c>
      <c r="I208" s="13" t="s">
        <v>692</v>
      </c>
      <c r="J208" s="19"/>
      <c r="K208" s="14"/>
      <c r="L208" s="14"/>
      <c r="M208" s="14"/>
      <c r="N208" s="22"/>
      <c r="O208" s="12" t="str">
        <f t="shared" si="3"/>
        <v>Pendiente</v>
      </c>
    </row>
    <row r="209" spans="1:15" ht="61.95" customHeight="1">
      <c r="A209" s="17" t="s">
        <v>419</v>
      </c>
      <c r="B209" s="9" t="s">
        <v>357</v>
      </c>
      <c r="C209" s="9" t="s">
        <v>420</v>
      </c>
      <c r="D209" s="17" t="s">
        <v>2932</v>
      </c>
      <c r="E209" s="9" t="s">
        <v>2933</v>
      </c>
      <c r="F209" s="9" t="s">
        <v>16</v>
      </c>
      <c r="G209" s="9" t="s">
        <v>40</v>
      </c>
      <c r="H209" s="9" t="s">
        <v>2934</v>
      </c>
      <c r="I209" s="13" t="s">
        <v>692</v>
      </c>
      <c r="J209" s="19"/>
      <c r="K209" s="14"/>
      <c r="L209" s="14"/>
      <c r="M209" s="14"/>
      <c r="N209" s="22"/>
      <c r="O209" s="12" t="str">
        <f t="shared" si="3"/>
        <v>Pendiente</v>
      </c>
    </row>
    <row r="210" spans="1:15" ht="78" customHeight="1">
      <c r="A210" s="17" t="s">
        <v>429</v>
      </c>
      <c r="B210" s="9" t="s">
        <v>357</v>
      </c>
      <c r="C210" s="9" t="s">
        <v>430</v>
      </c>
      <c r="D210" s="17" t="s">
        <v>2935</v>
      </c>
      <c r="E210" s="9" t="s">
        <v>2936</v>
      </c>
      <c r="F210" s="9" t="s">
        <v>16</v>
      </c>
      <c r="G210" s="9" t="s">
        <v>40</v>
      </c>
      <c r="H210" s="9" t="s">
        <v>2937</v>
      </c>
      <c r="I210" s="13" t="s">
        <v>692</v>
      </c>
      <c r="J210" s="19"/>
      <c r="K210" s="14"/>
      <c r="L210" s="14"/>
      <c r="M210" s="14"/>
      <c r="N210" s="22"/>
      <c r="O210" s="12" t="str">
        <f t="shared" si="3"/>
        <v>Pendiente</v>
      </c>
    </row>
    <row r="211" spans="1:15" ht="61.95" customHeight="1">
      <c r="A211" s="17" t="s">
        <v>433</v>
      </c>
      <c r="B211" s="9" t="s">
        <v>357</v>
      </c>
      <c r="C211" s="9" t="s">
        <v>434</v>
      </c>
      <c r="D211" s="17" t="s">
        <v>2938</v>
      </c>
      <c r="E211" s="9" t="s">
        <v>2939</v>
      </c>
      <c r="F211" s="9" t="s">
        <v>16</v>
      </c>
      <c r="G211" s="9" t="s">
        <v>40</v>
      </c>
      <c r="H211" s="9" t="s">
        <v>2940</v>
      </c>
      <c r="I211" s="13" t="s">
        <v>692</v>
      </c>
      <c r="J211" s="19"/>
      <c r="K211" s="14"/>
      <c r="L211" s="14"/>
      <c r="M211" s="14"/>
      <c r="N211" s="22"/>
      <c r="O211" s="12" t="str">
        <f t="shared" si="3"/>
        <v>Pendiente</v>
      </c>
    </row>
    <row r="212" spans="1:15" ht="61.95" customHeight="1">
      <c r="A212" s="17" t="s">
        <v>437</v>
      </c>
      <c r="B212" s="9" t="s">
        <v>357</v>
      </c>
      <c r="C212" s="9" t="s">
        <v>438</v>
      </c>
      <c r="D212" s="17" t="s">
        <v>2941</v>
      </c>
      <c r="E212" s="9" t="s">
        <v>2942</v>
      </c>
      <c r="F212" s="9" t="s">
        <v>16</v>
      </c>
      <c r="G212" s="9" t="s">
        <v>40</v>
      </c>
      <c r="H212" s="9" t="s">
        <v>2943</v>
      </c>
      <c r="I212" s="13" t="s">
        <v>692</v>
      </c>
      <c r="J212" s="19"/>
      <c r="K212" s="14"/>
      <c r="L212" s="14"/>
      <c r="M212" s="14"/>
      <c r="N212" s="22"/>
      <c r="O212" s="12" t="str">
        <f t="shared" si="3"/>
        <v>Pendiente</v>
      </c>
    </row>
    <row r="213" spans="1:15" ht="61.95" customHeight="1">
      <c r="A213" s="17" t="s">
        <v>445</v>
      </c>
      <c r="B213" s="9" t="s">
        <v>357</v>
      </c>
      <c r="C213" s="9" t="s">
        <v>446</v>
      </c>
      <c r="D213" s="17" t="s">
        <v>2944</v>
      </c>
      <c r="E213" s="9" t="s">
        <v>2945</v>
      </c>
      <c r="F213" s="9" t="s">
        <v>16</v>
      </c>
      <c r="G213" s="9" t="s">
        <v>40</v>
      </c>
      <c r="H213" s="9" t="s">
        <v>2946</v>
      </c>
      <c r="I213" s="13" t="s">
        <v>692</v>
      </c>
      <c r="J213" s="19"/>
      <c r="K213" s="14"/>
      <c r="L213" s="14"/>
      <c r="M213" s="14"/>
      <c r="N213" s="22"/>
      <c r="O213" s="12" t="str">
        <f t="shared" si="3"/>
        <v>Pendiente</v>
      </c>
    </row>
    <row r="214" spans="1:15" ht="61.95" customHeight="1">
      <c r="A214" s="17" t="s">
        <v>449</v>
      </c>
      <c r="B214" s="9" t="s">
        <v>357</v>
      </c>
      <c r="C214" s="9" t="s">
        <v>450</v>
      </c>
      <c r="D214" s="17" t="s">
        <v>2947</v>
      </c>
      <c r="E214" s="9" t="s">
        <v>2948</v>
      </c>
      <c r="F214" s="9" t="s">
        <v>16</v>
      </c>
      <c r="G214" s="9" t="s">
        <v>40</v>
      </c>
      <c r="H214" s="9" t="s">
        <v>2949</v>
      </c>
      <c r="I214" s="13" t="s">
        <v>692</v>
      </c>
      <c r="J214" s="19"/>
      <c r="K214" s="14"/>
      <c r="L214" s="14"/>
      <c r="M214" s="14"/>
      <c r="N214" s="22"/>
      <c r="O214" s="12" t="str">
        <f t="shared" si="3"/>
        <v>Pendiente</v>
      </c>
    </row>
    <row r="215" spans="1:15" ht="61.95" customHeight="1">
      <c r="A215" s="17" t="s">
        <v>451</v>
      </c>
      <c r="B215" s="9" t="s">
        <v>357</v>
      </c>
      <c r="C215" s="9" t="s">
        <v>452</v>
      </c>
      <c r="D215" s="17" t="s">
        <v>2950</v>
      </c>
      <c r="E215" s="9" t="s">
        <v>2951</v>
      </c>
      <c r="F215" s="9" t="s">
        <v>16</v>
      </c>
      <c r="G215" s="9" t="s">
        <v>40</v>
      </c>
      <c r="H215" s="9" t="s">
        <v>2952</v>
      </c>
      <c r="I215" s="13" t="s">
        <v>692</v>
      </c>
      <c r="J215" s="19"/>
      <c r="K215" s="14"/>
      <c r="L215" s="14"/>
      <c r="M215" s="14"/>
      <c r="N215" s="22"/>
      <c r="O215" s="12" t="str">
        <f t="shared" si="3"/>
        <v>Pendiente</v>
      </c>
    </row>
    <row r="216" spans="1:15" ht="61.95" customHeight="1">
      <c r="A216" s="17" t="s">
        <v>455</v>
      </c>
      <c r="B216" s="9" t="s">
        <v>357</v>
      </c>
      <c r="C216" s="9" t="s">
        <v>456</v>
      </c>
      <c r="D216" s="17" t="s">
        <v>2953</v>
      </c>
      <c r="E216" s="9" t="s">
        <v>2954</v>
      </c>
      <c r="F216" s="9" t="s">
        <v>16</v>
      </c>
      <c r="G216" s="9" t="s">
        <v>40</v>
      </c>
      <c r="H216" s="9" t="s">
        <v>2955</v>
      </c>
      <c r="I216" s="13" t="s">
        <v>692</v>
      </c>
      <c r="J216" s="19"/>
      <c r="K216" s="14"/>
      <c r="L216" s="14"/>
      <c r="M216" s="14"/>
      <c r="N216" s="22"/>
      <c r="O216" s="12" t="str">
        <f t="shared" si="3"/>
        <v>Pendiente</v>
      </c>
    </row>
    <row r="217" spans="1:15" ht="61.95" customHeight="1">
      <c r="A217" s="17" t="s">
        <v>459</v>
      </c>
      <c r="B217" s="9" t="s">
        <v>357</v>
      </c>
      <c r="C217" s="9" t="s">
        <v>460</v>
      </c>
      <c r="D217" s="17" t="s">
        <v>2956</v>
      </c>
      <c r="E217" s="9" t="s">
        <v>2957</v>
      </c>
      <c r="F217" s="9" t="s">
        <v>16</v>
      </c>
      <c r="G217" s="9" t="s">
        <v>40</v>
      </c>
      <c r="H217" s="9" t="s">
        <v>2958</v>
      </c>
      <c r="I217" s="13" t="s">
        <v>692</v>
      </c>
      <c r="J217" s="19"/>
      <c r="K217" s="14"/>
      <c r="L217" s="14"/>
      <c r="M217" s="14"/>
      <c r="N217" s="22"/>
      <c r="O217" s="12" t="str">
        <f t="shared" si="3"/>
        <v>Pendiente</v>
      </c>
    </row>
    <row r="218" spans="1:15" ht="94.05" customHeight="1">
      <c r="A218" s="17" t="s">
        <v>463</v>
      </c>
      <c r="B218" s="9" t="s">
        <v>464</v>
      </c>
      <c r="C218" s="9" t="s">
        <v>465</v>
      </c>
      <c r="D218" s="17" t="s">
        <v>2959</v>
      </c>
      <c r="E218" s="9" t="s">
        <v>2960</v>
      </c>
      <c r="F218" s="9" t="s">
        <v>16</v>
      </c>
      <c r="G218" s="9" t="s">
        <v>40</v>
      </c>
      <c r="H218" s="9" t="s">
        <v>2961</v>
      </c>
      <c r="I218" s="13" t="s">
        <v>692</v>
      </c>
      <c r="J218" s="19"/>
      <c r="K218" s="14"/>
      <c r="L218" s="14"/>
      <c r="M218" s="14"/>
      <c r="N218" s="22"/>
      <c r="O218" s="12" t="str">
        <f t="shared" si="3"/>
        <v>Pendiente</v>
      </c>
    </row>
    <row r="219" spans="1:15" ht="78" customHeight="1">
      <c r="A219" s="17" t="s">
        <v>466</v>
      </c>
      <c r="B219" s="9" t="s">
        <v>464</v>
      </c>
      <c r="C219" s="9" t="s">
        <v>467</v>
      </c>
      <c r="D219" s="17" t="s">
        <v>2962</v>
      </c>
      <c r="E219" s="9" t="s">
        <v>2963</v>
      </c>
      <c r="F219" s="9" t="s">
        <v>16</v>
      </c>
      <c r="G219" s="9" t="s">
        <v>40</v>
      </c>
      <c r="H219" s="9" t="s">
        <v>2964</v>
      </c>
      <c r="I219" s="13" t="s">
        <v>692</v>
      </c>
      <c r="J219" s="19"/>
      <c r="K219" s="14"/>
      <c r="L219" s="14"/>
      <c r="M219" s="14"/>
      <c r="N219" s="22"/>
      <c r="O219" s="12" t="str">
        <f t="shared" si="3"/>
        <v>Pendiente</v>
      </c>
    </row>
    <row r="220" spans="1:15" ht="61.95" customHeight="1">
      <c r="A220" s="17" t="s">
        <v>470</v>
      </c>
      <c r="B220" s="9" t="s">
        <v>464</v>
      </c>
      <c r="C220" s="9" t="s">
        <v>471</v>
      </c>
      <c r="D220" s="17" t="s">
        <v>2965</v>
      </c>
      <c r="E220" s="9" t="s">
        <v>2966</v>
      </c>
      <c r="F220" s="9" t="s">
        <v>16</v>
      </c>
      <c r="G220" s="9" t="s">
        <v>40</v>
      </c>
      <c r="H220" s="9" t="s">
        <v>2967</v>
      </c>
      <c r="I220" s="13" t="s">
        <v>692</v>
      </c>
      <c r="J220" s="19"/>
      <c r="K220" s="14"/>
      <c r="L220" s="14"/>
      <c r="M220" s="14"/>
      <c r="N220" s="22"/>
      <c r="O220" s="12" t="str">
        <f t="shared" si="3"/>
        <v>Pendiente</v>
      </c>
    </row>
    <row r="221" spans="1:15" ht="78" customHeight="1">
      <c r="A221" s="17" t="s">
        <v>472</v>
      </c>
      <c r="B221" s="9" t="s">
        <v>464</v>
      </c>
      <c r="C221" s="9" t="s">
        <v>473</v>
      </c>
      <c r="D221" s="17" t="s">
        <v>2968</v>
      </c>
      <c r="E221" s="9" t="s">
        <v>2969</v>
      </c>
      <c r="F221" s="9" t="s">
        <v>16</v>
      </c>
      <c r="G221" s="9" t="s">
        <v>40</v>
      </c>
      <c r="H221" s="9" t="s">
        <v>2970</v>
      </c>
      <c r="I221" s="13" t="s">
        <v>692</v>
      </c>
      <c r="J221" s="19"/>
      <c r="K221" s="14"/>
      <c r="L221" s="14"/>
      <c r="M221" s="14"/>
      <c r="N221" s="22"/>
      <c r="O221" s="12" t="str">
        <f t="shared" si="3"/>
        <v>Pendiente</v>
      </c>
    </row>
    <row r="222" spans="1:15" ht="109.95" customHeight="1">
      <c r="A222" s="17" t="s">
        <v>474</v>
      </c>
      <c r="B222" s="9" t="s">
        <v>464</v>
      </c>
      <c r="C222" s="9" t="s">
        <v>475</v>
      </c>
      <c r="D222" s="17" t="s">
        <v>2971</v>
      </c>
      <c r="E222" s="9" t="s">
        <v>2972</v>
      </c>
      <c r="F222" s="9" t="s">
        <v>16</v>
      </c>
      <c r="G222" s="9" t="s">
        <v>40</v>
      </c>
      <c r="H222" s="9" t="s">
        <v>2973</v>
      </c>
      <c r="I222" s="13" t="s">
        <v>692</v>
      </c>
      <c r="J222" s="19"/>
      <c r="K222" s="14"/>
      <c r="L222" s="14"/>
      <c r="M222" s="14"/>
      <c r="N222" s="22"/>
      <c r="O222" s="12" t="str">
        <f t="shared" si="3"/>
        <v>Pendiente</v>
      </c>
    </row>
    <row r="223" spans="1:15" ht="94.05" customHeight="1">
      <c r="A223" s="17" t="s">
        <v>476</v>
      </c>
      <c r="B223" s="9" t="s">
        <v>464</v>
      </c>
      <c r="C223" s="9" t="s">
        <v>477</v>
      </c>
      <c r="D223" s="17" t="s">
        <v>2974</v>
      </c>
      <c r="E223" s="9" t="s">
        <v>2975</v>
      </c>
      <c r="F223" s="9" t="s">
        <v>16</v>
      </c>
      <c r="G223" s="9" t="s">
        <v>40</v>
      </c>
      <c r="H223" s="9" t="s">
        <v>2976</v>
      </c>
      <c r="I223" s="13" t="s">
        <v>692</v>
      </c>
      <c r="J223" s="19"/>
      <c r="K223" s="14"/>
      <c r="L223" s="14"/>
      <c r="M223" s="14"/>
      <c r="N223" s="22"/>
      <c r="O223" s="12" t="str">
        <f t="shared" si="3"/>
        <v>Pendiente</v>
      </c>
    </row>
    <row r="224" spans="1:15" ht="78" customHeight="1">
      <c r="A224" s="17" t="s">
        <v>478</v>
      </c>
      <c r="B224" s="9" t="s">
        <v>464</v>
      </c>
      <c r="C224" s="9" t="s">
        <v>479</v>
      </c>
      <c r="D224" s="17" t="s">
        <v>2484</v>
      </c>
      <c r="E224" s="9" t="s">
        <v>2485</v>
      </c>
      <c r="F224" s="9" t="s">
        <v>16</v>
      </c>
      <c r="G224" s="9" t="s">
        <v>40</v>
      </c>
      <c r="H224" s="9" t="s">
        <v>2977</v>
      </c>
      <c r="I224" s="13" t="s">
        <v>692</v>
      </c>
      <c r="J224" s="19"/>
      <c r="K224" s="14"/>
      <c r="L224" s="14"/>
      <c r="M224" s="14"/>
      <c r="N224" s="22"/>
      <c r="O224" s="12" t="str">
        <f t="shared" si="3"/>
        <v>Pendiente</v>
      </c>
    </row>
    <row r="225" spans="1:15" ht="94.05" customHeight="1">
      <c r="A225" s="17" t="s">
        <v>480</v>
      </c>
      <c r="B225" s="9" t="s">
        <v>464</v>
      </c>
      <c r="C225" s="9" t="s">
        <v>481</v>
      </c>
      <c r="D225" s="17" t="s">
        <v>2978</v>
      </c>
      <c r="E225" s="9" t="s">
        <v>2979</v>
      </c>
      <c r="F225" s="9" t="s">
        <v>16</v>
      </c>
      <c r="G225" s="9" t="s">
        <v>40</v>
      </c>
      <c r="H225" s="9" t="s">
        <v>2980</v>
      </c>
      <c r="I225" s="13" t="s">
        <v>692</v>
      </c>
      <c r="J225" s="19"/>
      <c r="K225" s="14"/>
      <c r="L225" s="14"/>
      <c r="M225" s="14"/>
      <c r="N225" s="22"/>
      <c r="O225" s="12" t="str">
        <f t="shared" si="3"/>
        <v>Pendiente</v>
      </c>
    </row>
    <row r="226" spans="1:15" ht="61.95" customHeight="1">
      <c r="A226" s="17" t="s">
        <v>490</v>
      </c>
      <c r="B226" s="9" t="s">
        <v>464</v>
      </c>
      <c r="C226" s="9" t="s">
        <v>491</v>
      </c>
      <c r="D226" s="17" t="s">
        <v>2981</v>
      </c>
      <c r="E226" s="9" t="s">
        <v>2982</v>
      </c>
      <c r="F226" s="9" t="s">
        <v>16</v>
      </c>
      <c r="G226" s="9" t="s">
        <v>40</v>
      </c>
      <c r="H226" s="9" t="s">
        <v>2983</v>
      </c>
      <c r="I226" s="13" t="s">
        <v>692</v>
      </c>
      <c r="J226" s="19"/>
      <c r="K226" s="14"/>
      <c r="L226" s="14"/>
      <c r="M226" s="14"/>
      <c r="N226" s="22"/>
      <c r="O226" s="12" t="str">
        <f t="shared" si="3"/>
        <v>Pendiente</v>
      </c>
    </row>
    <row r="227" spans="1:15" ht="78" customHeight="1">
      <c r="A227" s="17" t="s">
        <v>492</v>
      </c>
      <c r="B227" s="9" t="s">
        <v>464</v>
      </c>
      <c r="C227" s="9" t="s">
        <v>493</v>
      </c>
      <c r="D227" s="17" t="s">
        <v>2984</v>
      </c>
      <c r="E227" s="9" t="s">
        <v>2985</v>
      </c>
      <c r="F227" s="9" t="s">
        <v>16</v>
      </c>
      <c r="G227" s="9" t="s">
        <v>40</v>
      </c>
      <c r="H227" s="9" t="s">
        <v>2986</v>
      </c>
      <c r="I227" s="13" t="s">
        <v>692</v>
      </c>
      <c r="J227" s="19"/>
      <c r="K227" s="14"/>
      <c r="L227" s="14"/>
      <c r="M227" s="14"/>
      <c r="N227" s="22"/>
      <c r="O227" s="12" t="str">
        <f t="shared" si="3"/>
        <v>Pendiente</v>
      </c>
    </row>
    <row r="228" spans="1:15" ht="61.95" customHeight="1">
      <c r="A228" s="17" t="s">
        <v>494</v>
      </c>
      <c r="B228" s="9" t="s">
        <v>464</v>
      </c>
      <c r="C228" s="9" t="s">
        <v>495</v>
      </c>
      <c r="D228" s="17" t="s">
        <v>2987</v>
      </c>
      <c r="E228" s="9" t="s">
        <v>2988</v>
      </c>
      <c r="F228" s="9" t="s">
        <v>16</v>
      </c>
      <c r="G228" s="9" t="s">
        <v>40</v>
      </c>
      <c r="H228" s="9" t="s">
        <v>2989</v>
      </c>
      <c r="I228" s="13" t="s">
        <v>692</v>
      </c>
      <c r="J228" s="19"/>
      <c r="K228" s="14"/>
      <c r="L228" s="14"/>
      <c r="M228" s="14"/>
      <c r="N228" s="22"/>
      <c r="O228" s="12" t="str">
        <f t="shared" si="3"/>
        <v>Pendiente</v>
      </c>
    </row>
    <row r="229" spans="1:15" ht="109.95" customHeight="1">
      <c r="A229" s="17" t="s">
        <v>498</v>
      </c>
      <c r="B229" s="9" t="s">
        <v>464</v>
      </c>
      <c r="C229" s="9" t="s">
        <v>499</v>
      </c>
      <c r="D229" s="17" t="s">
        <v>2990</v>
      </c>
      <c r="E229" s="9" t="s">
        <v>2991</v>
      </c>
      <c r="F229" s="9" t="s">
        <v>16</v>
      </c>
      <c r="G229" s="9" t="s">
        <v>40</v>
      </c>
      <c r="H229" s="9" t="s">
        <v>2992</v>
      </c>
      <c r="I229" s="13" t="s">
        <v>692</v>
      </c>
      <c r="J229" s="19"/>
      <c r="K229" s="14"/>
      <c r="L229" s="14"/>
      <c r="M229" s="14"/>
      <c r="N229" s="22"/>
      <c r="O229" s="12" t="str">
        <f t="shared" si="3"/>
        <v>Pendiente</v>
      </c>
    </row>
    <row r="230" spans="1:15" ht="61.95" customHeight="1">
      <c r="A230" s="17" t="s">
        <v>500</v>
      </c>
      <c r="B230" s="9" t="s">
        <v>464</v>
      </c>
      <c r="C230" s="9" t="s">
        <v>501</v>
      </c>
      <c r="D230" s="17" t="s">
        <v>2993</v>
      </c>
      <c r="E230" s="9" t="s">
        <v>2994</v>
      </c>
      <c r="F230" s="9" t="s">
        <v>16</v>
      </c>
      <c r="G230" s="9" t="s">
        <v>40</v>
      </c>
      <c r="H230" s="9" t="s">
        <v>2995</v>
      </c>
      <c r="I230" s="13" t="s">
        <v>692</v>
      </c>
      <c r="J230" s="19"/>
      <c r="K230" s="14"/>
      <c r="L230" s="14"/>
      <c r="M230" s="14"/>
      <c r="N230" s="22"/>
      <c r="O230" s="12" t="str">
        <f t="shared" si="3"/>
        <v>Pendiente</v>
      </c>
    </row>
    <row r="231" spans="1:15" ht="78" customHeight="1">
      <c r="A231" s="17" t="s">
        <v>504</v>
      </c>
      <c r="B231" s="9" t="s">
        <v>464</v>
      </c>
      <c r="C231" s="9" t="s">
        <v>505</v>
      </c>
      <c r="D231" s="17" t="s">
        <v>2996</v>
      </c>
      <c r="E231" s="9" t="s">
        <v>2997</v>
      </c>
      <c r="F231" s="9" t="s">
        <v>16</v>
      </c>
      <c r="G231" s="9" t="s">
        <v>40</v>
      </c>
      <c r="H231" s="9" t="s">
        <v>2998</v>
      </c>
      <c r="I231" s="13" t="s">
        <v>692</v>
      </c>
      <c r="J231" s="19"/>
      <c r="K231" s="14"/>
      <c r="L231" s="14"/>
      <c r="M231" s="14"/>
      <c r="N231" s="22"/>
      <c r="O231" s="12" t="str">
        <f t="shared" si="3"/>
        <v>Pendiente</v>
      </c>
    </row>
    <row r="232" spans="1:15" ht="61.95" customHeight="1">
      <c r="A232" s="17" t="s">
        <v>506</v>
      </c>
      <c r="B232" s="9" t="s">
        <v>464</v>
      </c>
      <c r="C232" s="9" t="s">
        <v>507</v>
      </c>
      <c r="D232" s="17" t="s">
        <v>2999</v>
      </c>
      <c r="E232" s="9" t="s">
        <v>3000</v>
      </c>
      <c r="F232" s="9" t="s">
        <v>16</v>
      </c>
      <c r="G232" s="9" t="s">
        <v>40</v>
      </c>
      <c r="H232" s="9" t="s">
        <v>3001</v>
      </c>
      <c r="I232" s="13" t="s">
        <v>692</v>
      </c>
      <c r="J232" s="19"/>
      <c r="K232" s="14"/>
      <c r="L232" s="14"/>
      <c r="M232" s="14"/>
      <c r="N232" s="22"/>
      <c r="O232" s="12" t="str">
        <f t="shared" si="3"/>
        <v>Pendiente</v>
      </c>
    </row>
    <row r="233" spans="1:15" ht="61.95" customHeight="1">
      <c r="A233" s="17" t="s">
        <v>508</v>
      </c>
      <c r="B233" s="9" t="s">
        <v>464</v>
      </c>
      <c r="C233" s="9" t="s">
        <v>509</v>
      </c>
      <c r="D233" s="17" t="s">
        <v>3002</v>
      </c>
      <c r="E233" s="9" t="s">
        <v>3003</v>
      </c>
      <c r="F233" s="9" t="s">
        <v>16</v>
      </c>
      <c r="G233" s="9" t="s">
        <v>40</v>
      </c>
      <c r="H233" s="9" t="s">
        <v>3004</v>
      </c>
      <c r="I233" s="13" t="s">
        <v>692</v>
      </c>
      <c r="J233" s="19"/>
      <c r="K233" s="14"/>
      <c r="L233" s="14"/>
      <c r="M233" s="14"/>
      <c r="N233" s="22"/>
      <c r="O233" s="12" t="str">
        <f t="shared" si="3"/>
        <v>Pendiente</v>
      </c>
    </row>
    <row r="234" spans="1:15" ht="78" customHeight="1">
      <c r="A234" s="17" t="s">
        <v>510</v>
      </c>
      <c r="B234" s="9" t="s">
        <v>464</v>
      </c>
      <c r="C234" s="9" t="s">
        <v>511</v>
      </c>
      <c r="D234" s="17" t="s">
        <v>3005</v>
      </c>
      <c r="E234" s="9" t="s">
        <v>3006</v>
      </c>
      <c r="F234" s="9" t="s">
        <v>16</v>
      </c>
      <c r="G234" s="9" t="s">
        <v>40</v>
      </c>
      <c r="H234" s="9" t="s">
        <v>3007</v>
      </c>
      <c r="I234" s="13" t="s">
        <v>692</v>
      </c>
      <c r="J234" s="19"/>
      <c r="K234" s="14"/>
      <c r="L234" s="14"/>
      <c r="M234" s="14"/>
      <c r="N234" s="22"/>
      <c r="O234" s="12" t="str">
        <f t="shared" si="3"/>
        <v>Pendiente</v>
      </c>
    </row>
    <row r="235" spans="1:15" ht="78" customHeight="1">
      <c r="A235" s="17" t="s">
        <v>512</v>
      </c>
      <c r="B235" s="9" t="s">
        <v>464</v>
      </c>
      <c r="C235" s="9" t="s">
        <v>513</v>
      </c>
      <c r="D235" s="17" t="s">
        <v>3008</v>
      </c>
      <c r="E235" s="9" t="s">
        <v>3009</v>
      </c>
      <c r="F235" s="9" t="s">
        <v>16</v>
      </c>
      <c r="G235" s="9" t="s">
        <v>40</v>
      </c>
      <c r="H235" s="9" t="s">
        <v>3010</v>
      </c>
      <c r="I235" s="13" t="s">
        <v>692</v>
      </c>
      <c r="J235" s="19"/>
      <c r="K235" s="14"/>
      <c r="L235" s="14"/>
      <c r="M235" s="14"/>
      <c r="N235" s="22"/>
      <c r="O235" s="12" t="str">
        <f t="shared" si="3"/>
        <v>Pendiente</v>
      </c>
    </row>
    <row r="236" spans="1:15" ht="61.95" customHeight="1">
      <c r="A236" s="17" t="s">
        <v>514</v>
      </c>
      <c r="B236" s="9" t="s">
        <v>464</v>
      </c>
      <c r="C236" s="9" t="s">
        <v>515</v>
      </c>
      <c r="D236" s="17" t="s">
        <v>3011</v>
      </c>
      <c r="E236" s="9" t="s">
        <v>882</v>
      </c>
      <c r="F236" s="9" t="s">
        <v>16</v>
      </c>
      <c r="G236" s="9" t="s">
        <v>40</v>
      </c>
      <c r="H236" s="9" t="s">
        <v>3012</v>
      </c>
      <c r="I236" s="13" t="s">
        <v>692</v>
      </c>
      <c r="J236" s="19"/>
      <c r="K236" s="14"/>
      <c r="L236" s="14"/>
      <c r="M236" s="14"/>
      <c r="N236" s="22"/>
      <c r="O236" s="12" t="str">
        <f t="shared" si="3"/>
        <v>Pendiente</v>
      </c>
    </row>
    <row r="237" spans="1:15" ht="61.95" customHeight="1">
      <c r="A237" s="17" t="s">
        <v>516</v>
      </c>
      <c r="B237" s="9" t="s">
        <v>464</v>
      </c>
      <c r="C237" s="9" t="s">
        <v>517</v>
      </c>
      <c r="D237" s="17" t="s">
        <v>3013</v>
      </c>
      <c r="E237" s="9" t="s">
        <v>3014</v>
      </c>
      <c r="F237" s="9" t="s">
        <v>16</v>
      </c>
      <c r="G237" s="9" t="s">
        <v>40</v>
      </c>
      <c r="H237" s="9" t="s">
        <v>3015</v>
      </c>
      <c r="I237" s="13" t="s">
        <v>692</v>
      </c>
      <c r="J237" s="19"/>
      <c r="K237" s="14"/>
      <c r="L237" s="14"/>
      <c r="M237" s="14"/>
      <c r="N237" s="22"/>
      <c r="O237" s="12" t="str">
        <f t="shared" si="3"/>
        <v>Pendiente</v>
      </c>
    </row>
    <row r="238" spans="1:15" ht="61.95" customHeight="1">
      <c r="A238" s="17" t="s">
        <v>520</v>
      </c>
      <c r="B238" s="9" t="s">
        <v>464</v>
      </c>
      <c r="C238" s="9" t="s">
        <v>521</v>
      </c>
      <c r="D238" s="17" t="s">
        <v>3016</v>
      </c>
      <c r="E238" s="9" t="s">
        <v>3017</v>
      </c>
      <c r="F238" s="9" t="s">
        <v>16</v>
      </c>
      <c r="G238" s="9" t="s">
        <v>40</v>
      </c>
      <c r="H238" s="9" t="s">
        <v>3018</v>
      </c>
      <c r="I238" s="13" t="s">
        <v>692</v>
      </c>
      <c r="J238" s="19"/>
      <c r="K238" s="14"/>
      <c r="L238" s="14"/>
      <c r="M238" s="14"/>
      <c r="N238" s="22"/>
      <c r="O238" s="12" t="str">
        <f t="shared" si="3"/>
        <v>Pendiente</v>
      </c>
    </row>
    <row r="239" spans="1:15" ht="61.95" customHeight="1">
      <c r="A239" s="17" t="s">
        <v>522</v>
      </c>
      <c r="B239" s="9" t="s">
        <v>464</v>
      </c>
      <c r="C239" s="9" t="s">
        <v>523</v>
      </c>
      <c r="D239" s="17" t="s">
        <v>3019</v>
      </c>
      <c r="E239" s="9" t="s">
        <v>3020</v>
      </c>
      <c r="F239" s="9" t="s">
        <v>16</v>
      </c>
      <c r="G239" s="9" t="s">
        <v>40</v>
      </c>
      <c r="H239" s="9" t="s">
        <v>3021</v>
      </c>
      <c r="I239" s="13" t="s">
        <v>692</v>
      </c>
      <c r="J239" s="19"/>
      <c r="K239" s="14"/>
      <c r="L239" s="14"/>
      <c r="M239" s="14"/>
      <c r="N239" s="22"/>
      <c r="O239" s="12" t="str">
        <f t="shared" si="3"/>
        <v>Pendiente</v>
      </c>
    </row>
    <row r="240" spans="1:15" ht="61.95" customHeight="1">
      <c r="A240" s="17" t="s">
        <v>524</v>
      </c>
      <c r="B240" s="9" t="s">
        <v>464</v>
      </c>
      <c r="C240" s="9" t="s">
        <v>525</v>
      </c>
      <c r="D240" s="17" t="s">
        <v>3022</v>
      </c>
      <c r="E240" s="9" t="s">
        <v>3023</v>
      </c>
      <c r="F240" s="9" t="s">
        <v>16</v>
      </c>
      <c r="G240" s="9" t="s">
        <v>40</v>
      </c>
      <c r="H240" s="9" t="s">
        <v>3024</v>
      </c>
      <c r="I240" s="13" t="s">
        <v>692</v>
      </c>
      <c r="J240" s="19"/>
      <c r="K240" s="14"/>
      <c r="L240" s="14"/>
      <c r="M240" s="14"/>
      <c r="N240" s="22"/>
      <c r="O240" s="12" t="str">
        <f t="shared" si="3"/>
        <v>Pendiente</v>
      </c>
    </row>
    <row r="241" spans="1:15" ht="61.95" customHeight="1">
      <c r="A241" s="17" t="s">
        <v>526</v>
      </c>
      <c r="B241" s="9" t="s">
        <v>464</v>
      </c>
      <c r="C241" s="9" t="s">
        <v>527</v>
      </c>
      <c r="D241" s="17" t="s">
        <v>3025</v>
      </c>
      <c r="E241" s="9" t="s">
        <v>1402</v>
      </c>
      <c r="F241" s="9" t="s">
        <v>16</v>
      </c>
      <c r="G241" s="9" t="s">
        <v>40</v>
      </c>
      <c r="H241" s="9" t="s">
        <v>3026</v>
      </c>
      <c r="I241" s="13" t="s">
        <v>692</v>
      </c>
      <c r="J241" s="19"/>
      <c r="K241" s="14"/>
      <c r="L241" s="14"/>
      <c r="M241" s="14"/>
      <c r="N241" s="22"/>
      <c r="O241" s="12" t="str">
        <f t="shared" si="3"/>
        <v>Pendiente</v>
      </c>
    </row>
    <row r="242" spans="1:15" ht="61.95" customHeight="1">
      <c r="A242" s="17" t="s">
        <v>530</v>
      </c>
      <c r="B242" s="9" t="s">
        <v>464</v>
      </c>
      <c r="C242" s="9" t="s">
        <v>531</v>
      </c>
      <c r="D242" s="17" t="s">
        <v>3027</v>
      </c>
      <c r="E242" s="9" t="s">
        <v>3028</v>
      </c>
      <c r="F242" s="9" t="s">
        <v>16</v>
      </c>
      <c r="G242" s="9" t="s">
        <v>40</v>
      </c>
      <c r="H242" s="9" t="s">
        <v>3029</v>
      </c>
      <c r="I242" s="13" t="s">
        <v>692</v>
      </c>
      <c r="J242" s="19"/>
      <c r="K242" s="14"/>
      <c r="L242" s="14"/>
      <c r="M242" s="14"/>
      <c r="N242" s="22"/>
      <c r="O242" s="12" t="str">
        <f t="shared" si="3"/>
        <v>Pendiente</v>
      </c>
    </row>
    <row r="243" spans="1:15" ht="61.95" customHeight="1">
      <c r="A243" s="17" t="s">
        <v>539</v>
      </c>
      <c r="B243" s="9" t="s">
        <v>537</v>
      </c>
      <c r="C243" s="9" t="s">
        <v>540</v>
      </c>
      <c r="D243" s="17" t="s">
        <v>3030</v>
      </c>
      <c r="E243" s="9" t="s">
        <v>3031</v>
      </c>
      <c r="F243" s="9" t="s">
        <v>16</v>
      </c>
      <c r="G243" s="9" t="s">
        <v>40</v>
      </c>
      <c r="H243" s="9" t="s">
        <v>3032</v>
      </c>
      <c r="I243" s="13" t="s">
        <v>692</v>
      </c>
      <c r="J243" s="19"/>
      <c r="K243" s="14"/>
      <c r="L243" s="14"/>
      <c r="M243" s="14"/>
      <c r="N243" s="22"/>
      <c r="O243" s="12" t="str">
        <f t="shared" si="3"/>
        <v>Pendiente</v>
      </c>
    </row>
    <row r="244" spans="1:15" ht="61.95" customHeight="1">
      <c r="A244" s="17" t="s">
        <v>541</v>
      </c>
      <c r="B244" s="9" t="s">
        <v>537</v>
      </c>
      <c r="C244" s="9" t="s">
        <v>542</v>
      </c>
      <c r="D244" s="17" t="s">
        <v>3033</v>
      </c>
      <c r="E244" s="9" t="s">
        <v>3034</v>
      </c>
      <c r="F244" s="9" t="s">
        <v>16</v>
      </c>
      <c r="G244" s="9" t="s">
        <v>40</v>
      </c>
      <c r="H244" s="9" t="s">
        <v>3035</v>
      </c>
      <c r="I244" s="13" t="s">
        <v>692</v>
      </c>
      <c r="J244" s="19"/>
      <c r="K244" s="14"/>
      <c r="L244" s="14"/>
      <c r="M244" s="14"/>
      <c r="N244" s="22"/>
      <c r="O244" s="12" t="str">
        <f t="shared" si="3"/>
        <v>Pendiente</v>
      </c>
    </row>
    <row r="245" spans="1:15" ht="61.95" customHeight="1">
      <c r="A245" s="17" t="s">
        <v>548</v>
      </c>
      <c r="B245" s="9" t="s">
        <v>537</v>
      </c>
      <c r="C245" s="9" t="s">
        <v>509</v>
      </c>
      <c r="D245" s="17" t="s">
        <v>3002</v>
      </c>
      <c r="E245" s="9" t="s">
        <v>3003</v>
      </c>
      <c r="F245" s="9" t="s">
        <v>16</v>
      </c>
      <c r="G245" s="9" t="s">
        <v>40</v>
      </c>
      <c r="H245" s="9" t="s">
        <v>3004</v>
      </c>
      <c r="I245" s="13" t="s">
        <v>692</v>
      </c>
      <c r="J245" s="19"/>
      <c r="K245" s="14"/>
      <c r="L245" s="14"/>
      <c r="M245" s="14"/>
      <c r="N245" s="22"/>
      <c r="O245" s="12" t="str">
        <f t="shared" si="3"/>
        <v>Pendiente</v>
      </c>
    </row>
    <row r="246" spans="1:15" ht="78" customHeight="1">
      <c r="A246" s="17" t="s">
        <v>551</v>
      </c>
      <c r="B246" s="9" t="s">
        <v>537</v>
      </c>
      <c r="C246" s="9" t="s">
        <v>552</v>
      </c>
      <c r="D246" s="17" t="s">
        <v>3008</v>
      </c>
      <c r="E246" s="9" t="s">
        <v>3009</v>
      </c>
      <c r="F246" s="9" t="s">
        <v>16</v>
      </c>
      <c r="G246" s="9" t="s">
        <v>40</v>
      </c>
      <c r="H246" s="9" t="s">
        <v>3010</v>
      </c>
      <c r="I246" s="13" t="s">
        <v>692</v>
      </c>
      <c r="J246" s="19"/>
      <c r="K246" s="14"/>
      <c r="L246" s="14"/>
      <c r="M246" s="14"/>
      <c r="N246" s="22"/>
      <c r="O246" s="12" t="str">
        <f t="shared" si="3"/>
        <v>Pendiente</v>
      </c>
    </row>
    <row r="247" spans="1:15" ht="78" customHeight="1">
      <c r="A247" s="17" t="s">
        <v>553</v>
      </c>
      <c r="B247" s="9" t="s">
        <v>537</v>
      </c>
      <c r="C247" s="9" t="s">
        <v>511</v>
      </c>
      <c r="D247" s="17" t="s">
        <v>3005</v>
      </c>
      <c r="E247" s="9" t="s">
        <v>3006</v>
      </c>
      <c r="F247" s="9" t="s">
        <v>16</v>
      </c>
      <c r="G247" s="9" t="s">
        <v>40</v>
      </c>
      <c r="H247" s="9" t="s">
        <v>3007</v>
      </c>
      <c r="I247" s="13" t="s">
        <v>692</v>
      </c>
      <c r="J247" s="19"/>
      <c r="K247" s="14"/>
      <c r="L247" s="14"/>
      <c r="M247" s="14"/>
      <c r="N247" s="22"/>
      <c r="O247" s="12" t="str">
        <f t="shared" si="3"/>
        <v>Pendiente</v>
      </c>
    </row>
    <row r="248" spans="1:15" ht="61.95" customHeight="1">
      <c r="A248" s="17" t="s">
        <v>556</v>
      </c>
      <c r="B248" s="9" t="s">
        <v>537</v>
      </c>
      <c r="C248" s="9" t="s">
        <v>557</v>
      </c>
      <c r="D248" s="17" t="s">
        <v>3036</v>
      </c>
      <c r="E248" s="9" t="s">
        <v>3037</v>
      </c>
      <c r="F248" s="9" t="s">
        <v>16</v>
      </c>
      <c r="G248" s="9" t="s">
        <v>40</v>
      </c>
      <c r="H248" s="9" t="s">
        <v>3038</v>
      </c>
      <c r="I248" s="13" t="s">
        <v>692</v>
      </c>
      <c r="J248" s="19"/>
      <c r="K248" s="14"/>
      <c r="L248" s="14"/>
      <c r="M248" s="14"/>
      <c r="N248" s="22"/>
      <c r="O248" s="12" t="str">
        <f t="shared" si="3"/>
        <v>Pendiente</v>
      </c>
    </row>
    <row r="249" spans="1:15" ht="78" customHeight="1">
      <c r="A249" s="17" t="s">
        <v>560</v>
      </c>
      <c r="B249" s="9" t="s">
        <v>537</v>
      </c>
      <c r="C249" s="9" t="s">
        <v>561</v>
      </c>
      <c r="D249" s="17" t="s">
        <v>2935</v>
      </c>
      <c r="E249" s="9" t="s">
        <v>2936</v>
      </c>
      <c r="F249" s="9" t="s">
        <v>16</v>
      </c>
      <c r="G249" s="9" t="s">
        <v>40</v>
      </c>
      <c r="H249" s="9" t="s">
        <v>2937</v>
      </c>
      <c r="I249" s="13" t="s">
        <v>692</v>
      </c>
      <c r="J249" s="19"/>
      <c r="K249" s="14"/>
      <c r="L249" s="14"/>
      <c r="M249" s="14"/>
      <c r="N249" s="22"/>
      <c r="O249" s="12" t="str">
        <f t="shared" si="3"/>
        <v>Pendiente</v>
      </c>
    </row>
    <row r="250" spans="1:15" ht="109.95" customHeight="1">
      <c r="A250" s="17" t="s">
        <v>564</v>
      </c>
      <c r="B250" s="9" t="s">
        <v>537</v>
      </c>
      <c r="C250" s="9" t="s">
        <v>565</v>
      </c>
      <c r="D250" s="17" t="s">
        <v>2971</v>
      </c>
      <c r="E250" s="9" t="s">
        <v>2972</v>
      </c>
      <c r="F250" s="9" t="s">
        <v>16</v>
      </c>
      <c r="G250" s="9" t="s">
        <v>40</v>
      </c>
      <c r="H250" s="9" t="s">
        <v>2973</v>
      </c>
      <c r="I250" s="13" t="s">
        <v>692</v>
      </c>
      <c r="J250" s="19"/>
      <c r="K250" s="14"/>
      <c r="L250" s="14"/>
      <c r="M250" s="14"/>
      <c r="N250" s="22"/>
      <c r="O250" s="12" t="str">
        <f t="shared" si="3"/>
        <v>Pendiente</v>
      </c>
    </row>
    <row r="251" spans="1:15" ht="61.95" customHeight="1">
      <c r="A251" s="17" t="s">
        <v>566</v>
      </c>
      <c r="B251" s="9" t="s">
        <v>537</v>
      </c>
      <c r="C251" s="9" t="s">
        <v>567</v>
      </c>
      <c r="D251" s="17" t="s">
        <v>2987</v>
      </c>
      <c r="E251" s="9" t="s">
        <v>2988</v>
      </c>
      <c r="F251" s="9" t="s">
        <v>16</v>
      </c>
      <c r="G251" s="9" t="s">
        <v>40</v>
      </c>
      <c r="H251" s="9" t="s">
        <v>2989</v>
      </c>
      <c r="I251" s="13" t="s">
        <v>692</v>
      </c>
      <c r="J251" s="19"/>
      <c r="K251" s="14"/>
      <c r="L251" s="14"/>
      <c r="M251" s="14"/>
      <c r="N251" s="22"/>
      <c r="O251" s="12" t="str">
        <f t="shared" si="3"/>
        <v>Pendiente</v>
      </c>
    </row>
    <row r="252" spans="1:15" ht="61.95" customHeight="1">
      <c r="A252" s="17" t="s">
        <v>572</v>
      </c>
      <c r="B252" s="9" t="s">
        <v>537</v>
      </c>
      <c r="C252" s="9" t="s">
        <v>573</v>
      </c>
      <c r="D252" s="17" t="s">
        <v>3039</v>
      </c>
      <c r="E252" s="9" t="s">
        <v>3040</v>
      </c>
      <c r="F252" s="9" t="s">
        <v>16</v>
      </c>
      <c r="G252" s="9" t="s">
        <v>40</v>
      </c>
      <c r="H252" s="9" t="s">
        <v>3041</v>
      </c>
      <c r="I252" s="13" t="s">
        <v>692</v>
      </c>
      <c r="J252" s="19"/>
      <c r="K252" s="14"/>
      <c r="L252" s="14"/>
      <c r="M252" s="14"/>
      <c r="N252" s="22"/>
      <c r="O252" s="12" t="str">
        <f t="shared" si="3"/>
        <v>Pendiente</v>
      </c>
    </row>
    <row r="253" spans="1:15" ht="61.95" customHeight="1">
      <c r="A253" s="17" t="s">
        <v>578</v>
      </c>
      <c r="B253" s="9" t="s">
        <v>537</v>
      </c>
      <c r="C253" s="9" t="s">
        <v>501</v>
      </c>
      <c r="D253" s="17" t="s">
        <v>2993</v>
      </c>
      <c r="E253" s="9" t="s">
        <v>2994</v>
      </c>
      <c r="F253" s="9" t="s">
        <v>16</v>
      </c>
      <c r="G253" s="9" t="s">
        <v>40</v>
      </c>
      <c r="H253" s="9" t="s">
        <v>2995</v>
      </c>
      <c r="I253" s="13" t="s">
        <v>692</v>
      </c>
      <c r="J253" s="19"/>
      <c r="K253" s="14"/>
      <c r="L253" s="14"/>
      <c r="M253" s="14"/>
      <c r="N253" s="22"/>
      <c r="O253" s="12" t="str">
        <f t="shared" si="3"/>
        <v>Pendiente</v>
      </c>
    </row>
    <row r="254" spans="1:15" ht="78" customHeight="1">
      <c r="A254" s="17" t="s">
        <v>581</v>
      </c>
      <c r="B254" s="9" t="s">
        <v>537</v>
      </c>
      <c r="C254" s="9" t="s">
        <v>394</v>
      </c>
      <c r="D254" s="17" t="s">
        <v>2908</v>
      </c>
      <c r="E254" s="9" t="s">
        <v>2909</v>
      </c>
      <c r="F254" s="9" t="s">
        <v>16</v>
      </c>
      <c r="G254" s="9" t="s">
        <v>40</v>
      </c>
      <c r="H254" s="9" t="s">
        <v>2910</v>
      </c>
      <c r="I254" s="13" t="s">
        <v>692</v>
      </c>
      <c r="J254" s="19"/>
      <c r="K254" s="14"/>
      <c r="L254" s="14"/>
      <c r="M254" s="14"/>
      <c r="N254" s="22"/>
      <c r="O254" s="12" t="str">
        <f t="shared" si="3"/>
        <v>Pendiente</v>
      </c>
    </row>
    <row r="255" spans="1:15" ht="61.95" customHeight="1">
      <c r="A255" s="17" t="s">
        <v>582</v>
      </c>
      <c r="B255" s="9" t="s">
        <v>537</v>
      </c>
      <c r="C255" s="9" t="s">
        <v>396</v>
      </c>
      <c r="D255" s="17" t="s">
        <v>2911</v>
      </c>
      <c r="E255" s="9" t="s">
        <v>2912</v>
      </c>
      <c r="F255" s="9" t="s">
        <v>16</v>
      </c>
      <c r="G255" s="9" t="s">
        <v>40</v>
      </c>
      <c r="H255" s="9" t="s">
        <v>2913</v>
      </c>
      <c r="I255" s="13" t="s">
        <v>692</v>
      </c>
      <c r="J255" s="19"/>
      <c r="K255" s="14"/>
      <c r="L255" s="14"/>
      <c r="M255" s="14"/>
      <c r="N255" s="22"/>
      <c r="O255" s="12" t="str">
        <f t="shared" si="3"/>
        <v>Pendiente</v>
      </c>
    </row>
    <row r="256" spans="1:15" ht="94.05" customHeight="1">
      <c r="A256" s="17" t="s">
        <v>585</v>
      </c>
      <c r="B256" s="9" t="s">
        <v>537</v>
      </c>
      <c r="C256" s="9" t="s">
        <v>586</v>
      </c>
      <c r="D256" s="17" t="s">
        <v>2902</v>
      </c>
      <c r="E256" s="9" t="s">
        <v>2903</v>
      </c>
      <c r="F256" s="9" t="s">
        <v>16</v>
      </c>
      <c r="G256" s="9" t="s">
        <v>40</v>
      </c>
      <c r="H256" s="9" t="s">
        <v>3042</v>
      </c>
      <c r="I256" s="13" t="s">
        <v>692</v>
      </c>
      <c r="J256" s="19"/>
      <c r="K256" s="14"/>
      <c r="L256" s="14"/>
      <c r="M256" s="14"/>
      <c r="N256" s="22"/>
      <c r="O256" s="12" t="str">
        <f t="shared" si="3"/>
        <v>Pendiente</v>
      </c>
    </row>
    <row r="257" spans="1:15" ht="61.95" customHeight="1">
      <c r="A257" s="17" t="s">
        <v>587</v>
      </c>
      <c r="B257" s="9" t="s">
        <v>537</v>
      </c>
      <c r="C257" s="9" t="s">
        <v>588</v>
      </c>
      <c r="D257" s="17" t="s">
        <v>3043</v>
      </c>
      <c r="E257" s="9" t="s">
        <v>3044</v>
      </c>
      <c r="F257" s="9" t="s">
        <v>16</v>
      </c>
      <c r="G257" s="9" t="s">
        <v>40</v>
      </c>
      <c r="H257" s="9" t="s">
        <v>3045</v>
      </c>
      <c r="I257" s="13" t="s">
        <v>692</v>
      </c>
      <c r="J257" s="19"/>
      <c r="K257" s="14"/>
      <c r="L257" s="14"/>
      <c r="M257" s="14"/>
      <c r="N257" s="22"/>
      <c r="O257" s="12" t="str">
        <f t="shared" si="3"/>
        <v>Pendiente</v>
      </c>
    </row>
    <row r="258" spans="1:15" ht="61.95" customHeight="1">
      <c r="A258" s="17" t="s">
        <v>591</v>
      </c>
      <c r="B258" s="9" t="s">
        <v>537</v>
      </c>
      <c r="C258" s="9" t="s">
        <v>592</v>
      </c>
      <c r="D258" s="17" t="s">
        <v>3046</v>
      </c>
      <c r="E258" s="9" t="s">
        <v>3047</v>
      </c>
      <c r="F258" s="9" t="s">
        <v>16</v>
      </c>
      <c r="G258" s="9" t="s">
        <v>40</v>
      </c>
      <c r="H258" s="9" t="s">
        <v>3048</v>
      </c>
      <c r="I258" s="13" t="s">
        <v>692</v>
      </c>
      <c r="J258" s="19"/>
      <c r="K258" s="14"/>
      <c r="L258" s="14"/>
      <c r="M258" s="14"/>
      <c r="N258" s="22"/>
      <c r="O258" s="12" t="str">
        <f t="shared" si="3"/>
        <v>Pendiente</v>
      </c>
    </row>
    <row r="259" spans="1:15" ht="109.95" customHeight="1">
      <c r="A259" s="17" t="s">
        <v>593</v>
      </c>
      <c r="B259" s="9" t="s">
        <v>537</v>
      </c>
      <c r="C259" s="9" t="s">
        <v>594</v>
      </c>
      <c r="D259" s="17" t="s">
        <v>2990</v>
      </c>
      <c r="E259" s="9" t="s">
        <v>2991</v>
      </c>
      <c r="F259" s="9" t="s">
        <v>16</v>
      </c>
      <c r="G259" s="9" t="s">
        <v>40</v>
      </c>
      <c r="H259" s="9" t="s">
        <v>2992</v>
      </c>
      <c r="I259" s="13" t="s">
        <v>692</v>
      </c>
      <c r="J259" s="19"/>
      <c r="K259" s="14"/>
      <c r="L259" s="14"/>
      <c r="M259" s="14"/>
      <c r="N259" s="22"/>
      <c r="O259" s="12" t="str">
        <f t="shared" si="3"/>
        <v>Pendiente</v>
      </c>
    </row>
    <row r="260" spans="1:15" ht="61.95" customHeight="1">
      <c r="A260" s="17" t="s">
        <v>595</v>
      </c>
      <c r="B260" s="9" t="s">
        <v>537</v>
      </c>
      <c r="C260" s="9" t="s">
        <v>596</v>
      </c>
      <c r="D260" s="17" t="s">
        <v>3049</v>
      </c>
      <c r="E260" s="9" t="s">
        <v>3050</v>
      </c>
      <c r="F260" s="9" t="s">
        <v>16</v>
      </c>
      <c r="G260" s="9" t="s">
        <v>40</v>
      </c>
      <c r="H260" s="9" t="s">
        <v>3051</v>
      </c>
      <c r="I260" s="13" t="s">
        <v>692</v>
      </c>
      <c r="J260" s="19"/>
      <c r="K260" s="14"/>
      <c r="L260" s="14"/>
      <c r="M260" s="14"/>
      <c r="N260" s="22"/>
      <c r="O260" s="12" t="str">
        <f t="shared" si="3"/>
        <v>Pendiente</v>
      </c>
    </row>
    <row r="261" spans="1:15" ht="61.95" customHeight="1">
      <c r="A261" s="17" t="s">
        <v>599</v>
      </c>
      <c r="B261" s="9" t="s">
        <v>537</v>
      </c>
      <c r="C261" s="9" t="s">
        <v>600</v>
      </c>
      <c r="D261" s="17" t="s">
        <v>3052</v>
      </c>
      <c r="E261" s="9" t="s">
        <v>3053</v>
      </c>
      <c r="F261" s="9" t="s">
        <v>16</v>
      </c>
      <c r="G261" s="9" t="s">
        <v>40</v>
      </c>
      <c r="H261" s="9" t="s">
        <v>3054</v>
      </c>
      <c r="I261" s="13" t="s">
        <v>692</v>
      </c>
      <c r="J261" s="19"/>
      <c r="K261" s="14"/>
      <c r="L261" s="14"/>
      <c r="M261" s="14"/>
      <c r="N261" s="22"/>
      <c r="O261" s="12" t="str">
        <f t="shared" si="3"/>
        <v>Pendiente</v>
      </c>
    </row>
    <row r="262" spans="1:15" ht="61.95" customHeight="1">
      <c r="A262" s="17" t="s">
        <v>607</v>
      </c>
      <c r="B262" s="9" t="s">
        <v>537</v>
      </c>
      <c r="C262" s="9" t="s">
        <v>608</v>
      </c>
      <c r="D262" s="17" t="s">
        <v>3055</v>
      </c>
      <c r="E262" s="9" t="s">
        <v>3056</v>
      </c>
      <c r="F262" s="9" t="s">
        <v>16</v>
      </c>
      <c r="G262" s="9" t="s">
        <v>40</v>
      </c>
      <c r="H262" s="9" t="s">
        <v>3057</v>
      </c>
      <c r="I262" s="13" t="s">
        <v>692</v>
      </c>
      <c r="J262" s="19"/>
      <c r="K262" s="14"/>
      <c r="L262" s="14"/>
      <c r="M262" s="14"/>
      <c r="N262" s="22"/>
      <c r="O262" s="12" t="str">
        <f t="shared" si="3"/>
        <v>Pendiente</v>
      </c>
    </row>
    <row r="263" spans="1:15" ht="61.95" customHeight="1">
      <c r="A263" s="17" t="s">
        <v>609</v>
      </c>
      <c r="B263" s="9" t="s">
        <v>537</v>
      </c>
      <c r="C263" s="9" t="s">
        <v>610</v>
      </c>
      <c r="D263" s="17" t="s">
        <v>3058</v>
      </c>
      <c r="E263" s="9" t="s">
        <v>3059</v>
      </c>
      <c r="F263" s="9" t="s">
        <v>16</v>
      </c>
      <c r="G263" s="9" t="s">
        <v>40</v>
      </c>
      <c r="H263" s="9" t="s">
        <v>3060</v>
      </c>
      <c r="I263" s="13" t="s">
        <v>692</v>
      </c>
      <c r="J263" s="19"/>
      <c r="K263" s="14"/>
      <c r="L263" s="14"/>
      <c r="M263" s="14"/>
      <c r="N263" s="22"/>
      <c r="O263" s="12" t="str">
        <f t="shared" si="3"/>
        <v>Pendiente</v>
      </c>
    </row>
    <row r="264" spans="1:15" ht="61.95" customHeight="1">
      <c r="A264" s="17" t="s">
        <v>615</v>
      </c>
      <c r="B264" s="9" t="s">
        <v>537</v>
      </c>
      <c r="C264" s="9" t="s">
        <v>616</v>
      </c>
      <c r="D264" s="17" t="s">
        <v>3061</v>
      </c>
      <c r="E264" s="9" t="s">
        <v>3062</v>
      </c>
      <c r="F264" s="9" t="s">
        <v>16</v>
      </c>
      <c r="G264" s="9" t="s">
        <v>40</v>
      </c>
      <c r="H264" s="9" t="s">
        <v>3063</v>
      </c>
      <c r="I264" s="13" t="s">
        <v>692</v>
      </c>
      <c r="J264" s="19"/>
      <c r="K264" s="14"/>
      <c r="L264" s="14"/>
      <c r="M264" s="14"/>
      <c r="N264" s="22"/>
      <c r="O264" s="12" t="str">
        <f t="shared" ref="O264:O291" si="4">IF(I264="Pendiente","Pendiente",IF(I264="Equivalente confirmado",IF(OR(J264="",K264=""),"Falta código o nombre",IF(OR(L264="",M264=""),"Falta validación",IF(OR(NOT(ISNUMBER(N264)),N264&lt;=0),"Falta fecha","Homologado"))),IF(I264="Sin equivalente en SAP",IF(OR(J264&lt;&gt;"",K264&lt;&gt;""),"Quitar código y nombre",IF(OR(L264="",M264=""),"Falta validación",IF(OR(NOT(ISNUMBER(N264)),N264&lt;=0),"Falta fecha","Sin equivalente confirmado"))),"Revisar decisión")))</f>
        <v>Pendiente</v>
      </c>
    </row>
    <row r="265" spans="1:15" ht="61.95" customHeight="1">
      <c r="A265" s="17" t="s">
        <v>619</v>
      </c>
      <c r="B265" s="9" t="s">
        <v>537</v>
      </c>
      <c r="C265" s="9" t="s">
        <v>620</v>
      </c>
      <c r="D265" s="17" t="s">
        <v>3064</v>
      </c>
      <c r="E265" s="9" t="s">
        <v>3065</v>
      </c>
      <c r="F265" s="9" t="s">
        <v>16</v>
      </c>
      <c r="G265" s="9" t="s">
        <v>40</v>
      </c>
      <c r="H265" s="9" t="s">
        <v>3066</v>
      </c>
      <c r="I265" s="13" t="s">
        <v>692</v>
      </c>
      <c r="J265" s="19"/>
      <c r="K265" s="14"/>
      <c r="L265" s="14"/>
      <c r="M265" s="14"/>
      <c r="N265" s="22"/>
      <c r="O265" s="12" t="str">
        <f t="shared" si="4"/>
        <v>Pendiente</v>
      </c>
    </row>
    <row r="266" spans="1:15" ht="61.95" customHeight="1">
      <c r="A266" s="17" t="s">
        <v>621</v>
      </c>
      <c r="B266" s="9" t="s">
        <v>537</v>
      </c>
      <c r="C266" s="9" t="s">
        <v>622</v>
      </c>
      <c r="D266" s="17" t="s">
        <v>3067</v>
      </c>
      <c r="E266" s="9" t="s">
        <v>3068</v>
      </c>
      <c r="F266" s="9" t="s">
        <v>16</v>
      </c>
      <c r="G266" s="9" t="s">
        <v>40</v>
      </c>
      <c r="H266" s="9" t="s">
        <v>3069</v>
      </c>
      <c r="I266" s="13" t="s">
        <v>692</v>
      </c>
      <c r="J266" s="19"/>
      <c r="K266" s="14"/>
      <c r="L266" s="14"/>
      <c r="M266" s="14"/>
      <c r="N266" s="22"/>
      <c r="O266" s="12" t="str">
        <f t="shared" si="4"/>
        <v>Pendiente</v>
      </c>
    </row>
    <row r="267" spans="1:15" ht="94.05" customHeight="1">
      <c r="A267" s="17" t="s">
        <v>629</v>
      </c>
      <c r="B267" s="9" t="s">
        <v>537</v>
      </c>
      <c r="C267" s="9" t="s">
        <v>630</v>
      </c>
      <c r="D267" s="17" t="s">
        <v>3070</v>
      </c>
      <c r="E267" s="9" t="s">
        <v>3071</v>
      </c>
      <c r="F267" s="9" t="s">
        <v>16</v>
      </c>
      <c r="G267" s="9" t="s">
        <v>40</v>
      </c>
      <c r="H267" s="9" t="s">
        <v>3072</v>
      </c>
      <c r="I267" s="13" t="s">
        <v>692</v>
      </c>
      <c r="J267" s="19"/>
      <c r="K267" s="14"/>
      <c r="L267" s="14"/>
      <c r="M267" s="14"/>
      <c r="N267" s="22"/>
      <c r="O267" s="12" t="str">
        <f t="shared" si="4"/>
        <v>Pendiente</v>
      </c>
    </row>
    <row r="268" spans="1:15" ht="109.95" customHeight="1">
      <c r="A268" s="17" t="s">
        <v>631</v>
      </c>
      <c r="B268" s="9" t="s">
        <v>537</v>
      </c>
      <c r="C268" s="9" t="s">
        <v>392</v>
      </c>
      <c r="D268" s="17" t="s">
        <v>2905</v>
      </c>
      <c r="E268" s="9" t="s">
        <v>2906</v>
      </c>
      <c r="F268" s="9" t="s">
        <v>16</v>
      </c>
      <c r="G268" s="9" t="s">
        <v>40</v>
      </c>
      <c r="H268" s="9" t="s">
        <v>2907</v>
      </c>
      <c r="I268" s="13" t="s">
        <v>692</v>
      </c>
      <c r="J268" s="19"/>
      <c r="K268" s="14"/>
      <c r="L268" s="14"/>
      <c r="M268" s="14"/>
      <c r="N268" s="22"/>
      <c r="O268" s="12" t="str">
        <f t="shared" si="4"/>
        <v>Pendiente</v>
      </c>
    </row>
    <row r="269" spans="1:15" ht="61.95" customHeight="1">
      <c r="A269" s="17" t="s">
        <v>637</v>
      </c>
      <c r="B269" s="9" t="s">
        <v>537</v>
      </c>
      <c r="C269" s="9" t="s">
        <v>588</v>
      </c>
      <c r="D269" s="17" t="s">
        <v>3043</v>
      </c>
      <c r="E269" s="9" t="s">
        <v>3044</v>
      </c>
      <c r="F269" s="9" t="s">
        <v>16</v>
      </c>
      <c r="G269" s="9" t="s">
        <v>40</v>
      </c>
      <c r="H269" s="9" t="s">
        <v>3045</v>
      </c>
      <c r="I269" s="13" t="s">
        <v>692</v>
      </c>
      <c r="J269" s="19"/>
      <c r="K269" s="14"/>
      <c r="L269" s="14"/>
      <c r="M269" s="14"/>
      <c r="N269" s="22"/>
      <c r="O269" s="12" t="str">
        <f t="shared" si="4"/>
        <v>Pendiente</v>
      </c>
    </row>
    <row r="270" spans="1:15" ht="94.05" customHeight="1">
      <c r="A270" s="17" t="s">
        <v>642</v>
      </c>
      <c r="B270" s="9" t="s">
        <v>537</v>
      </c>
      <c r="C270" s="9" t="s">
        <v>643</v>
      </c>
      <c r="D270" s="17" t="s">
        <v>3073</v>
      </c>
      <c r="E270" s="9" t="s">
        <v>3074</v>
      </c>
      <c r="F270" s="9" t="s">
        <v>16</v>
      </c>
      <c r="G270" s="9" t="s">
        <v>40</v>
      </c>
      <c r="H270" s="9" t="s">
        <v>3075</v>
      </c>
      <c r="I270" s="13" t="s">
        <v>692</v>
      </c>
      <c r="J270" s="19"/>
      <c r="K270" s="14"/>
      <c r="L270" s="14"/>
      <c r="M270" s="14"/>
      <c r="N270" s="22"/>
      <c r="O270" s="12" t="str">
        <f t="shared" si="4"/>
        <v>Pendiente</v>
      </c>
    </row>
    <row r="271" spans="1:15" ht="109.95" customHeight="1">
      <c r="A271" s="17" t="s">
        <v>650</v>
      </c>
      <c r="B271" s="9" t="s">
        <v>537</v>
      </c>
      <c r="C271" s="9" t="s">
        <v>651</v>
      </c>
      <c r="D271" s="17" t="s">
        <v>3076</v>
      </c>
      <c r="E271" s="9" t="s">
        <v>3077</v>
      </c>
      <c r="F271" s="9" t="s">
        <v>16</v>
      </c>
      <c r="G271" s="9" t="s">
        <v>40</v>
      </c>
      <c r="H271" s="9" t="s">
        <v>3078</v>
      </c>
      <c r="I271" s="13" t="s">
        <v>692</v>
      </c>
      <c r="J271" s="19"/>
      <c r="K271" s="14"/>
      <c r="L271" s="14"/>
      <c r="M271" s="14"/>
      <c r="N271" s="22"/>
      <c r="O271" s="12" t="str">
        <f t="shared" si="4"/>
        <v>Pendiente</v>
      </c>
    </row>
    <row r="272" spans="1:15" ht="61.95" customHeight="1">
      <c r="A272" s="17" t="s">
        <v>662</v>
      </c>
      <c r="B272" s="9" t="s">
        <v>537</v>
      </c>
      <c r="C272" s="9" t="s">
        <v>663</v>
      </c>
      <c r="D272" s="17" t="s">
        <v>3079</v>
      </c>
      <c r="E272" s="9" t="s">
        <v>3080</v>
      </c>
      <c r="F272" s="9" t="s">
        <v>16</v>
      </c>
      <c r="G272" s="9" t="s">
        <v>40</v>
      </c>
      <c r="H272" s="9" t="s">
        <v>3081</v>
      </c>
      <c r="I272" s="13" t="s">
        <v>692</v>
      </c>
      <c r="J272" s="19"/>
      <c r="K272" s="14"/>
      <c r="L272" s="14"/>
      <c r="M272" s="14"/>
      <c r="N272" s="22"/>
      <c r="O272" s="12" t="str">
        <f t="shared" si="4"/>
        <v>Pendiente</v>
      </c>
    </row>
    <row r="273" spans="1:15" ht="61.95" customHeight="1">
      <c r="A273" s="17" t="s">
        <v>664</v>
      </c>
      <c r="B273" s="9" t="s">
        <v>537</v>
      </c>
      <c r="C273" s="9" t="s">
        <v>665</v>
      </c>
      <c r="D273" s="17" t="s">
        <v>3082</v>
      </c>
      <c r="E273" s="9" t="s">
        <v>3083</v>
      </c>
      <c r="F273" s="9" t="s">
        <v>16</v>
      </c>
      <c r="G273" s="9" t="s">
        <v>40</v>
      </c>
      <c r="H273" s="9" t="s">
        <v>3084</v>
      </c>
      <c r="I273" s="13" t="s">
        <v>692</v>
      </c>
      <c r="J273" s="19"/>
      <c r="K273" s="14"/>
      <c r="L273" s="14"/>
      <c r="M273" s="14"/>
      <c r="N273" s="22"/>
      <c r="O273" s="12" t="str">
        <f t="shared" si="4"/>
        <v>Pendiente</v>
      </c>
    </row>
    <row r="274" spans="1:15" ht="61.95" customHeight="1">
      <c r="A274" s="17" t="s">
        <v>668</v>
      </c>
      <c r="B274" s="9" t="s">
        <v>537</v>
      </c>
      <c r="C274" s="9" t="s">
        <v>573</v>
      </c>
      <c r="D274" s="17" t="s">
        <v>3039</v>
      </c>
      <c r="E274" s="9" t="s">
        <v>3040</v>
      </c>
      <c r="F274" s="9" t="s">
        <v>16</v>
      </c>
      <c r="G274" s="9" t="s">
        <v>40</v>
      </c>
      <c r="H274" s="9" t="s">
        <v>3041</v>
      </c>
      <c r="I274" s="13" t="s">
        <v>692</v>
      </c>
      <c r="J274" s="19"/>
      <c r="K274" s="14"/>
      <c r="L274" s="14"/>
      <c r="M274" s="14"/>
      <c r="N274" s="22"/>
      <c r="O274" s="12" t="str">
        <f t="shared" si="4"/>
        <v>Pendiente</v>
      </c>
    </row>
    <row r="275" spans="1:15" ht="78" customHeight="1">
      <c r="A275" s="17" t="s">
        <v>146</v>
      </c>
      <c r="B275" s="9" t="s">
        <v>108</v>
      </c>
      <c r="C275" s="9" t="s">
        <v>147</v>
      </c>
      <c r="D275" s="17"/>
      <c r="E275" s="9"/>
      <c r="F275" s="9" t="s">
        <v>24</v>
      </c>
      <c r="G275" s="9" t="s">
        <v>24</v>
      </c>
      <c r="H275" s="9" t="s">
        <v>3085</v>
      </c>
      <c r="I275" s="13" t="s">
        <v>692</v>
      </c>
      <c r="J275" s="19"/>
      <c r="K275" s="14"/>
      <c r="L275" s="14"/>
      <c r="M275" s="14"/>
      <c r="N275" s="22"/>
      <c r="O275" s="12" t="str">
        <f t="shared" si="4"/>
        <v>Pendiente</v>
      </c>
    </row>
    <row r="276" spans="1:15" ht="78" customHeight="1">
      <c r="A276" s="17" t="s">
        <v>148</v>
      </c>
      <c r="B276" s="9" t="s">
        <v>108</v>
      </c>
      <c r="C276" s="9" t="s">
        <v>149</v>
      </c>
      <c r="D276" s="17"/>
      <c r="E276" s="9"/>
      <c r="F276" s="9" t="s">
        <v>24</v>
      </c>
      <c r="G276" s="9" t="s">
        <v>24</v>
      </c>
      <c r="H276" s="9" t="s">
        <v>3085</v>
      </c>
      <c r="I276" s="13" t="s">
        <v>692</v>
      </c>
      <c r="J276" s="19"/>
      <c r="K276" s="14"/>
      <c r="L276" s="14"/>
      <c r="M276" s="14"/>
      <c r="N276" s="22"/>
      <c r="O276" s="12" t="str">
        <f t="shared" si="4"/>
        <v>Pendiente</v>
      </c>
    </row>
    <row r="277" spans="1:15" ht="78" customHeight="1">
      <c r="A277" s="17" t="s">
        <v>154</v>
      </c>
      <c r="B277" s="9" t="s">
        <v>108</v>
      </c>
      <c r="C277" s="9" t="s">
        <v>155</v>
      </c>
      <c r="D277" s="17"/>
      <c r="E277" s="9"/>
      <c r="F277" s="9" t="s">
        <v>24</v>
      </c>
      <c r="G277" s="9" t="s">
        <v>24</v>
      </c>
      <c r="H277" s="9" t="s">
        <v>3085</v>
      </c>
      <c r="I277" s="13" t="s">
        <v>692</v>
      </c>
      <c r="J277" s="19"/>
      <c r="K277" s="14"/>
      <c r="L277" s="14"/>
      <c r="M277" s="14"/>
      <c r="N277" s="22"/>
      <c r="O277" s="12" t="str">
        <f t="shared" si="4"/>
        <v>Pendiente</v>
      </c>
    </row>
    <row r="278" spans="1:15" ht="78" customHeight="1">
      <c r="A278" s="17" t="s">
        <v>174</v>
      </c>
      <c r="B278" s="9" t="s">
        <v>108</v>
      </c>
      <c r="C278" s="9" t="s">
        <v>175</v>
      </c>
      <c r="D278" s="17"/>
      <c r="E278" s="9"/>
      <c r="F278" s="9" t="s">
        <v>24</v>
      </c>
      <c r="G278" s="9" t="s">
        <v>24</v>
      </c>
      <c r="H278" s="9" t="s">
        <v>3085</v>
      </c>
      <c r="I278" s="13" t="s">
        <v>692</v>
      </c>
      <c r="J278" s="19"/>
      <c r="K278" s="14"/>
      <c r="L278" s="14"/>
      <c r="M278" s="14"/>
      <c r="N278" s="22"/>
      <c r="O278" s="12" t="str">
        <f t="shared" si="4"/>
        <v>Pendiente</v>
      </c>
    </row>
    <row r="279" spans="1:15" ht="61.95" customHeight="1">
      <c r="A279" s="17" t="s">
        <v>208</v>
      </c>
      <c r="B279" s="9" t="s">
        <v>108</v>
      </c>
      <c r="C279" s="9" t="s">
        <v>209</v>
      </c>
      <c r="D279" s="17"/>
      <c r="E279" s="9"/>
      <c r="F279" s="9" t="s">
        <v>24</v>
      </c>
      <c r="G279" s="9" t="s">
        <v>24</v>
      </c>
      <c r="H279" s="9" t="s">
        <v>3086</v>
      </c>
      <c r="I279" s="13" t="s">
        <v>692</v>
      </c>
      <c r="J279" s="19"/>
      <c r="K279" s="14"/>
      <c r="L279" s="14"/>
      <c r="M279" s="14"/>
      <c r="N279" s="22"/>
      <c r="O279" s="12" t="str">
        <f t="shared" si="4"/>
        <v>Pendiente</v>
      </c>
    </row>
    <row r="280" spans="1:15" ht="78" customHeight="1">
      <c r="A280" s="17" t="s">
        <v>274</v>
      </c>
      <c r="B280" s="9" t="s">
        <v>108</v>
      </c>
      <c r="C280" s="9" t="s">
        <v>275</v>
      </c>
      <c r="D280" s="17"/>
      <c r="E280" s="9"/>
      <c r="F280" s="9" t="s">
        <v>24</v>
      </c>
      <c r="G280" s="9" t="s">
        <v>24</v>
      </c>
      <c r="H280" s="9" t="s">
        <v>3085</v>
      </c>
      <c r="I280" s="13" t="s">
        <v>692</v>
      </c>
      <c r="J280" s="19"/>
      <c r="K280" s="14"/>
      <c r="L280" s="14"/>
      <c r="M280" s="14"/>
      <c r="N280" s="22"/>
      <c r="O280" s="12" t="str">
        <f t="shared" si="4"/>
        <v>Pendiente</v>
      </c>
    </row>
    <row r="281" spans="1:15" ht="78" customHeight="1">
      <c r="A281" s="17" t="s">
        <v>276</v>
      </c>
      <c r="B281" s="9" t="s">
        <v>108</v>
      </c>
      <c r="C281" s="9" t="s">
        <v>277</v>
      </c>
      <c r="D281" s="17"/>
      <c r="E281" s="9"/>
      <c r="F281" s="9" t="s">
        <v>24</v>
      </c>
      <c r="G281" s="9" t="s">
        <v>24</v>
      </c>
      <c r="H281" s="9" t="s">
        <v>3085</v>
      </c>
      <c r="I281" s="13" t="s">
        <v>692</v>
      </c>
      <c r="J281" s="19"/>
      <c r="K281" s="14"/>
      <c r="L281" s="14"/>
      <c r="M281" s="14"/>
      <c r="N281" s="22"/>
      <c r="O281" s="12" t="str">
        <f t="shared" si="4"/>
        <v>Pendiente</v>
      </c>
    </row>
    <row r="282" spans="1:15" ht="78" customHeight="1">
      <c r="A282" s="17" t="s">
        <v>310</v>
      </c>
      <c r="B282" s="9" t="s">
        <v>108</v>
      </c>
      <c r="C282" s="9" t="s">
        <v>311</v>
      </c>
      <c r="D282" s="17"/>
      <c r="E282" s="9"/>
      <c r="F282" s="9" t="s">
        <v>24</v>
      </c>
      <c r="G282" s="9" t="s">
        <v>24</v>
      </c>
      <c r="H282" s="9" t="s">
        <v>3085</v>
      </c>
      <c r="I282" s="13" t="s">
        <v>692</v>
      </c>
      <c r="J282" s="19"/>
      <c r="K282" s="14"/>
      <c r="L282" s="14"/>
      <c r="M282" s="14"/>
      <c r="N282" s="22"/>
      <c r="O282" s="12" t="str">
        <f t="shared" si="4"/>
        <v>Pendiente</v>
      </c>
    </row>
    <row r="283" spans="1:15" ht="61.95" customHeight="1">
      <c r="A283" s="17" t="s">
        <v>326</v>
      </c>
      <c r="B283" s="9" t="s">
        <v>108</v>
      </c>
      <c r="C283" s="9" t="s">
        <v>327</v>
      </c>
      <c r="D283" s="17"/>
      <c r="E283" s="9"/>
      <c r="F283" s="9" t="s">
        <v>24</v>
      </c>
      <c r="G283" s="9" t="s">
        <v>24</v>
      </c>
      <c r="H283" s="9" t="s">
        <v>3087</v>
      </c>
      <c r="I283" s="13" t="s">
        <v>692</v>
      </c>
      <c r="J283" s="19"/>
      <c r="K283" s="14"/>
      <c r="L283" s="14"/>
      <c r="M283" s="14"/>
      <c r="N283" s="22"/>
      <c r="O283" s="12" t="str">
        <f t="shared" si="4"/>
        <v>Pendiente</v>
      </c>
    </row>
    <row r="284" spans="1:15" ht="78" customHeight="1">
      <c r="A284" s="17" t="s">
        <v>330</v>
      </c>
      <c r="B284" s="9" t="s">
        <v>108</v>
      </c>
      <c r="C284" s="9" t="s">
        <v>331</v>
      </c>
      <c r="D284" s="17"/>
      <c r="E284" s="9"/>
      <c r="F284" s="9" t="s">
        <v>24</v>
      </c>
      <c r="G284" s="9" t="s">
        <v>24</v>
      </c>
      <c r="H284" s="9" t="s">
        <v>3085</v>
      </c>
      <c r="I284" s="13" t="s">
        <v>692</v>
      </c>
      <c r="J284" s="19"/>
      <c r="K284" s="14"/>
      <c r="L284" s="14"/>
      <c r="M284" s="14"/>
      <c r="N284" s="22"/>
      <c r="O284" s="12" t="str">
        <f t="shared" si="4"/>
        <v>Pendiente</v>
      </c>
    </row>
    <row r="285" spans="1:15" ht="78" customHeight="1">
      <c r="A285" s="17" t="s">
        <v>348</v>
      </c>
      <c r="B285" s="9" t="s">
        <v>108</v>
      </c>
      <c r="C285" s="9" t="s">
        <v>349</v>
      </c>
      <c r="D285" s="17"/>
      <c r="E285" s="9"/>
      <c r="F285" s="9" t="s">
        <v>24</v>
      </c>
      <c r="G285" s="9" t="s">
        <v>24</v>
      </c>
      <c r="H285" s="9" t="s">
        <v>3085</v>
      </c>
      <c r="I285" s="13" t="s">
        <v>692</v>
      </c>
      <c r="J285" s="19"/>
      <c r="K285" s="14"/>
      <c r="L285" s="14"/>
      <c r="M285" s="14"/>
      <c r="N285" s="22"/>
      <c r="O285" s="12" t="str">
        <f t="shared" si="4"/>
        <v>Pendiente</v>
      </c>
    </row>
    <row r="286" spans="1:15" ht="78" customHeight="1">
      <c r="A286" s="17" t="s">
        <v>350</v>
      </c>
      <c r="B286" s="9" t="s">
        <v>108</v>
      </c>
      <c r="C286" s="9" t="s">
        <v>351</v>
      </c>
      <c r="D286" s="17"/>
      <c r="E286" s="9"/>
      <c r="F286" s="9" t="s">
        <v>24</v>
      </c>
      <c r="G286" s="9" t="s">
        <v>24</v>
      </c>
      <c r="H286" s="9" t="s">
        <v>3085</v>
      </c>
      <c r="I286" s="13" t="s">
        <v>692</v>
      </c>
      <c r="J286" s="19"/>
      <c r="K286" s="14"/>
      <c r="L286" s="14"/>
      <c r="M286" s="14"/>
      <c r="N286" s="22"/>
      <c r="O286" s="12" t="str">
        <f t="shared" si="4"/>
        <v>Pendiente</v>
      </c>
    </row>
    <row r="287" spans="1:15" ht="78" customHeight="1">
      <c r="A287" s="17" t="s">
        <v>354</v>
      </c>
      <c r="B287" s="9" t="s">
        <v>108</v>
      </c>
      <c r="C287" s="9" t="s">
        <v>355</v>
      </c>
      <c r="D287" s="17"/>
      <c r="E287" s="9"/>
      <c r="F287" s="9" t="s">
        <v>24</v>
      </c>
      <c r="G287" s="9" t="s">
        <v>24</v>
      </c>
      <c r="H287" s="9" t="s">
        <v>3085</v>
      </c>
      <c r="I287" s="13" t="s">
        <v>692</v>
      </c>
      <c r="J287" s="19"/>
      <c r="K287" s="14"/>
      <c r="L287" s="14"/>
      <c r="M287" s="14"/>
      <c r="N287" s="22"/>
      <c r="O287" s="12" t="str">
        <f t="shared" si="4"/>
        <v>Pendiente</v>
      </c>
    </row>
    <row r="288" spans="1:15" ht="78" customHeight="1">
      <c r="A288" s="17" t="s">
        <v>409</v>
      </c>
      <c r="B288" s="9" t="s">
        <v>357</v>
      </c>
      <c r="C288" s="9" t="s">
        <v>410</v>
      </c>
      <c r="D288" s="17"/>
      <c r="E288" s="9"/>
      <c r="F288" s="9" t="s">
        <v>24</v>
      </c>
      <c r="G288" s="9" t="s">
        <v>24</v>
      </c>
      <c r="H288" s="9" t="s">
        <v>3088</v>
      </c>
      <c r="I288" s="13" t="s">
        <v>692</v>
      </c>
      <c r="J288" s="19"/>
      <c r="K288" s="14"/>
      <c r="L288" s="14"/>
      <c r="M288" s="14"/>
      <c r="N288" s="22"/>
      <c r="O288" s="12" t="str">
        <f t="shared" si="4"/>
        <v>Pendiente</v>
      </c>
    </row>
    <row r="289" spans="1:15" ht="61.95" customHeight="1">
      <c r="A289" s="17" t="s">
        <v>558</v>
      </c>
      <c r="B289" s="9" t="s">
        <v>537</v>
      </c>
      <c r="C289" s="9" t="s">
        <v>559</v>
      </c>
      <c r="D289" s="17"/>
      <c r="E289" s="9"/>
      <c r="F289" s="9" t="s">
        <v>24</v>
      </c>
      <c r="G289" s="9" t="s">
        <v>24</v>
      </c>
      <c r="H289" s="9" t="s">
        <v>3089</v>
      </c>
      <c r="I289" s="13" t="s">
        <v>692</v>
      </c>
      <c r="J289" s="19"/>
      <c r="K289" s="14"/>
      <c r="L289" s="14"/>
      <c r="M289" s="14"/>
      <c r="N289" s="22"/>
      <c r="O289" s="12" t="str">
        <f t="shared" si="4"/>
        <v>Pendiente</v>
      </c>
    </row>
    <row r="290" spans="1:15" ht="61.95" customHeight="1">
      <c r="A290" s="17" t="s">
        <v>597</v>
      </c>
      <c r="B290" s="9" t="s">
        <v>537</v>
      </c>
      <c r="C290" s="9" t="s">
        <v>598</v>
      </c>
      <c r="D290" s="17"/>
      <c r="E290" s="9"/>
      <c r="F290" s="9" t="s">
        <v>24</v>
      </c>
      <c r="G290" s="9" t="s">
        <v>24</v>
      </c>
      <c r="H290" s="9" t="s">
        <v>3090</v>
      </c>
      <c r="I290" s="13" t="s">
        <v>692</v>
      </c>
      <c r="J290" s="19"/>
      <c r="K290" s="14"/>
      <c r="L290" s="14"/>
      <c r="M290" s="14"/>
      <c r="N290" s="22"/>
      <c r="O290" s="12" t="str">
        <f t="shared" si="4"/>
        <v>Pendiente</v>
      </c>
    </row>
    <row r="291" spans="1:15" ht="61.95" customHeight="1">
      <c r="A291" s="17" t="s">
        <v>654</v>
      </c>
      <c r="B291" s="9" t="s">
        <v>537</v>
      </c>
      <c r="C291" s="9" t="s">
        <v>655</v>
      </c>
      <c r="D291" s="17"/>
      <c r="E291" s="9"/>
      <c r="F291" s="9" t="s">
        <v>24</v>
      </c>
      <c r="G291" s="9" t="s">
        <v>24</v>
      </c>
      <c r="H291" s="9" t="s">
        <v>3091</v>
      </c>
      <c r="I291" s="15" t="s">
        <v>692</v>
      </c>
      <c r="J291" s="20"/>
      <c r="K291" s="16"/>
      <c r="L291" s="16"/>
      <c r="M291" s="16"/>
      <c r="N291" s="23"/>
      <c r="O291" s="12" t="str">
        <f t="shared" si="4"/>
        <v>Pendiente</v>
      </c>
    </row>
  </sheetData>
  <mergeCells count="1">
    <mergeCell ref="I6:N6"/>
  </mergeCells>
  <conditionalFormatting sqref="F8:F291">
    <cfRule type="expression" dxfId="6" priority="4">
      <formula>$F8="Producto distinto"</formula>
    </cfRule>
    <cfRule type="expression" dxfId="5" priority="5">
      <formula>$F8="Variante distinta"</formula>
    </cfRule>
    <cfRule type="expression" dxfId="4" priority="6">
      <formula>$F8="Equipo distinto"</formula>
    </cfRule>
    <cfRule type="expression" dxfId="3" priority="7">
      <formula>$F8="Revisar presentación"</formula>
    </cfRule>
  </conditionalFormatting>
  <conditionalFormatting sqref="O8:O291">
    <cfRule type="expression" dxfId="2" priority="1">
      <formula>$O8="Homologado"</formula>
    </cfRule>
    <cfRule type="expression" dxfId="1" priority="2">
      <formula>$O8="Sin equivalente confirmado"</formula>
    </cfRule>
    <cfRule type="expression" dxfId="0" priority="3">
      <formula>LEFT($O8,5)="Falta"</formula>
    </cfRule>
  </conditionalFormatting>
  <dataValidations count="1">
    <dataValidation type="list" sqref="I8:I291" xr:uid="{00000000-0002-0000-0500-000000000000}">
      <formula1>"Pendiente,Equivalente confirmado,Sin equivalente en SAP"</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R291"/>
  <sheetViews>
    <sheetView showGridLines="0" workbookViewId="0">
      <pane xSplit="3" ySplit="6" topLeftCell="D7" activePane="bottomRight" state="frozen"/>
      <selection activeCell="D7" sqref="D7"/>
      <selection pane="topRight" activeCell="D7" sqref="D7"/>
      <selection pane="bottomLeft" activeCell="D7" sqref="D7"/>
      <selection pane="bottomRight" activeCell="D7" sqref="D7"/>
    </sheetView>
  </sheetViews>
  <sheetFormatPr baseColWidth="10" defaultColWidth="8.796875" defaultRowHeight="13.8"/>
  <cols>
    <col min="1" max="1" width="16" customWidth="1"/>
    <col min="2" max="2" width="20" customWidth="1"/>
    <col min="3" max="3" width="16" customWidth="1"/>
    <col min="4" max="5" width="42" customWidth="1"/>
    <col min="6" max="7" width="18" customWidth="1"/>
    <col min="8" max="9" width="42" customWidth="1"/>
    <col min="10" max="11" width="20" customWidth="1"/>
    <col min="12" max="13" width="66" customWidth="1"/>
    <col min="14" max="15" width="30" customWidth="1"/>
    <col min="16" max="16" width="24" customWidth="1"/>
    <col min="17" max="17" width="22" customWidth="1"/>
    <col min="18" max="18" width="18" customWidth="1"/>
  </cols>
  <sheetData>
    <row r="2" spans="1:18" ht="31.05" customHeight="1">
      <c r="A2" s="2" t="s">
        <v>3092</v>
      </c>
      <c r="B2" s="1"/>
      <c r="C2" s="1"/>
      <c r="D2" s="1"/>
      <c r="E2" s="1"/>
      <c r="F2" s="1"/>
      <c r="G2" s="1"/>
      <c r="H2" s="1"/>
      <c r="I2" s="1"/>
      <c r="J2" s="1"/>
      <c r="K2" s="1"/>
      <c r="L2" s="1"/>
      <c r="M2" s="1"/>
      <c r="N2" s="1"/>
      <c r="O2" s="1"/>
      <c r="P2" s="1"/>
      <c r="Q2" s="1"/>
      <c r="R2" s="1"/>
    </row>
    <row r="3" spans="1:18" ht="22.05" customHeight="1">
      <c r="A3" s="3" t="s">
        <v>3093</v>
      </c>
      <c r="B3" s="1"/>
      <c r="C3" s="1"/>
      <c r="D3" s="1"/>
      <c r="E3" s="1"/>
      <c r="F3" s="1"/>
      <c r="G3" s="1"/>
      <c r="H3" s="1"/>
      <c r="I3" s="1"/>
      <c r="J3" s="1"/>
      <c r="K3" s="1"/>
      <c r="L3" s="1"/>
      <c r="M3" s="1"/>
      <c r="N3" s="1"/>
      <c r="O3" s="1"/>
      <c r="P3" s="1"/>
      <c r="Q3" s="1"/>
      <c r="R3" s="1"/>
    </row>
    <row r="4" spans="1:18" ht="22.05" customHeight="1">
      <c r="A4" s="3" t="s">
        <v>3094</v>
      </c>
      <c r="B4" s="1"/>
      <c r="C4" s="1"/>
      <c r="D4" s="1"/>
      <c r="E4" s="1"/>
      <c r="F4" s="1"/>
      <c r="G4" s="1"/>
      <c r="H4" s="1"/>
      <c r="I4" s="1"/>
      <c r="J4" s="1"/>
      <c r="K4" s="1"/>
      <c r="L4" s="1"/>
      <c r="M4" s="1"/>
      <c r="N4" s="1"/>
      <c r="O4" s="1"/>
      <c r="P4" s="1"/>
      <c r="Q4" s="1"/>
      <c r="R4" s="1"/>
    </row>
    <row r="5" spans="1:18" ht="22.05" customHeight="1">
      <c r="A5" s="3" t="s">
        <v>3095</v>
      </c>
      <c r="B5" s="1"/>
      <c r="C5" s="1"/>
      <c r="D5" s="1"/>
      <c r="E5" s="1"/>
      <c r="F5" s="1"/>
      <c r="G5" s="1"/>
      <c r="H5" s="1"/>
      <c r="I5" s="1"/>
      <c r="J5" s="1"/>
      <c r="K5" s="1"/>
      <c r="L5" s="1"/>
      <c r="M5" s="1"/>
      <c r="N5" s="1"/>
      <c r="O5" s="1"/>
      <c r="P5" s="1"/>
      <c r="Q5" s="1"/>
      <c r="R5" s="1"/>
    </row>
    <row r="6" spans="1:18" ht="43.05" customHeight="1">
      <c r="A6" s="7" t="s">
        <v>3096</v>
      </c>
      <c r="B6" s="7" t="s">
        <v>3097</v>
      </c>
      <c r="C6" s="7" t="s">
        <v>3098</v>
      </c>
      <c r="D6" s="7" t="s">
        <v>3099</v>
      </c>
      <c r="E6" s="7" t="s">
        <v>3100</v>
      </c>
      <c r="F6" s="7" t="s">
        <v>3101</v>
      </c>
      <c r="G6" s="7" t="s">
        <v>3102</v>
      </c>
      <c r="H6" s="7" t="s">
        <v>3103</v>
      </c>
      <c r="I6" s="7" t="s">
        <v>3104</v>
      </c>
      <c r="J6" s="7" t="s">
        <v>3105</v>
      </c>
      <c r="K6" s="7" t="s">
        <v>3106</v>
      </c>
      <c r="L6" s="7" t="s">
        <v>3107</v>
      </c>
      <c r="M6" s="7" t="s">
        <v>3108</v>
      </c>
      <c r="N6" s="7" t="s">
        <v>3109</v>
      </c>
      <c r="O6" s="7" t="s">
        <v>3110</v>
      </c>
      <c r="P6" s="7" t="s">
        <v>3111</v>
      </c>
      <c r="Q6" s="7" t="s">
        <v>3112</v>
      </c>
      <c r="R6" s="7" t="s">
        <v>3113</v>
      </c>
    </row>
    <row r="7" spans="1:18" ht="37.950000000000003" customHeight="1">
      <c r="A7" s="8">
        <v>3</v>
      </c>
      <c r="B7" s="8" t="s">
        <v>3114</v>
      </c>
      <c r="C7" s="8" t="s">
        <v>210</v>
      </c>
      <c r="D7" s="8" t="s">
        <v>211</v>
      </c>
      <c r="E7" s="8" t="s">
        <v>3115</v>
      </c>
      <c r="F7" s="8" t="s">
        <v>1061</v>
      </c>
      <c r="G7" s="8" t="s">
        <v>1734</v>
      </c>
      <c r="H7" s="8" t="s">
        <v>1062</v>
      </c>
      <c r="I7" s="8" t="s">
        <v>1735</v>
      </c>
      <c r="J7" s="8" t="s">
        <v>42</v>
      </c>
      <c r="K7" s="8" t="s">
        <v>40</v>
      </c>
      <c r="L7" s="8" t="s">
        <v>3116</v>
      </c>
      <c r="M7" s="8" t="s">
        <v>3117</v>
      </c>
      <c r="N7" s="8" t="s">
        <v>3118</v>
      </c>
      <c r="O7" s="8" t="s">
        <v>3119</v>
      </c>
      <c r="P7" s="8" t="s">
        <v>3120</v>
      </c>
      <c r="Q7" s="8" t="s">
        <v>3121</v>
      </c>
      <c r="R7" s="8" t="s">
        <v>3122</v>
      </c>
    </row>
    <row r="8" spans="1:18" ht="37.950000000000003" customHeight="1">
      <c r="A8" s="8">
        <v>4</v>
      </c>
      <c r="B8" s="8" t="s">
        <v>3114</v>
      </c>
      <c r="C8" s="8" t="s">
        <v>110</v>
      </c>
      <c r="D8" s="8" t="s">
        <v>111</v>
      </c>
      <c r="E8" s="8" t="s">
        <v>3123</v>
      </c>
      <c r="F8" s="8" t="s">
        <v>1200</v>
      </c>
      <c r="G8" s="8" t="s">
        <v>1690</v>
      </c>
      <c r="H8" s="8" t="s">
        <v>1201</v>
      </c>
      <c r="I8" s="8" t="s">
        <v>1691</v>
      </c>
      <c r="J8" s="8" t="s">
        <v>40</v>
      </c>
      <c r="K8" s="8" t="s">
        <v>40</v>
      </c>
      <c r="L8" s="8" t="s">
        <v>3124</v>
      </c>
      <c r="M8" s="8" t="s">
        <v>3117</v>
      </c>
      <c r="N8" s="8" t="s">
        <v>3125</v>
      </c>
      <c r="O8" s="8" t="s">
        <v>3126</v>
      </c>
      <c r="P8" s="8" t="s">
        <v>3127</v>
      </c>
      <c r="Q8" s="8" t="s">
        <v>3128</v>
      </c>
      <c r="R8" s="8" t="s">
        <v>3129</v>
      </c>
    </row>
    <row r="9" spans="1:18" ht="37.950000000000003" customHeight="1">
      <c r="A9" s="8">
        <v>5</v>
      </c>
      <c r="B9" s="8" t="s">
        <v>3114</v>
      </c>
      <c r="C9" s="8" t="s">
        <v>112</v>
      </c>
      <c r="D9" s="8" t="s">
        <v>113</v>
      </c>
      <c r="E9" s="8" t="s">
        <v>3130</v>
      </c>
      <c r="F9" s="8" t="s">
        <v>983</v>
      </c>
      <c r="G9" s="8" t="s">
        <v>1692</v>
      </c>
      <c r="H9" s="8" t="s">
        <v>984</v>
      </c>
      <c r="I9" s="8" t="s">
        <v>1693</v>
      </c>
      <c r="J9" s="8" t="s">
        <v>42</v>
      </c>
      <c r="K9" s="8" t="s">
        <v>40</v>
      </c>
      <c r="L9" s="8" t="s">
        <v>3131</v>
      </c>
      <c r="M9" s="8" t="s">
        <v>3117</v>
      </c>
      <c r="N9" s="8" t="s">
        <v>3125</v>
      </c>
      <c r="O9" s="8" t="s">
        <v>3126</v>
      </c>
      <c r="P9" s="8" t="s">
        <v>3132</v>
      </c>
      <c r="Q9" s="8" t="s">
        <v>3133</v>
      </c>
      <c r="R9" s="8" t="s">
        <v>3134</v>
      </c>
    </row>
    <row r="10" spans="1:18" ht="37.950000000000003" customHeight="1">
      <c r="A10" s="8">
        <v>6</v>
      </c>
      <c r="B10" s="8" t="s">
        <v>3114</v>
      </c>
      <c r="C10" s="8" t="s">
        <v>218</v>
      </c>
      <c r="D10" s="8" t="s">
        <v>219</v>
      </c>
      <c r="E10" s="8" t="s">
        <v>697</v>
      </c>
      <c r="F10" s="8" t="s">
        <v>696</v>
      </c>
      <c r="G10" s="8"/>
      <c r="H10" s="8" t="s">
        <v>697</v>
      </c>
      <c r="I10" s="8"/>
      <c r="J10" s="8" t="s">
        <v>24</v>
      </c>
      <c r="K10" s="8" t="s">
        <v>24</v>
      </c>
      <c r="L10" s="8" t="s">
        <v>3135</v>
      </c>
      <c r="M10" s="8" t="s">
        <v>3136</v>
      </c>
      <c r="N10" s="8" t="s">
        <v>3118</v>
      </c>
      <c r="O10" s="8" t="s">
        <v>3137</v>
      </c>
      <c r="P10" s="8" t="s">
        <v>3138</v>
      </c>
      <c r="Q10" s="8" t="s">
        <v>3139</v>
      </c>
      <c r="R10" s="8" t="s">
        <v>3140</v>
      </c>
    </row>
    <row r="11" spans="1:18" ht="37.950000000000003" customHeight="1">
      <c r="A11" s="8">
        <v>7</v>
      </c>
      <c r="B11" s="8" t="s">
        <v>3114</v>
      </c>
      <c r="C11" s="8" t="s">
        <v>116</v>
      </c>
      <c r="D11" s="8" t="s">
        <v>117</v>
      </c>
      <c r="E11" s="8" t="s">
        <v>3141</v>
      </c>
      <c r="F11" s="8" t="s">
        <v>987</v>
      </c>
      <c r="G11" s="8" t="s">
        <v>1697</v>
      </c>
      <c r="H11" s="8" t="s">
        <v>988</v>
      </c>
      <c r="I11" s="8" t="s">
        <v>1698</v>
      </c>
      <c r="J11" s="8" t="s">
        <v>42</v>
      </c>
      <c r="K11" s="8" t="s">
        <v>40</v>
      </c>
      <c r="L11" s="8" t="s">
        <v>3142</v>
      </c>
      <c r="M11" s="8" t="s">
        <v>3117</v>
      </c>
      <c r="N11" s="8" t="s">
        <v>3125</v>
      </c>
      <c r="O11" s="8" t="s">
        <v>3143</v>
      </c>
      <c r="P11" s="8" t="s">
        <v>3144</v>
      </c>
      <c r="Q11" s="8" t="s">
        <v>3128</v>
      </c>
      <c r="R11" s="8" t="s">
        <v>3129</v>
      </c>
    </row>
    <row r="12" spans="1:18" ht="37.950000000000003" customHeight="1">
      <c r="A12" s="8">
        <v>8</v>
      </c>
      <c r="B12" s="8" t="s">
        <v>3114</v>
      </c>
      <c r="C12" s="8" t="s">
        <v>116</v>
      </c>
      <c r="D12" s="8" t="s">
        <v>117</v>
      </c>
      <c r="E12" s="8" t="s">
        <v>3141</v>
      </c>
      <c r="F12" s="8" t="s">
        <v>987</v>
      </c>
      <c r="G12" s="8" t="s">
        <v>1697</v>
      </c>
      <c r="H12" s="8" t="s">
        <v>988</v>
      </c>
      <c r="I12" s="8" t="s">
        <v>1698</v>
      </c>
      <c r="J12" s="8" t="s">
        <v>42</v>
      </c>
      <c r="K12" s="8" t="s">
        <v>40</v>
      </c>
      <c r="L12" s="8" t="s">
        <v>3142</v>
      </c>
      <c r="M12" s="8" t="s">
        <v>3117</v>
      </c>
      <c r="N12" s="8" t="s">
        <v>3125</v>
      </c>
      <c r="O12" s="8" t="s">
        <v>3143</v>
      </c>
      <c r="P12" s="8" t="s">
        <v>3144</v>
      </c>
      <c r="Q12" s="8" t="s">
        <v>3128</v>
      </c>
      <c r="R12" s="8" t="s">
        <v>3129</v>
      </c>
    </row>
    <row r="13" spans="1:18" ht="37.950000000000003" customHeight="1">
      <c r="A13" s="8">
        <v>9</v>
      </c>
      <c r="B13" s="8" t="s">
        <v>3114</v>
      </c>
      <c r="C13" s="8" t="s">
        <v>226</v>
      </c>
      <c r="D13" s="8" t="s">
        <v>227</v>
      </c>
      <c r="E13" s="8" t="s">
        <v>3145</v>
      </c>
      <c r="F13" s="8" t="s">
        <v>1076</v>
      </c>
      <c r="G13" s="8" t="s">
        <v>1427</v>
      </c>
      <c r="H13" s="8" t="s">
        <v>1077</v>
      </c>
      <c r="I13" s="8" t="s">
        <v>1428</v>
      </c>
      <c r="J13" s="8" t="s">
        <v>42</v>
      </c>
      <c r="K13" s="8" t="s">
        <v>690</v>
      </c>
      <c r="L13" s="8" t="s">
        <v>3146</v>
      </c>
      <c r="M13" s="8" t="s">
        <v>3147</v>
      </c>
      <c r="N13" s="8" t="s">
        <v>3148</v>
      </c>
      <c r="O13" s="8" t="s">
        <v>3149</v>
      </c>
      <c r="P13" s="8" t="s">
        <v>3150</v>
      </c>
      <c r="Q13" s="8" t="s">
        <v>3151</v>
      </c>
      <c r="R13" s="8" t="s">
        <v>3152</v>
      </c>
    </row>
    <row r="14" spans="1:18" ht="37.950000000000003" customHeight="1">
      <c r="A14" s="8">
        <v>10</v>
      </c>
      <c r="B14" s="8" t="s">
        <v>3114</v>
      </c>
      <c r="C14" s="8" t="s">
        <v>234</v>
      </c>
      <c r="D14" s="8" t="s">
        <v>235</v>
      </c>
      <c r="E14" s="8" t="s">
        <v>2737</v>
      </c>
      <c r="F14" s="8" t="s">
        <v>1266</v>
      </c>
      <c r="G14" s="8"/>
      <c r="H14" s="8" t="s">
        <v>1267</v>
      </c>
      <c r="I14" s="8"/>
      <c r="J14" s="8" t="s">
        <v>40</v>
      </c>
      <c r="K14" s="8" t="s">
        <v>24</v>
      </c>
      <c r="L14" s="8" t="s">
        <v>3117</v>
      </c>
      <c r="M14" s="8" t="s">
        <v>3136</v>
      </c>
      <c r="N14" s="8" t="s">
        <v>3153</v>
      </c>
      <c r="O14" s="8" t="s">
        <v>1267</v>
      </c>
      <c r="P14" s="8" t="s">
        <v>3138</v>
      </c>
      <c r="Q14" s="8" t="s">
        <v>3154</v>
      </c>
      <c r="R14" s="8" t="s">
        <v>3155</v>
      </c>
    </row>
    <row r="15" spans="1:18" ht="37.950000000000003" customHeight="1">
      <c r="A15" s="8">
        <v>11</v>
      </c>
      <c r="B15" s="8" t="s">
        <v>3114</v>
      </c>
      <c r="C15" s="8" t="s">
        <v>246</v>
      </c>
      <c r="D15" s="8" t="s">
        <v>247</v>
      </c>
      <c r="E15" s="8" t="s">
        <v>701</v>
      </c>
      <c r="F15" s="8" t="s">
        <v>700</v>
      </c>
      <c r="G15" s="8" t="s">
        <v>1755</v>
      </c>
      <c r="H15" s="8" t="s">
        <v>701</v>
      </c>
      <c r="I15" s="8" t="s">
        <v>1756</v>
      </c>
      <c r="J15" s="8" t="s">
        <v>24</v>
      </c>
      <c r="K15" s="8" t="s">
        <v>40</v>
      </c>
      <c r="L15" s="8" t="s">
        <v>3156</v>
      </c>
      <c r="M15" s="8" t="s">
        <v>3117</v>
      </c>
      <c r="N15" s="8" t="s">
        <v>3157</v>
      </c>
      <c r="O15" s="8" t="s">
        <v>3158</v>
      </c>
      <c r="P15" s="8" t="s">
        <v>3159</v>
      </c>
      <c r="Q15" s="8" t="s">
        <v>3151</v>
      </c>
      <c r="R15" s="8" t="s">
        <v>3160</v>
      </c>
    </row>
    <row r="16" spans="1:18" ht="37.950000000000003" customHeight="1">
      <c r="A16" s="8">
        <v>12</v>
      </c>
      <c r="B16" s="8" t="s">
        <v>3114</v>
      </c>
      <c r="C16" s="8" t="s">
        <v>122</v>
      </c>
      <c r="D16" s="8" t="s">
        <v>123</v>
      </c>
      <c r="E16" s="8" t="s">
        <v>3161</v>
      </c>
      <c r="F16" s="8" t="s">
        <v>1206</v>
      </c>
      <c r="G16" s="8" t="s">
        <v>1418</v>
      </c>
      <c r="H16" s="8" t="s">
        <v>1207</v>
      </c>
      <c r="I16" s="8" t="s">
        <v>1419</v>
      </c>
      <c r="J16" s="8" t="s">
        <v>40</v>
      </c>
      <c r="K16" s="8" t="s">
        <v>690</v>
      </c>
      <c r="L16" s="8" t="s">
        <v>3117</v>
      </c>
      <c r="M16" s="8" t="s">
        <v>3162</v>
      </c>
      <c r="N16" s="8" t="s">
        <v>3125</v>
      </c>
      <c r="O16" s="8" t="s">
        <v>3163</v>
      </c>
      <c r="P16" s="8" t="s">
        <v>3164</v>
      </c>
      <c r="Q16" s="8" t="s">
        <v>3128</v>
      </c>
      <c r="R16" s="8" t="s">
        <v>3129</v>
      </c>
    </row>
    <row r="17" spans="1:18" ht="37.950000000000003" customHeight="1">
      <c r="A17" s="8">
        <v>13</v>
      </c>
      <c r="B17" s="8" t="s">
        <v>3114</v>
      </c>
      <c r="C17" s="8" t="s">
        <v>280</v>
      </c>
      <c r="D17" s="8" t="s">
        <v>281</v>
      </c>
      <c r="E17" s="8" t="s">
        <v>3165</v>
      </c>
      <c r="F17" s="8" t="s">
        <v>1287</v>
      </c>
      <c r="G17" s="8" t="s">
        <v>1450</v>
      </c>
      <c r="H17" s="8" t="s">
        <v>1288</v>
      </c>
      <c r="I17" s="8" t="s">
        <v>1451</v>
      </c>
      <c r="J17" s="8" t="s">
        <v>40</v>
      </c>
      <c r="K17" s="8" t="s">
        <v>40</v>
      </c>
      <c r="L17" s="8" t="s">
        <v>3117</v>
      </c>
      <c r="M17" s="8" t="s">
        <v>3117</v>
      </c>
      <c r="N17" s="8" t="s">
        <v>3166</v>
      </c>
      <c r="O17" s="8" t="s">
        <v>3167</v>
      </c>
      <c r="P17" s="8" t="s">
        <v>3168</v>
      </c>
      <c r="Q17" s="8" t="s">
        <v>3128</v>
      </c>
      <c r="R17" s="8" t="s">
        <v>3129</v>
      </c>
    </row>
    <row r="18" spans="1:18" ht="37.950000000000003" customHeight="1">
      <c r="A18" s="8">
        <v>14</v>
      </c>
      <c r="B18" s="8" t="s">
        <v>3114</v>
      </c>
      <c r="C18" s="8" t="s">
        <v>126</v>
      </c>
      <c r="D18" s="8" t="s">
        <v>127</v>
      </c>
      <c r="E18" s="8" t="s">
        <v>3169</v>
      </c>
      <c r="F18" s="8" t="s">
        <v>993</v>
      </c>
      <c r="G18" s="8"/>
      <c r="H18" s="8" t="s">
        <v>994</v>
      </c>
      <c r="I18" s="8"/>
      <c r="J18" s="8" t="s">
        <v>42</v>
      </c>
      <c r="K18" s="8" t="s">
        <v>24</v>
      </c>
      <c r="L18" s="8" t="s">
        <v>3131</v>
      </c>
      <c r="M18" s="8" t="s">
        <v>3136</v>
      </c>
      <c r="N18" s="8" t="s">
        <v>3125</v>
      </c>
      <c r="O18" s="8" t="s">
        <v>3170</v>
      </c>
      <c r="P18" s="8" t="s">
        <v>3171</v>
      </c>
      <c r="Q18" s="8" t="s">
        <v>3133</v>
      </c>
      <c r="R18" s="8" t="s">
        <v>3134</v>
      </c>
    </row>
    <row r="19" spans="1:18" ht="37.950000000000003" customHeight="1">
      <c r="A19" s="8">
        <v>15</v>
      </c>
      <c r="B19" s="8" t="s">
        <v>3114</v>
      </c>
      <c r="C19" s="8" t="s">
        <v>128</v>
      </c>
      <c r="D19" s="8" t="s">
        <v>129</v>
      </c>
      <c r="E19" s="8" t="s">
        <v>3172</v>
      </c>
      <c r="F19" s="8" t="s">
        <v>1209</v>
      </c>
      <c r="G19" s="8" t="s">
        <v>1421</v>
      </c>
      <c r="H19" s="8" t="s">
        <v>1210</v>
      </c>
      <c r="I19" s="8" t="s">
        <v>1422</v>
      </c>
      <c r="J19" s="8" t="s">
        <v>40</v>
      </c>
      <c r="K19" s="8" t="s">
        <v>40</v>
      </c>
      <c r="L19" s="8" t="s">
        <v>3117</v>
      </c>
      <c r="M19" s="8" t="s">
        <v>3117</v>
      </c>
      <c r="N19" s="8" t="s">
        <v>3125</v>
      </c>
      <c r="O19" s="8" t="s">
        <v>3173</v>
      </c>
      <c r="P19" s="8" t="s">
        <v>3174</v>
      </c>
      <c r="Q19" s="8" t="s">
        <v>3133</v>
      </c>
      <c r="R19" s="8" t="s">
        <v>3175</v>
      </c>
    </row>
    <row r="20" spans="1:18" ht="37.950000000000003" customHeight="1">
      <c r="A20" s="8">
        <v>16</v>
      </c>
      <c r="B20" s="8" t="s">
        <v>3114</v>
      </c>
      <c r="C20" s="8" t="s">
        <v>282</v>
      </c>
      <c r="D20" s="8" t="s">
        <v>283</v>
      </c>
      <c r="E20" s="8" t="s">
        <v>1291</v>
      </c>
      <c r="F20" s="8" t="s">
        <v>1290</v>
      </c>
      <c r="G20" s="8"/>
      <c r="H20" s="8" t="s">
        <v>1291</v>
      </c>
      <c r="I20" s="8"/>
      <c r="J20" s="8" t="s">
        <v>40</v>
      </c>
      <c r="K20" s="8" t="s">
        <v>24</v>
      </c>
      <c r="L20" s="8" t="s">
        <v>3117</v>
      </c>
      <c r="M20" s="8" t="s">
        <v>3136</v>
      </c>
      <c r="N20" s="8" t="s">
        <v>3166</v>
      </c>
      <c r="O20" s="8" t="s">
        <v>3176</v>
      </c>
      <c r="P20" s="8" t="s">
        <v>3164</v>
      </c>
      <c r="Q20" s="8" t="s">
        <v>3128</v>
      </c>
      <c r="R20" s="8" t="s">
        <v>3129</v>
      </c>
    </row>
    <row r="21" spans="1:18" ht="37.950000000000003" customHeight="1">
      <c r="A21" s="8">
        <v>17</v>
      </c>
      <c r="B21" s="8" t="s">
        <v>3114</v>
      </c>
      <c r="C21" s="8" t="s">
        <v>284</v>
      </c>
      <c r="D21" s="8" t="s">
        <v>285</v>
      </c>
      <c r="E21" s="8" t="s">
        <v>1294</v>
      </c>
      <c r="F21" s="8" t="s">
        <v>1293</v>
      </c>
      <c r="G21" s="8"/>
      <c r="H21" s="8" t="s">
        <v>1294</v>
      </c>
      <c r="I21" s="8"/>
      <c r="J21" s="8" t="s">
        <v>40</v>
      </c>
      <c r="K21" s="8" t="s">
        <v>24</v>
      </c>
      <c r="L21" s="8" t="s">
        <v>3117</v>
      </c>
      <c r="M21" s="8" t="s">
        <v>3136</v>
      </c>
      <c r="N21" s="8" t="s">
        <v>3166</v>
      </c>
      <c r="O21" s="8" t="s">
        <v>3177</v>
      </c>
      <c r="P21" s="8" t="s">
        <v>3164</v>
      </c>
      <c r="Q21" s="8" t="s">
        <v>3128</v>
      </c>
      <c r="R21" s="8" t="s">
        <v>3129</v>
      </c>
    </row>
    <row r="22" spans="1:18" ht="37.950000000000003" customHeight="1">
      <c r="A22" s="8">
        <v>18</v>
      </c>
      <c r="B22" s="8" t="s">
        <v>3114</v>
      </c>
      <c r="C22" s="8" t="s">
        <v>134</v>
      </c>
      <c r="D22" s="8" t="s">
        <v>135</v>
      </c>
      <c r="E22" s="8"/>
      <c r="F22" s="8" t="s">
        <v>1218</v>
      </c>
      <c r="G22" s="8"/>
      <c r="H22" s="8" t="s">
        <v>1219</v>
      </c>
      <c r="I22" s="8"/>
      <c r="J22" s="8" t="s">
        <v>40</v>
      </c>
      <c r="K22" s="8" t="s">
        <v>24</v>
      </c>
      <c r="L22" s="8" t="s">
        <v>3117</v>
      </c>
      <c r="M22" s="8" t="s">
        <v>3178</v>
      </c>
      <c r="N22" s="8" t="s">
        <v>3125</v>
      </c>
      <c r="O22" s="8" t="s">
        <v>1219</v>
      </c>
      <c r="P22" s="8" t="s">
        <v>3179</v>
      </c>
      <c r="Q22" s="8" t="s">
        <v>3128</v>
      </c>
      <c r="R22" s="8" t="s">
        <v>3129</v>
      </c>
    </row>
    <row r="23" spans="1:18" ht="37.950000000000003" customHeight="1">
      <c r="A23" s="8">
        <v>19</v>
      </c>
      <c r="B23" s="8" t="s">
        <v>3114</v>
      </c>
      <c r="C23" s="8" t="s">
        <v>136</v>
      </c>
      <c r="D23" s="8" t="s">
        <v>137</v>
      </c>
      <c r="E23" s="8"/>
      <c r="F23" s="8" t="s">
        <v>996</v>
      </c>
      <c r="G23" s="8"/>
      <c r="H23" s="8" t="s">
        <v>997</v>
      </c>
      <c r="I23" s="8"/>
      <c r="J23" s="8" t="s">
        <v>42</v>
      </c>
      <c r="K23" s="8" t="s">
        <v>24</v>
      </c>
      <c r="L23" s="8" t="s">
        <v>3131</v>
      </c>
      <c r="M23" s="8" t="s">
        <v>3178</v>
      </c>
      <c r="N23" s="8" t="s">
        <v>3125</v>
      </c>
      <c r="O23" s="8" t="s">
        <v>997</v>
      </c>
      <c r="P23" s="8" t="s">
        <v>3179</v>
      </c>
      <c r="Q23" s="8" t="s">
        <v>3128</v>
      </c>
      <c r="R23" s="8" t="s">
        <v>3129</v>
      </c>
    </row>
    <row r="24" spans="1:18" ht="37.950000000000003" customHeight="1">
      <c r="A24" s="8">
        <v>20</v>
      </c>
      <c r="B24" s="8" t="s">
        <v>3114</v>
      </c>
      <c r="C24" s="8" t="s">
        <v>138</v>
      </c>
      <c r="D24" s="8" t="s">
        <v>139</v>
      </c>
      <c r="E24" s="8"/>
      <c r="F24" s="8" t="s">
        <v>999</v>
      </c>
      <c r="G24" s="8"/>
      <c r="H24" s="8" t="s">
        <v>1000</v>
      </c>
      <c r="I24" s="8"/>
      <c r="J24" s="8" t="s">
        <v>42</v>
      </c>
      <c r="K24" s="8" t="s">
        <v>24</v>
      </c>
      <c r="L24" s="8" t="s">
        <v>3131</v>
      </c>
      <c r="M24" s="8" t="s">
        <v>3178</v>
      </c>
      <c r="N24" s="8" t="s">
        <v>3125</v>
      </c>
      <c r="O24" s="8" t="s">
        <v>1000</v>
      </c>
      <c r="P24" s="8" t="s">
        <v>3180</v>
      </c>
      <c r="Q24" s="8" t="s">
        <v>3181</v>
      </c>
      <c r="R24" s="8" t="s">
        <v>3129</v>
      </c>
    </row>
    <row r="25" spans="1:18" ht="37.950000000000003" customHeight="1">
      <c r="A25" s="8">
        <v>21</v>
      </c>
      <c r="B25" s="8" t="s">
        <v>3114</v>
      </c>
      <c r="C25" s="8" t="s">
        <v>140</v>
      </c>
      <c r="D25" s="8" t="s">
        <v>141</v>
      </c>
      <c r="E25" s="8" t="s">
        <v>732</v>
      </c>
      <c r="F25" s="8" t="s">
        <v>731</v>
      </c>
      <c r="G25" s="8" t="s">
        <v>1424</v>
      </c>
      <c r="H25" s="8" t="s">
        <v>732</v>
      </c>
      <c r="I25" s="8" t="s">
        <v>1425</v>
      </c>
      <c r="J25" s="8" t="s">
        <v>24</v>
      </c>
      <c r="K25" s="8" t="s">
        <v>690</v>
      </c>
      <c r="L25" s="8" t="s">
        <v>3182</v>
      </c>
      <c r="M25" s="8" t="s">
        <v>3183</v>
      </c>
      <c r="N25" s="8" t="s">
        <v>3125</v>
      </c>
      <c r="O25" s="8" t="s">
        <v>3138</v>
      </c>
      <c r="P25" s="8" t="s">
        <v>3138</v>
      </c>
      <c r="Q25" s="8" t="s">
        <v>3184</v>
      </c>
      <c r="R25" s="8" t="s">
        <v>3129</v>
      </c>
    </row>
    <row r="26" spans="1:18" ht="37.950000000000003" customHeight="1">
      <c r="A26" s="8">
        <v>22</v>
      </c>
      <c r="B26" s="8" t="s">
        <v>3114</v>
      </c>
      <c r="C26" s="8" t="s">
        <v>144</v>
      </c>
      <c r="D26" s="8" t="s">
        <v>145</v>
      </c>
      <c r="E26" s="8" t="s">
        <v>3185</v>
      </c>
      <c r="F26" s="8" t="s">
        <v>688</v>
      </c>
      <c r="G26" s="8" t="s">
        <v>1709</v>
      </c>
      <c r="H26" s="8" t="s">
        <v>689</v>
      </c>
      <c r="I26" s="8" t="s">
        <v>1710</v>
      </c>
      <c r="J26" s="8" t="s">
        <v>42</v>
      </c>
      <c r="K26" s="8" t="s">
        <v>40</v>
      </c>
      <c r="L26" s="8" t="s">
        <v>3186</v>
      </c>
      <c r="M26" s="8" t="s">
        <v>3117</v>
      </c>
      <c r="N26" s="8" t="s">
        <v>3187</v>
      </c>
      <c r="O26" s="8" t="s">
        <v>3188</v>
      </c>
      <c r="P26" s="8" t="s">
        <v>3189</v>
      </c>
      <c r="Q26" s="8" t="s">
        <v>3133</v>
      </c>
      <c r="R26" s="8" t="s">
        <v>3190</v>
      </c>
    </row>
    <row r="27" spans="1:18" ht="37.950000000000003" customHeight="1">
      <c r="A27" s="8">
        <v>23</v>
      </c>
      <c r="B27" s="8" t="s">
        <v>3114</v>
      </c>
      <c r="C27" s="8" t="s">
        <v>146</v>
      </c>
      <c r="D27" s="8" t="s">
        <v>147</v>
      </c>
      <c r="E27" s="8" t="s">
        <v>3191</v>
      </c>
      <c r="F27" s="8" t="s">
        <v>1004</v>
      </c>
      <c r="G27" s="8"/>
      <c r="H27" s="8" t="s">
        <v>1005</v>
      </c>
      <c r="I27" s="8"/>
      <c r="J27" s="8" t="s">
        <v>42</v>
      </c>
      <c r="K27" s="8" t="s">
        <v>24</v>
      </c>
      <c r="L27" s="8" t="s">
        <v>3131</v>
      </c>
      <c r="M27" s="8" t="s">
        <v>3178</v>
      </c>
      <c r="N27" s="8" t="s">
        <v>3187</v>
      </c>
      <c r="O27" s="8" t="s">
        <v>3192</v>
      </c>
      <c r="P27" s="8" t="s">
        <v>3193</v>
      </c>
      <c r="Q27" s="8" t="s">
        <v>3133</v>
      </c>
      <c r="R27" s="8" t="s">
        <v>3160</v>
      </c>
    </row>
    <row r="28" spans="1:18" ht="37.950000000000003" customHeight="1">
      <c r="A28" s="8">
        <v>24</v>
      </c>
      <c r="B28" s="8" t="s">
        <v>3114</v>
      </c>
      <c r="C28" s="8" t="s">
        <v>148</v>
      </c>
      <c r="D28" s="8" t="s">
        <v>149</v>
      </c>
      <c r="E28" s="8" t="s">
        <v>3194</v>
      </c>
      <c r="F28" s="8" t="s">
        <v>1007</v>
      </c>
      <c r="G28" s="8"/>
      <c r="H28" s="8" t="s">
        <v>1008</v>
      </c>
      <c r="I28" s="8"/>
      <c r="J28" s="8" t="s">
        <v>42</v>
      </c>
      <c r="K28" s="8" t="s">
        <v>24</v>
      </c>
      <c r="L28" s="8" t="s">
        <v>3131</v>
      </c>
      <c r="M28" s="8" t="s">
        <v>3178</v>
      </c>
      <c r="N28" s="8" t="s">
        <v>3187</v>
      </c>
      <c r="O28" s="8" t="s">
        <v>3195</v>
      </c>
      <c r="P28" s="8" t="s">
        <v>3196</v>
      </c>
      <c r="Q28" s="8" t="s">
        <v>3133</v>
      </c>
      <c r="R28" s="8" t="s">
        <v>3197</v>
      </c>
    </row>
    <row r="29" spans="1:18" ht="37.950000000000003" customHeight="1">
      <c r="A29" s="8">
        <v>25</v>
      </c>
      <c r="B29" s="8" t="s">
        <v>3114</v>
      </c>
      <c r="C29" s="8" t="s">
        <v>150</v>
      </c>
      <c r="D29" s="8" t="s">
        <v>151</v>
      </c>
      <c r="E29" s="8" t="s">
        <v>3198</v>
      </c>
      <c r="F29" s="8" t="s">
        <v>1010</v>
      </c>
      <c r="G29" s="8"/>
      <c r="H29" s="8" t="s">
        <v>1011</v>
      </c>
      <c r="I29" s="8"/>
      <c r="J29" s="8" t="s">
        <v>42</v>
      </c>
      <c r="K29" s="8" t="s">
        <v>24</v>
      </c>
      <c r="L29" s="8" t="s">
        <v>3131</v>
      </c>
      <c r="M29" s="8" t="s">
        <v>3136</v>
      </c>
      <c r="N29" s="8" t="s">
        <v>3187</v>
      </c>
      <c r="O29" s="8" t="s">
        <v>3199</v>
      </c>
      <c r="P29" s="8" t="s">
        <v>3196</v>
      </c>
      <c r="Q29" s="8" t="s">
        <v>3133</v>
      </c>
      <c r="R29" s="8" t="s">
        <v>3197</v>
      </c>
    </row>
    <row r="30" spans="1:18" ht="37.950000000000003" customHeight="1">
      <c r="A30" s="8">
        <v>26</v>
      </c>
      <c r="B30" s="8" t="s">
        <v>3114</v>
      </c>
      <c r="C30" s="8" t="s">
        <v>152</v>
      </c>
      <c r="D30" s="8" t="s">
        <v>153</v>
      </c>
      <c r="E30" s="8"/>
      <c r="F30" s="8" t="s">
        <v>1013</v>
      </c>
      <c r="G30" s="8"/>
      <c r="H30" s="8" t="s">
        <v>1014</v>
      </c>
      <c r="I30" s="8"/>
      <c r="J30" s="8" t="s">
        <v>42</v>
      </c>
      <c r="K30" s="8" t="s">
        <v>24</v>
      </c>
      <c r="L30" s="8" t="s">
        <v>3131</v>
      </c>
      <c r="M30" s="8" t="s">
        <v>3136</v>
      </c>
      <c r="N30" s="8" t="s">
        <v>3187</v>
      </c>
      <c r="O30" s="8" t="s">
        <v>1014</v>
      </c>
      <c r="P30" s="8" t="s">
        <v>3200</v>
      </c>
      <c r="Q30" s="8" t="s">
        <v>3133</v>
      </c>
      <c r="R30" s="8" t="s">
        <v>3160</v>
      </c>
    </row>
    <row r="31" spans="1:18" ht="37.950000000000003" customHeight="1">
      <c r="A31" s="8">
        <v>27</v>
      </c>
      <c r="B31" s="8" t="s">
        <v>3114</v>
      </c>
      <c r="C31" s="8" t="s">
        <v>154</v>
      </c>
      <c r="D31" s="8" t="s">
        <v>155</v>
      </c>
      <c r="E31" s="8"/>
      <c r="F31" s="8" t="s">
        <v>1016</v>
      </c>
      <c r="G31" s="8"/>
      <c r="H31" s="8" t="s">
        <v>1017</v>
      </c>
      <c r="I31" s="8"/>
      <c r="J31" s="8" t="s">
        <v>42</v>
      </c>
      <c r="K31" s="8" t="s">
        <v>24</v>
      </c>
      <c r="L31" s="8" t="s">
        <v>3131</v>
      </c>
      <c r="M31" s="8" t="s">
        <v>3178</v>
      </c>
      <c r="N31" s="8" t="s">
        <v>3187</v>
      </c>
      <c r="O31" s="8" t="s">
        <v>1017</v>
      </c>
      <c r="P31" s="8" t="s">
        <v>3201</v>
      </c>
      <c r="Q31" s="8" t="s">
        <v>3133</v>
      </c>
      <c r="R31" s="8" t="s">
        <v>3160</v>
      </c>
    </row>
    <row r="32" spans="1:18" ht="37.950000000000003" customHeight="1">
      <c r="A32" s="8">
        <v>28</v>
      </c>
      <c r="B32" s="8" t="s">
        <v>3114</v>
      </c>
      <c r="C32" s="8" t="s">
        <v>286</v>
      </c>
      <c r="D32" s="8" t="s">
        <v>287</v>
      </c>
      <c r="E32" s="8" t="s">
        <v>1104</v>
      </c>
      <c r="F32" s="8" t="s">
        <v>1103</v>
      </c>
      <c r="G32" s="8" t="s">
        <v>1771</v>
      </c>
      <c r="H32" s="8" t="s">
        <v>1104</v>
      </c>
      <c r="I32" s="8" t="s">
        <v>1772</v>
      </c>
      <c r="J32" s="8" t="s">
        <v>42</v>
      </c>
      <c r="K32" s="8" t="s">
        <v>40</v>
      </c>
      <c r="L32" s="8" t="s">
        <v>3202</v>
      </c>
      <c r="M32" s="8" t="s">
        <v>3117</v>
      </c>
      <c r="N32" s="8" t="s">
        <v>3166</v>
      </c>
      <c r="O32" s="8" t="s">
        <v>3203</v>
      </c>
      <c r="P32" s="8" t="s">
        <v>3164</v>
      </c>
      <c r="Q32" s="8" t="s">
        <v>3128</v>
      </c>
      <c r="R32" s="8" t="s">
        <v>3129</v>
      </c>
    </row>
    <row r="33" spans="1:18" ht="37.950000000000003" customHeight="1">
      <c r="A33" s="8">
        <v>29</v>
      </c>
      <c r="B33" s="8" t="s">
        <v>3114</v>
      </c>
      <c r="C33" s="8" t="s">
        <v>158</v>
      </c>
      <c r="D33" s="8" t="s">
        <v>159</v>
      </c>
      <c r="E33" s="8" t="s">
        <v>3204</v>
      </c>
      <c r="F33" s="8" t="s">
        <v>1019</v>
      </c>
      <c r="G33" s="8" t="s">
        <v>1712</v>
      </c>
      <c r="H33" s="8" t="s">
        <v>1020</v>
      </c>
      <c r="I33" s="8" t="s">
        <v>1713</v>
      </c>
      <c r="J33" s="8" t="s">
        <v>42</v>
      </c>
      <c r="K33" s="8" t="s">
        <v>40</v>
      </c>
      <c r="L33" s="8" t="s">
        <v>3205</v>
      </c>
      <c r="M33" s="8" t="s">
        <v>3117</v>
      </c>
      <c r="N33" s="8" t="s">
        <v>3206</v>
      </c>
      <c r="O33" s="8" t="s">
        <v>3207</v>
      </c>
      <c r="P33" s="8" t="s">
        <v>3208</v>
      </c>
      <c r="Q33" s="8" t="s">
        <v>3133</v>
      </c>
      <c r="R33" s="8" t="s">
        <v>3190</v>
      </c>
    </row>
    <row r="34" spans="1:18" ht="37.950000000000003" customHeight="1">
      <c r="A34" s="8">
        <v>30</v>
      </c>
      <c r="B34" s="8" t="s">
        <v>3114</v>
      </c>
      <c r="C34" s="8" t="s">
        <v>160</v>
      </c>
      <c r="D34" s="8" t="s">
        <v>161</v>
      </c>
      <c r="E34" s="8" t="s">
        <v>3209</v>
      </c>
      <c r="F34" s="8" t="s">
        <v>1022</v>
      </c>
      <c r="G34" s="8" t="s">
        <v>1715</v>
      </c>
      <c r="H34" s="8" t="s">
        <v>1023</v>
      </c>
      <c r="I34" s="8" t="s">
        <v>1716</v>
      </c>
      <c r="J34" s="8" t="s">
        <v>42</v>
      </c>
      <c r="K34" s="8" t="s">
        <v>40</v>
      </c>
      <c r="L34" s="8" t="s">
        <v>3131</v>
      </c>
      <c r="M34" s="8" t="s">
        <v>3117</v>
      </c>
      <c r="N34" s="8" t="s">
        <v>3206</v>
      </c>
      <c r="O34" s="8" t="s">
        <v>3210</v>
      </c>
      <c r="P34" s="8" t="s">
        <v>3208</v>
      </c>
      <c r="Q34" s="8" t="s">
        <v>3133</v>
      </c>
      <c r="R34" s="8" t="s">
        <v>3160</v>
      </c>
    </row>
    <row r="35" spans="1:18" ht="37.950000000000003" customHeight="1">
      <c r="A35" s="8">
        <v>31</v>
      </c>
      <c r="B35" s="8" t="s">
        <v>3114</v>
      </c>
      <c r="C35" s="8" t="s">
        <v>162</v>
      </c>
      <c r="D35" s="8" t="s">
        <v>163</v>
      </c>
      <c r="E35" s="8" t="s">
        <v>3211</v>
      </c>
      <c r="F35" s="8" t="s">
        <v>1025</v>
      </c>
      <c r="G35" s="8" t="s">
        <v>1718</v>
      </c>
      <c r="H35" s="8" t="s">
        <v>1026</v>
      </c>
      <c r="I35" s="8" t="s">
        <v>1719</v>
      </c>
      <c r="J35" s="8" t="s">
        <v>42</v>
      </c>
      <c r="K35" s="8" t="s">
        <v>40</v>
      </c>
      <c r="L35" s="8" t="s">
        <v>3131</v>
      </c>
      <c r="M35" s="8" t="s">
        <v>3117</v>
      </c>
      <c r="N35" s="8" t="s">
        <v>3206</v>
      </c>
      <c r="O35" s="8" t="s">
        <v>3212</v>
      </c>
      <c r="P35" s="8" t="s">
        <v>3213</v>
      </c>
      <c r="Q35" s="8" t="s">
        <v>3133</v>
      </c>
      <c r="R35" s="8" t="s">
        <v>3160</v>
      </c>
    </row>
    <row r="36" spans="1:18" ht="37.950000000000003" customHeight="1">
      <c r="A36" s="8">
        <v>32</v>
      </c>
      <c r="B36" s="8" t="s">
        <v>3114</v>
      </c>
      <c r="C36" s="8" t="s">
        <v>164</v>
      </c>
      <c r="D36" s="8" t="s">
        <v>165</v>
      </c>
      <c r="E36" s="8" t="s">
        <v>3214</v>
      </c>
      <c r="F36" s="8" t="s">
        <v>1028</v>
      </c>
      <c r="G36" s="8" t="s">
        <v>1721</v>
      </c>
      <c r="H36" s="8" t="s">
        <v>1029</v>
      </c>
      <c r="I36" s="8" t="s">
        <v>1722</v>
      </c>
      <c r="J36" s="8" t="s">
        <v>42</v>
      </c>
      <c r="K36" s="8" t="s">
        <v>40</v>
      </c>
      <c r="L36" s="8" t="s">
        <v>3131</v>
      </c>
      <c r="M36" s="8" t="s">
        <v>3117</v>
      </c>
      <c r="N36" s="8" t="s">
        <v>3206</v>
      </c>
      <c r="O36" s="8" t="s">
        <v>3215</v>
      </c>
      <c r="P36" s="8" t="s">
        <v>3216</v>
      </c>
      <c r="Q36" s="8" t="s">
        <v>3133</v>
      </c>
      <c r="R36" s="8" t="s">
        <v>3160</v>
      </c>
    </row>
    <row r="37" spans="1:18" ht="37.950000000000003" customHeight="1">
      <c r="A37" s="8">
        <v>33</v>
      </c>
      <c r="B37" s="8" t="s">
        <v>3114</v>
      </c>
      <c r="C37" s="8" t="s">
        <v>304</v>
      </c>
      <c r="D37" s="8" t="s">
        <v>305</v>
      </c>
      <c r="E37" s="8" t="s">
        <v>707</v>
      </c>
      <c r="F37" s="8" t="s">
        <v>706</v>
      </c>
      <c r="G37" s="8"/>
      <c r="H37" s="8" t="s">
        <v>707</v>
      </c>
      <c r="I37" s="8"/>
      <c r="J37" s="8" t="s">
        <v>24</v>
      </c>
      <c r="K37" s="8" t="s">
        <v>24</v>
      </c>
      <c r="L37" s="8" t="s">
        <v>3217</v>
      </c>
      <c r="M37" s="8" t="s">
        <v>3178</v>
      </c>
      <c r="N37" s="8" t="s">
        <v>3166</v>
      </c>
      <c r="O37" s="8" t="s">
        <v>3218</v>
      </c>
      <c r="P37" s="8" t="s">
        <v>3219</v>
      </c>
      <c r="Q37" s="8" t="s">
        <v>3128</v>
      </c>
      <c r="R37" s="8" t="s">
        <v>3129</v>
      </c>
    </row>
    <row r="38" spans="1:18" ht="37.950000000000003" customHeight="1">
      <c r="A38" s="8">
        <v>34</v>
      </c>
      <c r="B38" s="8" t="s">
        <v>3114</v>
      </c>
      <c r="C38" s="8" t="s">
        <v>168</v>
      </c>
      <c r="D38" s="8" t="s">
        <v>169</v>
      </c>
      <c r="E38" s="8" t="s">
        <v>3220</v>
      </c>
      <c r="F38" s="8" t="s">
        <v>1031</v>
      </c>
      <c r="G38" s="8"/>
      <c r="H38" s="8" t="s">
        <v>1032</v>
      </c>
      <c r="I38" s="8"/>
      <c r="J38" s="8" t="s">
        <v>42</v>
      </c>
      <c r="K38" s="8" t="s">
        <v>24</v>
      </c>
      <c r="L38" s="8" t="s">
        <v>3131</v>
      </c>
      <c r="M38" s="8" t="s">
        <v>3178</v>
      </c>
      <c r="N38" s="8" t="s">
        <v>3206</v>
      </c>
      <c r="O38" s="8" t="s">
        <v>3221</v>
      </c>
      <c r="P38" s="8" t="s">
        <v>3222</v>
      </c>
      <c r="Q38" s="8" t="s">
        <v>3133</v>
      </c>
      <c r="R38" s="8" t="s">
        <v>3160</v>
      </c>
    </row>
    <row r="39" spans="1:18" ht="37.950000000000003" customHeight="1">
      <c r="A39" s="8">
        <v>35</v>
      </c>
      <c r="B39" s="8" t="s">
        <v>3114</v>
      </c>
      <c r="C39" s="8" t="s">
        <v>170</v>
      </c>
      <c r="D39" s="8" t="s">
        <v>171</v>
      </c>
      <c r="E39" s="8"/>
      <c r="F39" s="8" t="s">
        <v>1034</v>
      </c>
      <c r="G39" s="8"/>
      <c r="H39" s="8" t="s">
        <v>1035</v>
      </c>
      <c r="I39" s="8"/>
      <c r="J39" s="8" t="s">
        <v>42</v>
      </c>
      <c r="K39" s="8" t="s">
        <v>24</v>
      </c>
      <c r="L39" s="8" t="s">
        <v>3131</v>
      </c>
      <c r="M39" s="8" t="s">
        <v>3178</v>
      </c>
      <c r="N39" s="8" t="s">
        <v>3206</v>
      </c>
      <c r="O39" s="8" t="s">
        <v>1035</v>
      </c>
      <c r="P39" s="8" t="s">
        <v>3223</v>
      </c>
      <c r="Q39" s="8" t="s">
        <v>3133</v>
      </c>
      <c r="R39" s="8" t="s">
        <v>3160</v>
      </c>
    </row>
    <row r="40" spans="1:18" ht="37.950000000000003" customHeight="1">
      <c r="A40" s="8">
        <v>36</v>
      </c>
      <c r="B40" s="8" t="s">
        <v>3114</v>
      </c>
      <c r="C40" s="8" t="s">
        <v>172</v>
      </c>
      <c r="D40" s="8" t="s">
        <v>173</v>
      </c>
      <c r="E40" s="8"/>
      <c r="F40" s="8" t="s">
        <v>1224</v>
      </c>
      <c r="G40" s="8"/>
      <c r="H40" s="8" t="s">
        <v>1225</v>
      </c>
      <c r="I40" s="8"/>
      <c r="J40" s="8" t="s">
        <v>40</v>
      </c>
      <c r="K40" s="8" t="s">
        <v>24</v>
      </c>
      <c r="L40" s="8" t="s">
        <v>3117</v>
      </c>
      <c r="M40" s="8" t="s">
        <v>3136</v>
      </c>
      <c r="N40" s="8" t="s">
        <v>3206</v>
      </c>
      <c r="O40" s="8" t="s">
        <v>3224</v>
      </c>
      <c r="P40" s="8" t="s">
        <v>3225</v>
      </c>
      <c r="Q40" s="8" t="s">
        <v>3133</v>
      </c>
      <c r="R40" s="8" t="s">
        <v>3160</v>
      </c>
    </row>
    <row r="41" spans="1:18" ht="37.950000000000003" customHeight="1">
      <c r="A41" s="8">
        <v>37</v>
      </c>
      <c r="B41" s="8" t="s">
        <v>3114</v>
      </c>
      <c r="C41" s="8" t="s">
        <v>174</v>
      </c>
      <c r="D41" s="8" t="s">
        <v>175</v>
      </c>
      <c r="E41" s="8"/>
      <c r="F41" s="8" t="s">
        <v>1037</v>
      </c>
      <c r="G41" s="8"/>
      <c r="H41" s="8" t="s">
        <v>1038</v>
      </c>
      <c r="I41" s="8"/>
      <c r="J41" s="8" t="s">
        <v>42</v>
      </c>
      <c r="K41" s="8" t="s">
        <v>24</v>
      </c>
      <c r="L41" s="8" t="s">
        <v>3131</v>
      </c>
      <c r="M41" s="8" t="s">
        <v>3136</v>
      </c>
      <c r="N41" s="8" t="s">
        <v>3206</v>
      </c>
      <c r="O41" s="8" t="s">
        <v>1038</v>
      </c>
      <c r="P41" s="8" t="s">
        <v>3226</v>
      </c>
      <c r="Q41" s="8" t="s">
        <v>3133</v>
      </c>
      <c r="R41" s="8" t="s">
        <v>3160</v>
      </c>
    </row>
    <row r="42" spans="1:18" ht="37.950000000000003" customHeight="1">
      <c r="A42" s="8">
        <v>38</v>
      </c>
      <c r="B42" s="8" t="s">
        <v>3114</v>
      </c>
      <c r="C42" s="8" t="s">
        <v>176</v>
      </c>
      <c r="D42" s="8" t="s">
        <v>177</v>
      </c>
      <c r="E42" s="8" t="s">
        <v>736</v>
      </c>
      <c r="F42" s="8" t="s">
        <v>735</v>
      </c>
      <c r="G42" s="8"/>
      <c r="H42" s="8" t="s">
        <v>736</v>
      </c>
      <c r="I42" s="8"/>
      <c r="J42" s="8" t="s">
        <v>24</v>
      </c>
      <c r="K42" s="8" t="s">
        <v>24</v>
      </c>
      <c r="L42" s="8" t="s">
        <v>3227</v>
      </c>
      <c r="M42" s="8" t="s">
        <v>3136</v>
      </c>
      <c r="N42" s="8" t="s">
        <v>3206</v>
      </c>
      <c r="O42" s="8" t="s">
        <v>3228</v>
      </c>
      <c r="P42" s="8" t="s">
        <v>3138</v>
      </c>
      <c r="Q42" s="8" t="s">
        <v>3133</v>
      </c>
      <c r="R42" s="8" t="s">
        <v>3229</v>
      </c>
    </row>
    <row r="43" spans="1:18" ht="37.950000000000003" customHeight="1">
      <c r="A43" s="8">
        <v>39</v>
      </c>
      <c r="B43" s="8" t="s">
        <v>3114</v>
      </c>
      <c r="C43" s="8" t="s">
        <v>178</v>
      </c>
      <c r="D43" s="8" t="s">
        <v>179</v>
      </c>
      <c r="E43" s="8"/>
      <c r="F43" s="8" t="s">
        <v>1227</v>
      </c>
      <c r="G43" s="8"/>
      <c r="H43" s="8" t="s">
        <v>1228</v>
      </c>
      <c r="I43" s="8"/>
      <c r="J43" s="8" t="s">
        <v>40</v>
      </c>
      <c r="K43" s="8" t="s">
        <v>24</v>
      </c>
      <c r="L43" s="8" t="s">
        <v>3117</v>
      </c>
      <c r="M43" s="8" t="s">
        <v>3178</v>
      </c>
      <c r="N43" s="8" t="s">
        <v>3230</v>
      </c>
      <c r="O43" s="8" t="s">
        <v>1228</v>
      </c>
      <c r="P43" s="8" t="s">
        <v>3127</v>
      </c>
      <c r="Q43" s="8" t="s">
        <v>3128</v>
      </c>
      <c r="R43" s="8" t="s">
        <v>3129</v>
      </c>
    </row>
    <row r="44" spans="1:18" ht="37.950000000000003" customHeight="1">
      <c r="A44" s="8">
        <v>40</v>
      </c>
      <c r="B44" s="8" t="s">
        <v>3114</v>
      </c>
      <c r="C44" s="8" t="s">
        <v>180</v>
      </c>
      <c r="D44" s="8" t="s">
        <v>181</v>
      </c>
      <c r="E44" s="8" t="s">
        <v>3231</v>
      </c>
      <c r="F44" s="8" t="s">
        <v>1040</v>
      </c>
      <c r="G44" s="8" t="s">
        <v>1724</v>
      </c>
      <c r="H44" s="8" t="s">
        <v>1041</v>
      </c>
      <c r="I44" s="8" t="s">
        <v>1725</v>
      </c>
      <c r="J44" s="8" t="s">
        <v>42</v>
      </c>
      <c r="K44" s="8" t="s">
        <v>40</v>
      </c>
      <c r="L44" s="8" t="s">
        <v>3232</v>
      </c>
      <c r="M44" s="8" t="s">
        <v>3117</v>
      </c>
      <c r="N44" s="8" t="s">
        <v>3230</v>
      </c>
      <c r="O44" s="8" t="s">
        <v>3233</v>
      </c>
      <c r="P44" s="8" t="s">
        <v>3234</v>
      </c>
      <c r="Q44" s="8" t="s">
        <v>3128</v>
      </c>
      <c r="R44" s="8" t="s">
        <v>3129</v>
      </c>
    </row>
    <row r="45" spans="1:18" ht="37.950000000000003" customHeight="1">
      <c r="A45" s="8">
        <v>41</v>
      </c>
      <c r="B45" s="8" t="s">
        <v>3114</v>
      </c>
      <c r="C45" s="8" t="s">
        <v>182</v>
      </c>
      <c r="D45" s="8" t="s">
        <v>183</v>
      </c>
      <c r="E45" s="8" t="s">
        <v>3235</v>
      </c>
      <c r="F45" s="8" t="s">
        <v>1230</v>
      </c>
      <c r="G45" s="8" t="s">
        <v>1727</v>
      </c>
      <c r="H45" s="8" t="s">
        <v>1231</v>
      </c>
      <c r="I45" s="8" t="s">
        <v>1728</v>
      </c>
      <c r="J45" s="8" t="s">
        <v>40</v>
      </c>
      <c r="K45" s="8" t="s">
        <v>40</v>
      </c>
      <c r="L45" s="8" t="s">
        <v>3236</v>
      </c>
      <c r="M45" s="8" t="s">
        <v>3117</v>
      </c>
      <c r="N45" s="8" t="s">
        <v>3230</v>
      </c>
      <c r="O45" s="8" t="s">
        <v>3237</v>
      </c>
      <c r="P45" s="8" t="s">
        <v>3238</v>
      </c>
      <c r="Q45" s="8" t="s">
        <v>3128</v>
      </c>
      <c r="R45" s="8" t="s">
        <v>3129</v>
      </c>
    </row>
    <row r="46" spans="1:18" ht="37.950000000000003" customHeight="1">
      <c r="A46" s="8">
        <v>42</v>
      </c>
      <c r="B46" s="8" t="s">
        <v>3114</v>
      </c>
      <c r="C46" s="8" t="s">
        <v>320</v>
      </c>
      <c r="D46" s="8" t="s">
        <v>321</v>
      </c>
      <c r="E46" s="8" t="s">
        <v>697</v>
      </c>
      <c r="F46" s="8" t="s">
        <v>763</v>
      </c>
      <c r="G46" s="8" t="s">
        <v>1436</v>
      </c>
      <c r="H46" s="8" t="s">
        <v>764</v>
      </c>
      <c r="I46" s="8" t="s">
        <v>1437</v>
      </c>
      <c r="J46" s="8" t="s">
        <v>40</v>
      </c>
      <c r="K46" s="8" t="s">
        <v>690</v>
      </c>
      <c r="L46" s="8" t="s">
        <v>3117</v>
      </c>
      <c r="M46" s="8" t="s">
        <v>3239</v>
      </c>
      <c r="N46" s="8" t="s">
        <v>3240</v>
      </c>
      <c r="O46" s="8" t="s">
        <v>3241</v>
      </c>
      <c r="P46" s="8" t="s">
        <v>3242</v>
      </c>
      <c r="Q46" s="8" t="s">
        <v>3243</v>
      </c>
      <c r="R46" s="8" t="s">
        <v>3160</v>
      </c>
    </row>
    <row r="47" spans="1:18" ht="37.950000000000003" customHeight="1">
      <c r="A47" s="8">
        <v>43</v>
      </c>
      <c r="B47" s="8" t="s">
        <v>3114</v>
      </c>
      <c r="C47" s="8" t="s">
        <v>186</v>
      </c>
      <c r="D47" s="8" t="s">
        <v>187</v>
      </c>
      <c r="E47" s="8"/>
      <c r="F47" s="8" t="s">
        <v>1043</v>
      </c>
      <c r="G47" s="8" t="s">
        <v>1731</v>
      </c>
      <c r="H47" s="8" t="s">
        <v>1044</v>
      </c>
      <c r="I47" s="8" t="s">
        <v>1732</v>
      </c>
      <c r="J47" s="8" t="s">
        <v>42</v>
      </c>
      <c r="K47" s="8" t="s">
        <v>40</v>
      </c>
      <c r="L47" s="8" t="s">
        <v>3131</v>
      </c>
      <c r="M47" s="8" t="s">
        <v>3117</v>
      </c>
      <c r="N47" s="8" t="s">
        <v>3230</v>
      </c>
      <c r="O47" s="8" t="s">
        <v>3244</v>
      </c>
      <c r="P47" s="8" t="s">
        <v>3234</v>
      </c>
      <c r="Q47" s="8" t="s">
        <v>3128</v>
      </c>
      <c r="R47" s="8" t="s">
        <v>3129</v>
      </c>
    </row>
    <row r="48" spans="1:18" ht="37.950000000000003" customHeight="1">
      <c r="A48" s="8">
        <v>44</v>
      </c>
      <c r="B48" s="8" t="s">
        <v>3114</v>
      </c>
      <c r="C48" s="8" t="s">
        <v>188</v>
      </c>
      <c r="D48" s="8" t="s">
        <v>189</v>
      </c>
      <c r="E48" s="8" t="s">
        <v>3245</v>
      </c>
      <c r="F48" s="8" t="s">
        <v>1046</v>
      </c>
      <c r="G48" s="8"/>
      <c r="H48" s="8" t="s">
        <v>1047</v>
      </c>
      <c r="I48" s="8"/>
      <c r="J48" s="8" t="s">
        <v>42</v>
      </c>
      <c r="K48" s="8" t="s">
        <v>24</v>
      </c>
      <c r="L48" s="8" t="s">
        <v>3131</v>
      </c>
      <c r="M48" s="8" t="s">
        <v>3178</v>
      </c>
      <c r="N48" s="8" t="s">
        <v>3230</v>
      </c>
      <c r="O48" s="8" t="s">
        <v>3246</v>
      </c>
      <c r="P48" s="8" t="s">
        <v>3247</v>
      </c>
      <c r="Q48" s="8" t="s">
        <v>3248</v>
      </c>
      <c r="R48" s="8" t="s">
        <v>3249</v>
      </c>
    </row>
    <row r="49" spans="1:18" ht="37.950000000000003" customHeight="1">
      <c r="A49" s="8">
        <v>45</v>
      </c>
      <c r="B49" s="8" t="s">
        <v>3114</v>
      </c>
      <c r="C49" s="8" t="s">
        <v>190</v>
      </c>
      <c r="D49" s="8" t="s">
        <v>191</v>
      </c>
      <c r="E49" s="8"/>
      <c r="F49" s="8" t="s">
        <v>1236</v>
      </c>
      <c r="G49" s="8" t="s">
        <v>1540</v>
      </c>
      <c r="H49" s="8" t="s">
        <v>1237</v>
      </c>
      <c r="I49" s="8" t="s">
        <v>1541</v>
      </c>
      <c r="J49" s="8" t="s">
        <v>40</v>
      </c>
      <c r="K49" s="8" t="s">
        <v>42</v>
      </c>
      <c r="L49" s="8" t="s">
        <v>3117</v>
      </c>
      <c r="M49" s="8" t="s">
        <v>3250</v>
      </c>
      <c r="N49" s="8" t="s">
        <v>3230</v>
      </c>
      <c r="O49" s="8" t="s">
        <v>1873</v>
      </c>
      <c r="P49" s="8" t="s">
        <v>3251</v>
      </c>
      <c r="Q49" s="8" t="s">
        <v>3133</v>
      </c>
      <c r="R49" s="8" t="s">
        <v>3160</v>
      </c>
    </row>
    <row r="50" spans="1:18" ht="37.950000000000003" customHeight="1">
      <c r="A50" s="8">
        <v>46</v>
      </c>
      <c r="B50" s="8" t="s">
        <v>3114</v>
      </c>
      <c r="C50" s="8" t="s">
        <v>192</v>
      </c>
      <c r="D50" s="8" t="s">
        <v>193</v>
      </c>
      <c r="E50" s="8" t="s">
        <v>1050</v>
      </c>
      <c r="F50" s="8" t="s">
        <v>1049</v>
      </c>
      <c r="G50" s="8"/>
      <c r="H50" s="8" t="s">
        <v>1050</v>
      </c>
      <c r="I50" s="8"/>
      <c r="J50" s="8" t="s">
        <v>42</v>
      </c>
      <c r="K50" s="8" t="s">
        <v>24</v>
      </c>
      <c r="L50" s="8" t="s">
        <v>3131</v>
      </c>
      <c r="M50" s="8" t="s">
        <v>3178</v>
      </c>
      <c r="N50" s="8" t="s">
        <v>3230</v>
      </c>
      <c r="O50" s="8" t="s">
        <v>3252</v>
      </c>
      <c r="P50" s="8" t="s">
        <v>3253</v>
      </c>
      <c r="Q50" s="8" t="s">
        <v>3133</v>
      </c>
      <c r="R50" s="8" t="s">
        <v>3160</v>
      </c>
    </row>
    <row r="51" spans="1:18" ht="37.950000000000003" customHeight="1">
      <c r="A51" s="8">
        <v>47</v>
      </c>
      <c r="B51" s="8" t="s">
        <v>3114</v>
      </c>
      <c r="C51" s="8" t="s">
        <v>194</v>
      </c>
      <c r="D51" s="8" t="s">
        <v>195</v>
      </c>
      <c r="E51" s="8"/>
      <c r="F51" s="8" t="s">
        <v>1052</v>
      </c>
      <c r="G51" s="8"/>
      <c r="H51" s="8" t="s">
        <v>1053</v>
      </c>
      <c r="I51" s="8"/>
      <c r="J51" s="8" t="s">
        <v>42</v>
      </c>
      <c r="K51" s="8" t="s">
        <v>24</v>
      </c>
      <c r="L51" s="8" t="s">
        <v>3131</v>
      </c>
      <c r="M51" s="8" t="s">
        <v>3178</v>
      </c>
      <c r="N51" s="8" t="s">
        <v>3230</v>
      </c>
      <c r="O51" s="8" t="s">
        <v>1053</v>
      </c>
      <c r="P51" s="8" t="s">
        <v>3254</v>
      </c>
      <c r="Q51" s="8" t="s">
        <v>3133</v>
      </c>
      <c r="R51" s="8" t="s">
        <v>3160</v>
      </c>
    </row>
    <row r="52" spans="1:18" ht="37.950000000000003" customHeight="1">
      <c r="A52" s="8">
        <v>48</v>
      </c>
      <c r="B52" s="8" t="s">
        <v>3114</v>
      </c>
      <c r="C52" s="8" t="s">
        <v>196</v>
      </c>
      <c r="D52" s="8" t="s">
        <v>197</v>
      </c>
      <c r="E52" s="8"/>
      <c r="F52" s="8" t="s">
        <v>738</v>
      </c>
      <c r="G52" s="8"/>
      <c r="H52" s="8" t="s">
        <v>739</v>
      </c>
      <c r="I52" s="8"/>
      <c r="J52" s="8" t="s">
        <v>24</v>
      </c>
      <c r="K52" s="8" t="s">
        <v>24</v>
      </c>
      <c r="L52" s="8" t="s">
        <v>3255</v>
      </c>
      <c r="M52" s="8" t="s">
        <v>3178</v>
      </c>
      <c r="N52" s="8" t="s">
        <v>3230</v>
      </c>
      <c r="O52" s="8" t="s">
        <v>739</v>
      </c>
      <c r="P52" s="8" t="s">
        <v>3234</v>
      </c>
      <c r="Q52" s="8" t="s">
        <v>3151</v>
      </c>
      <c r="R52" s="8" t="s">
        <v>3160</v>
      </c>
    </row>
    <row r="53" spans="1:18" ht="37.950000000000003" customHeight="1">
      <c r="A53" s="8">
        <v>49</v>
      </c>
      <c r="B53" s="8" t="s">
        <v>3114</v>
      </c>
      <c r="C53" s="8" t="s">
        <v>198</v>
      </c>
      <c r="D53" s="8" t="s">
        <v>199</v>
      </c>
      <c r="E53" s="8"/>
      <c r="F53" s="8" t="s">
        <v>1239</v>
      </c>
      <c r="G53" s="8"/>
      <c r="H53" s="8" t="s">
        <v>1240</v>
      </c>
      <c r="I53" s="8"/>
      <c r="J53" s="8" t="s">
        <v>40</v>
      </c>
      <c r="K53" s="8" t="s">
        <v>24</v>
      </c>
      <c r="L53" s="8" t="s">
        <v>3117</v>
      </c>
      <c r="M53" s="8" t="s">
        <v>3136</v>
      </c>
      <c r="N53" s="8" t="s">
        <v>3230</v>
      </c>
      <c r="O53" s="8" t="s">
        <v>1240</v>
      </c>
      <c r="P53" s="8" t="s">
        <v>3256</v>
      </c>
      <c r="Q53" s="8" t="s">
        <v>3128</v>
      </c>
      <c r="R53" s="8" t="s">
        <v>3129</v>
      </c>
    </row>
    <row r="54" spans="1:18" ht="37.950000000000003" customHeight="1">
      <c r="A54" s="8">
        <v>50</v>
      </c>
      <c r="B54" s="8" t="s">
        <v>3114</v>
      </c>
      <c r="C54" s="8" t="s">
        <v>200</v>
      </c>
      <c r="D54" s="8" t="s">
        <v>201</v>
      </c>
      <c r="E54" s="8"/>
      <c r="F54" s="8" t="s">
        <v>1242</v>
      </c>
      <c r="G54" s="8"/>
      <c r="H54" s="8" t="s">
        <v>1243</v>
      </c>
      <c r="I54" s="8"/>
      <c r="J54" s="8" t="s">
        <v>40</v>
      </c>
      <c r="K54" s="8" t="s">
        <v>24</v>
      </c>
      <c r="L54" s="8" t="s">
        <v>3117</v>
      </c>
      <c r="M54" s="8" t="s">
        <v>3178</v>
      </c>
      <c r="N54" s="8" t="s">
        <v>3230</v>
      </c>
      <c r="O54" s="8" t="s">
        <v>1243</v>
      </c>
      <c r="P54" s="8" t="s">
        <v>3257</v>
      </c>
      <c r="Q54" s="8" t="s">
        <v>3128</v>
      </c>
      <c r="R54" s="8" t="s">
        <v>3129</v>
      </c>
    </row>
    <row r="55" spans="1:18" ht="37.950000000000003" customHeight="1">
      <c r="A55" s="8">
        <v>51</v>
      </c>
      <c r="B55" s="8" t="s">
        <v>3114</v>
      </c>
      <c r="C55" s="8" t="s">
        <v>202</v>
      </c>
      <c r="D55" s="8" t="s">
        <v>203</v>
      </c>
      <c r="E55" s="8"/>
      <c r="F55" s="8" t="s">
        <v>1245</v>
      </c>
      <c r="G55" s="8"/>
      <c r="H55" s="8" t="s">
        <v>1246</v>
      </c>
      <c r="I55" s="8"/>
      <c r="J55" s="8" t="s">
        <v>40</v>
      </c>
      <c r="K55" s="8" t="s">
        <v>24</v>
      </c>
      <c r="L55" s="8" t="s">
        <v>3117</v>
      </c>
      <c r="M55" s="8" t="s">
        <v>3178</v>
      </c>
      <c r="N55" s="8" t="s">
        <v>3230</v>
      </c>
      <c r="O55" s="8" t="s">
        <v>1246</v>
      </c>
      <c r="P55" s="8" t="s">
        <v>3258</v>
      </c>
      <c r="Q55" s="8" t="s">
        <v>3128</v>
      </c>
      <c r="R55" s="8" t="s">
        <v>3129</v>
      </c>
    </row>
    <row r="56" spans="1:18" ht="37.950000000000003" customHeight="1">
      <c r="A56" s="8">
        <v>52</v>
      </c>
      <c r="B56" s="8" t="s">
        <v>3114</v>
      </c>
      <c r="C56" s="8" t="s">
        <v>204</v>
      </c>
      <c r="D56" s="8" t="s">
        <v>205</v>
      </c>
      <c r="E56" s="8"/>
      <c r="F56" s="8" t="s">
        <v>1055</v>
      </c>
      <c r="G56" s="8"/>
      <c r="H56" s="8" t="s">
        <v>1056</v>
      </c>
      <c r="I56" s="8"/>
      <c r="J56" s="8" t="s">
        <v>42</v>
      </c>
      <c r="K56" s="8" t="s">
        <v>24</v>
      </c>
      <c r="L56" s="8" t="s">
        <v>3131</v>
      </c>
      <c r="M56" s="8" t="s">
        <v>3178</v>
      </c>
      <c r="N56" s="8" t="s">
        <v>3230</v>
      </c>
      <c r="O56" s="8" t="s">
        <v>3259</v>
      </c>
      <c r="P56" s="8" t="s">
        <v>3260</v>
      </c>
      <c r="Q56" s="8" t="s">
        <v>3151</v>
      </c>
      <c r="R56" s="8" t="s">
        <v>3160</v>
      </c>
    </row>
    <row r="57" spans="1:18" ht="37.950000000000003" customHeight="1">
      <c r="A57" s="8">
        <v>53</v>
      </c>
      <c r="B57" s="8" t="s">
        <v>3114</v>
      </c>
      <c r="C57" s="8" t="s">
        <v>326</v>
      </c>
      <c r="D57" s="8" t="s">
        <v>327</v>
      </c>
      <c r="E57" s="8" t="s">
        <v>710</v>
      </c>
      <c r="F57" s="8" t="s">
        <v>709</v>
      </c>
      <c r="G57" s="8"/>
      <c r="H57" s="8" t="s">
        <v>710</v>
      </c>
      <c r="I57" s="8"/>
      <c r="J57" s="8" t="s">
        <v>24</v>
      </c>
      <c r="K57" s="8" t="s">
        <v>24</v>
      </c>
      <c r="L57" s="8" t="s">
        <v>3261</v>
      </c>
      <c r="M57" s="8" t="s">
        <v>3178</v>
      </c>
      <c r="N57" s="8" t="s">
        <v>3240</v>
      </c>
      <c r="O57" s="8" t="s">
        <v>3262</v>
      </c>
      <c r="P57" s="8" t="s">
        <v>3263</v>
      </c>
      <c r="Q57" s="8" t="s">
        <v>3151</v>
      </c>
      <c r="R57" s="8" t="s">
        <v>3264</v>
      </c>
    </row>
    <row r="58" spans="1:18" ht="37.950000000000003" customHeight="1">
      <c r="A58" s="8">
        <v>54</v>
      </c>
      <c r="B58" s="8" t="s">
        <v>3114</v>
      </c>
      <c r="C58" s="8" t="s">
        <v>208</v>
      </c>
      <c r="D58" s="8" t="s">
        <v>209</v>
      </c>
      <c r="E58" s="8"/>
      <c r="F58" s="8" t="s">
        <v>1248</v>
      </c>
      <c r="G58" s="8"/>
      <c r="H58" s="8" t="s">
        <v>1249</v>
      </c>
      <c r="I58" s="8"/>
      <c r="J58" s="8" t="s">
        <v>40</v>
      </c>
      <c r="K58" s="8" t="s">
        <v>24</v>
      </c>
      <c r="L58" s="8" t="s">
        <v>3117</v>
      </c>
      <c r="M58" s="8" t="s">
        <v>3136</v>
      </c>
      <c r="N58" s="8" t="s">
        <v>3230</v>
      </c>
      <c r="O58" s="8" t="s">
        <v>1249</v>
      </c>
      <c r="P58" s="8" t="s">
        <v>3234</v>
      </c>
      <c r="Q58" s="8" t="s">
        <v>3151</v>
      </c>
      <c r="R58" s="8" t="s">
        <v>3160</v>
      </c>
    </row>
    <row r="59" spans="1:18" ht="37.950000000000003" customHeight="1">
      <c r="A59" s="8">
        <v>55</v>
      </c>
      <c r="B59" s="8" t="s">
        <v>3114</v>
      </c>
      <c r="C59" s="8" t="s">
        <v>332</v>
      </c>
      <c r="D59" s="8" t="s">
        <v>333</v>
      </c>
      <c r="E59" s="8" t="s">
        <v>768</v>
      </c>
      <c r="F59" s="8" t="s">
        <v>767</v>
      </c>
      <c r="G59" s="8" t="s">
        <v>1784</v>
      </c>
      <c r="H59" s="8" t="s">
        <v>768</v>
      </c>
      <c r="I59" s="8" t="s">
        <v>1785</v>
      </c>
      <c r="J59" s="8" t="s">
        <v>24</v>
      </c>
      <c r="K59" s="8" t="s">
        <v>40</v>
      </c>
      <c r="L59" s="8" t="s">
        <v>3265</v>
      </c>
      <c r="M59" s="8" t="s">
        <v>3266</v>
      </c>
      <c r="N59" s="8" t="s">
        <v>3267</v>
      </c>
      <c r="O59" s="8" t="s">
        <v>3138</v>
      </c>
      <c r="P59" s="8" t="s">
        <v>3138</v>
      </c>
      <c r="Q59" s="8" t="s">
        <v>3268</v>
      </c>
      <c r="R59" s="8" t="s">
        <v>3269</v>
      </c>
    </row>
    <row r="60" spans="1:18" ht="37.950000000000003" customHeight="1">
      <c r="A60" s="8">
        <v>56</v>
      </c>
      <c r="B60" s="8" t="s">
        <v>3114</v>
      </c>
      <c r="C60" s="8" t="s">
        <v>344</v>
      </c>
      <c r="D60" s="8" t="s">
        <v>345</v>
      </c>
      <c r="E60" s="8" t="s">
        <v>3145</v>
      </c>
      <c r="F60" s="8" t="s">
        <v>1136</v>
      </c>
      <c r="G60" s="8"/>
      <c r="H60" s="8" t="s">
        <v>1137</v>
      </c>
      <c r="I60" s="8"/>
      <c r="J60" s="8" t="s">
        <v>42</v>
      </c>
      <c r="K60" s="8" t="s">
        <v>24</v>
      </c>
      <c r="L60" s="8" t="s">
        <v>3270</v>
      </c>
      <c r="M60" s="8" t="s">
        <v>3178</v>
      </c>
      <c r="N60" s="8" t="s">
        <v>3271</v>
      </c>
      <c r="O60" s="8" t="s">
        <v>3272</v>
      </c>
      <c r="P60" s="8" t="s">
        <v>3273</v>
      </c>
      <c r="Q60" s="8" t="s">
        <v>3274</v>
      </c>
      <c r="R60" s="8" t="s">
        <v>3155</v>
      </c>
    </row>
    <row r="61" spans="1:18" ht="37.950000000000003" customHeight="1">
      <c r="A61" s="8">
        <v>57</v>
      </c>
      <c r="B61" s="8" t="s">
        <v>3275</v>
      </c>
      <c r="C61" s="8" t="s">
        <v>371</v>
      </c>
      <c r="D61" s="8" t="s">
        <v>372</v>
      </c>
      <c r="E61" s="8" t="s">
        <v>3276</v>
      </c>
      <c r="F61" s="8" t="s">
        <v>712</v>
      </c>
      <c r="G61" s="8" t="s">
        <v>1439</v>
      </c>
      <c r="H61" s="8" t="s">
        <v>713</v>
      </c>
      <c r="I61" s="8" t="s">
        <v>1440</v>
      </c>
      <c r="J61" s="8" t="s">
        <v>40</v>
      </c>
      <c r="K61" s="8" t="s">
        <v>40</v>
      </c>
      <c r="L61" s="8" t="s">
        <v>3117</v>
      </c>
      <c r="M61" s="8" t="s">
        <v>3117</v>
      </c>
      <c r="N61" s="8" t="s">
        <v>3277</v>
      </c>
      <c r="O61" s="8"/>
      <c r="P61" s="8"/>
      <c r="Q61" s="8"/>
      <c r="R61" s="8"/>
    </row>
    <row r="62" spans="1:18" ht="37.950000000000003" customHeight="1">
      <c r="A62" s="8">
        <v>58</v>
      </c>
      <c r="B62" s="8" t="s">
        <v>3275</v>
      </c>
      <c r="C62" s="8" t="s">
        <v>389</v>
      </c>
      <c r="D62" s="8" t="s">
        <v>390</v>
      </c>
      <c r="E62" s="8" t="s">
        <v>3278</v>
      </c>
      <c r="F62" s="8" t="s">
        <v>716</v>
      </c>
      <c r="G62" s="8" t="s">
        <v>1460</v>
      </c>
      <c r="H62" s="8" t="s">
        <v>717</v>
      </c>
      <c r="I62" s="8" t="s">
        <v>1461</v>
      </c>
      <c r="J62" s="8" t="s">
        <v>42</v>
      </c>
      <c r="K62" s="8" t="s">
        <v>40</v>
      </c>
      <c r="L62" s="8" t="s">
        <v>3131</v>
      </c>
      <c r="M62" s="8" t="s">
        <v>3279</v>
      </c>
      <c r="N62" s="8" t="s">
        <v>3280</v>
      </c>
      <c r="O62" s="8"/>
      <c r="P62" s="8"/>
      <c r="Q62" s="8"/>
      <c r="R62" s="8"/>
    </row>
    <row r="63" spans="1:18" ht="37.950000000000003" customHeight="1">
      <c r="A63" s="8">
        <v>59</v>
      </c>
      <c r="B63" s="8" t="s">
        <v>3275</v>
      </c>
      <c r="C63" s="8" t="s">
        <v>391</v>
      </c>
      <c r="D63" s="8" t="s">
        <v>392</v>
      </c>
      <c r="E63" s="8" t="s">
        <v>3281</v>
      </c>
      <c r="F63" s="8" t="s">
        <v>779</v>
      </c>
      <c r="G63" s="8" t="s">
        <v>1463</v>
      </c>
      <c r="H63" s="8" t="s">
        <v>780</v>
      </c>
      <c r="I63" s="8" t="s">
        <v>1464</v>
      </c>
      <c r="J63" s="8" t="s">
        <v>40</v>
      </c>
      <c r="K63" s="8" t="s">
        <v>40</v>
      </c>
      <c r="L63" s="8" t="s">
        <v>3117</v>
      </c>
      <c r="M63" s="8" t="s">
        <v>3117</v>
      </c>
      <c r="N63" s="8" t="s">
        <v>3280</v>
      </c>
      <c r="O63" s="8"/>
      <c r="P63" s="8"/>
      <c r="Q63" s="8"/>
      <c r="R63" s="8"/>
    </row>
    <row r="64" spans="1:18" ht="37.950000000000003" customHeight="1">
      <c r="A64" s="8">
        <v>60</v>
      </c>
      <c r="B64" s="8" t="s">
        <v>3114</v>
      </c>
      <c r="C64" s="8" t="s">
        <v>220</v>
      </c>
      <c r="D64" s="8" t="s">
        <v>221</v>
      </c>
      <c r="E64" s="8" t="s">
        <v>3282</v>
      </c>
      <c r="F64" s="8" t="s">
        <v>1073</v>
      </c>
      <c r="G64" s="8" t="s">
        <v>1740</v>
      </c>
      <c r="H64" s="8" t="s">
        <v>1074</v>
      </c>
      <c r="I64" s="8" t="s">
        <v>1741</v>
      </c>
      <c r="J64" s="8" t="s">
        <v>42</v>
      </c>
      <c r="K64" s="8" t="s">
        <v>40</v>
      </c>
      <c r="L64" s="8" t="s">
        <v>3283</v>
      </c>
      <c r="M64" s="8" t="s">
        <v>3117</v>
      </c>
      <c r="N64" s="8" t="s">
        <v>3148</v>
      </c>
      <c r="O64" s="8" t="s">
        <v>3284</v>
      </c>
      <c r="P64" s="8" t="s">
        <v>3285</v>
      </c>
      <c r="Q64" s="8" t="s">
        <v>3133</v>
      </c>
      <c r="R64" s="8" t="s">
        <v>3190</v>
      </c>
    </row>
    <row r="65" spans="1:18" ht="37.950000000000003" customHeight="1">
      <c r="A65" s="8">
        <v>61</v>
      </c>
      <c r="B65" s="8" t="s">
        <v>3275</v>
      </c>
      <c r="C65" s="8" t="s">
        <v>393</v>
      </c>
      <c r="D65" s="8" t="s">
        <v>394</v>
      </c>
      <c r="E65" s="8" t="s">
        <v>3286</v>
      </c>
      <c r="F65" s="8" t="s">
        <v>782</v>
      </c>
      <c r="G65" s="8" t="s">
        <v>1465</v>
      </c>
      <c r="H65" s="8" t="s">
        <v>783</v>
      </c>
      <c r="I65" s="8" t="s">
        <v>1466</v>
      </c>
      <c r="J65" s="8" t="s">
        <v>40</v>
      </c>
      <c r="K65" s="8" t="s">
        <v>690</v>
      </c>
      <c r="L65" s="8" t="s">
        <v>3117</v>
      </c>
      <c r="M65" s="8" t="s">
        <v>3287</v>
      </c>
      <c r="N65" s="8" t="s">
        <v>3280</v>
      </c>
      <c r="O65" s="8"/>
      <c r="P65" s="8"/>
      <c r="Q65" s="8"/>
      <c r="R65" s="8"/>
    </row>
    <row r="66" spans="1:18" ht="37.950000000000003" customHeight="1">
      <c r="A66" s="8">
        <v>62</v>
      </c>
      <c r="B66" s="8" t="s">
        <v>3114</v>
      </c>
      <c r="C66" s="8" t="s">
        <v>224</v>
      </c>
      <c r="D66" s="8" t="s">
        <v>225</v>
      </c>
      <c r="E66" s="8" t="s">
        <v>3288</v>
      </c>
      <c r="F66" s="8" t="s">
        <v>1254</v>
      </c>
      <c r="G66" s="8" t="s">
        <v>1745</v>
      </c>
      <c r="H66" s="8" t="s">
        <v>1255</v>
      </c>
      <c r="I66" s="8" t="s">
        <v>1746</v>
      </c>
      <c r="J66" s="8" t="s">
        <v>40</v>
      </c>
      <c r="K66" s="8" t="s">
        <v>40</v>
      </c>
      <c r="L66" s="8" t="s">
        <v>3117</v>
      </c>
      <c r="M66" s="8" t="s">
        <v>3117</v>
      </c>
      <c r="N66" s="8" t="s">
        <v>3148</v>
      </c>
      <c r="O66" s="8" t="s">
        <v>3289</v>
      </c>
      <c r="P66" s="8" t="s">
        <v>3164</v>
      </c>
      <c r="Q66" s="8" t="s">
        <v>3151</v>
      </c>
      <c r="R66" s="8" t="s">
        <v>3160</v>
      </c>
    </row>
    <row r="67" spans="1:18" ht="37.950000000000003" customHeight="1">
      <c r="A67" s="8">
        <v>63</v>
      </c>
      <c r="B67" s="8" t="s">
        <v>3275</v>
      </c>
      <c r="C67" s="8" t="s">
        <v>395</v>
      </c>
      <c r="D67" s="8" t="s">
        <v>396</v>
      </c>
      <c r="E67" s="8" t="s">
        <v>3286</v>
      </c>
      <c r="F67" s="8" t="s">
        <v>785</v>
      </c>
      <c r="G67" s="8" t="s">
        <v>1465</v>
      </c>
      <c r="H67" s="8" t="s">
        <v>786</v>
      </c>
      <c r="I67" s="8" t="s">
        <v>1466</v>
      </c>
      <c r="J67" s="8" t="s">
        <v>40</v>
      </c>
      <c r="K67" s="8" t="s">
        <v>690</v>
      </c>
      <c r="L67" s="8" t="s">
        <v>3117</v>
      </c>
      <c r="M67" s="8" t="s">
        <v>3290</v>
      </c>
      <c r="N67" s="8" t="s">
        <v>3280</v>
      </c>
      <c r="O67" s="8"/>
      <c r="P67" s="8"/>
      <c r="Q67" s="8"/>
      <c r="R67" s="8"/>
    </row>
    <row r="68" spans="1:18" ht="37.950000000000003" customHeight="1">
      <c r="A68" s="8">
        <v>64</v>
      </c>
      <c r="B68" s="8" t="s">
        <v>3114</v>
      </c>
      <c r="C68" s="8" t="s">
        <v>228</v>
      </c>
      <c r="D68" s="8" t="s">
        <v>229</v>
      </c>
      <c r="E68" s="8" t="s">
        <v>2737</v>
      </c>
      <c r="F68" s="8" t="s">
        <v>1257</v>
      </c>
      <c r="G68" s="8" t="s">
        <v>1747</v>
      </c>
      <c r="H68" s="8" t="s">
        <v>1258</v>
      </c>
      <c r="I68" s="8" t="s">
        <v>1748</v>
      </c>
      <c r="J68" s="8" t="s">
        <v>40</v>
      </c>
      <c r="K68" s="8" t="s">
        <v>40</v>
      </c>
      <c r="L68" s="8" t="s">
        <v>3117</v>
      </c>
      <c r="M68" s="8" t="s">
        <v>3117</v>
      </c>
      <c r="N68" s="8" t="s">
        <v>3153</v>
      </c>
      <c r="O68" s="8" t="s">
        <v>3291</v>
      </c>
      <c r="P68" s="8" t="s">
        <v>3196</v>
      </c>
      <c r="Q68" s="8" t="s">
        <v>3133</v>
      </c>
      <c r="R68" s="8" t="s">
        <v>3190</v>
      </c>
    </row>
    <row r="69" spans="1:18" ht="37.950000000000003" customHeight="1">
      <c r="A69" s="8">
        <v>65</v>
      </c>
      <c r="B69" s="8" t="s">
        <v>3114</v>
      </c>
      <c r="C69" s="8" t="s">
        <v>230</v>
      </c>
      <c r="D69" s="8" t="s">
        <v>231</v>
      </c>
      <c r="E69" s="8" t="s">
        <v>3292</v>
      </c>
      <c r="F69" s="8" t="s">
        <v>1260</v>
      </c>
      <c r="G69" s="8"/>
      <c r="H69" s="8" t="s">
        <v>1261</v>
      </c>
      <c r="I69" s="8"/>
      <c r="J69" s="8" t="s">
        <v>40</v>
      </c>
      <c r="K69" s="8" t="s">
        <v>24</v>
      </c>
      <c r="L69" s="8" t="s">
        <v>3117</v>
      </c>
      <c r="M69" s="8" t="s">
        <v>3178</v>
      </c>
      <c r="N69" s="8" t="s">
        <v>3153</v>
      </c>
      <c r="O69" s="8" t="s">
        <v>3293</v>
      </c>
      <c r="P69" s="8" t="s">
        <v>3238</v>
      </c>
      <c r="Q69" s="8" t="s">
        <v>3128</v>
      </c>
      <c r="R69" s="8" t="s">
        <v>3129</v>
      </c>
    </row>
    <row r="70" spans="1:18" ht="37.950000000000003" customHeight="1">
      <c r="A70" s="8">
        <v>66</v>
      </c>
      <c r="B70" s="8" t="s">
        <v>3275</v>
      </c>
      <c r="C70" s="8" t="s">
        <v>397</v>
      </c>
      <c r="D70" s="8" t="s">
        <v>398</v>
      </c>
      <c r="E70" s="8" t="s">
        <v>3294</v>
      </c>
      <c r="F70" s="8" t="s">
        <v>1151</v>
      </c>
      <c r="G70" s="8" t="s">
        <v>1812</v>
      </c>
      <c r="H70" s="8" t="s">
        <v>1152</v>
      </c>
      <c r="I70" s="8" t="s">
        <v>1813</v>
      </c>
      <c r="J70" s="8" t="s">
        <v>42</v>
      </c>
      <c r="K70" s="8" t="s">
        <v>40</v>
      </c>
      <c r="L70" s="8" t="s">
        <v>3131</v>
      </c>
      <c r="M70" s="8" t="s">
        <v>3295</v>
      </c>
      <c r="N70" s="8" t="s">
        <v>3280</v>
      </c>
      <c r="O70" s="8"/>
      <c r="P70" s="8"/>
      <c r="Q70" s="8"/>
      <c r="R70" s="8"/>
    </row>
    <row r="71" spans="1:18" ht="37.950000000000003" customHeight="1">
      <c r="A71" s="8">
        <v>67</v>
      </c>
      <c r="B71" s="8" t="s">
        <v>3275</v>
      </c>
      <c r="C71" s="8" t="s">
        <v>405</v>
      </c>
      <c r="D71" s="8" t="s">
        <v>406</v>
      </c>
      <c r="E71" s="8" t="s">
        <v>1155</v>
      </c>
      <c r="F71" s="8" t="s">
        <v>1154</v>
      </c>
      <c r="G71" s="8" t="s">
        <v>1817</v>
      </c>
      <c r="H71" s="8" t="s">
        <v>1155</v>
      </c>
      <c r="I71" s="8" t="s">
        <v>406</v>
      </c>
      <c r="J71" s="8" t="s">
        <v>42</v>
      </c>
      <c r="K71" s="8" t="s">
        <v>40</v>
      </c>
      <c r="L71" s="8" t="s">
        <v>3131</v>
      </c>
      <c r="M71" s="8" t="s">
        <v>3117</v>
      </c>
      <c r="N71" s="8" t="s">
        <v>3280</v>
      </c>
      <c r="O71" s="8"/>
      <c r="P71" s="8"/>
      <c r="Q71" s="8"/>
      <c r="R71" s="8"/>
    </row>
    <row r="72" spans="1:18" ht="37.950000000000003" customHeight="1">
      <c r="A72" s="8">
        <v>68</v>
      </c>
      <c r="B72" s="8" t="s">
        <v>3114</v>
      </c>
      <c r="C72" s="8" t="s">
        <v>236</v>
      </c>
      <c r="D72" s="8" t="s">
        <v>237</v>
      </c>
      <c r="E72" s="8" t="s">
        <v>3296</v>
      </c>
      <c r="F72" s="8" t="s">
        <v>741</v>
      </c>
      <c r="G72" s="8" t="s">
        <v>1749</v>
      </c>
      <c r="H72" s="8" t="s">
        <v>742</v>
      </c>
      <c r="I72" s="8" t="s">
        <v>1750</v>
      </c>
      <c r="J72" s="8" t="s">
        <v>42</v>
      </c>
      <c r="K72" s="8" t="s">
        <v>40</v>
      </c>
      <c r="L72" s="8" t="s">
        <v>3297</v>
      </c>
      <c r="M72" s="8" t="s">
        <v>3117</v>
      </c>
      <c r="N72" s="8" t="s">
        <v>3157</v>
      </c>
      <c r="O72" s="8" t="s">
        <v>3298</v>
      </c>
      <c r="P72" s="8" t="s">
        <v>3299</v>
      </c>
      <c r="Q72" s="8" t="s">
        <v>3133</v>
      </c>
      <c r="R72" s="8" t="s">
        <v>3190</v>
      </c>
    </row>
    <row r="73" spans="1:18" ht="37.950000000000003" customHeight="1">
      <c r="A73" s="8">
        <v>69</v>
      </c>
      <c r="B73" s="8" t="s">
        <v>3275</v>
      </c>
      <c r="C73" s="8" t="s">
        <v>411</v>
      </c>
      <c r="D73" s="8" t="s">
        <v>412</v>
      </c>
      <c r="E73" s="8" t="s">
        <v>3300</v>
      </c>
      <c r="F73" s="8" t="s">
        <v>1157</v>
      </c>
      <c r="G73" s="8" t="s">
        <v>1469</v>
      </c>
      <c r="H73" s="8" t="s">
        <v>1158</v>
      </c>
      <c r="I73" s="8" t="s">
        <v>1470</v>
      </c>
      <c r="J73" s="8" t="s">
        <v>690</v>
      </c>
      <c r="K73" s="8" t="s">
        <v>42</v>
      </c>
      <c r="L73" s="8" t="s">
        <v>3301</v>
      </c>
      <c r="M73" s="8" t="s">
        <v>3302</v>
      </c>
      <c r="N73" s="8" t="s">
        <v>3303</v>
      </c>
      <c r="O73" s="8"/>
      <c r="P73" s="8"/>
      <c r="Q73" s="8"/>
      <c r="R73" s="8"/>
    </row>
    <row r="74" spans="1:18" ht="37.950000000000003" customHeight="1">
      <c r="A74" s="8">
        <v>70</v>
      </c>
      <c r="B74" s="8" t="s">
        <v>3114</v>
      </c>
      <c r="C74" s="8" t="s">
        <v>240</v>
      </c>
      <c r="D74" s="8" t="s">
        <v>241</v>
      </c>
      <c r="E74" s="8" t="s">
        <v>3304</v>
      </c>
      <c r="F74" s="8" t="s">
        <v>745</v>
      </c>
      <c r="G74" s="8" t="s">
        <v>1430</v>
      </c>
      <c r="H74" s="8" t="s">
        <v>746</v>
      </c>
      <c r="I74" s="8" t="s">
        <v>1431</v>
      </c>
      <c r="J74" s="8" t="s">
        <v>42</v>
      </c>
      <c r="K74" s="8" t="s">
        <v>40</v>
      </c>
      <c r="L74" s="8" t="s">
        <v>3305</v>
      </c>
      <c r="M74" s="8" t="s">
        <v>3117</v>
      </c>
      <c r="N74" s="8" t="s">
        <v>3157</v>
      </c>
      <c r="O74" s="8" t="s">
        <v>3306</v>
      </c>
      <c r="P74" s="8" t="s">
        <v>3307</v>
      </c>
      <c r="Q74" s="8" t="s">
        <v>3133</v>
      </c>
      <c r="R74" s="8" t="s">
        <v>3190</v>
      </c>
    </row>
    <row r="75" spans="1:18" ht="37.950000000000003" customHeight="1">
      <c r="A75" s="8">
        <v>71</v>
      </c>
      <c r="B75" s="8" t="s">
        <v>3275</v>
      </c>
      <c r="C75" s="8" t="s">
        <v>423</v>
      </c>
      <c r="D75" s="8" t="s">
        <v>424</v>
      </c>
      <c r="E75" s="8" t="s">
        <v>3308</v>
      </c>
      <c r="F75" s="8" t="s">
        <v>1163</v>
      </c>
      <c r="G75" s="8"/>
      <c r="H75" s="8" t="s">
        <v>1164</v>
      </c>
      <c r="I75" s="8"/>
      <c r="J75" s="8" t="s">
        <v>42</v>
      </c>
      <c r="K75" s="8" t="s">
        <v>24</v>
      </c>
      <c r="L75" s="8" t="s">
        <v>3131</v>
      </c>
      <c r="M75" s="8" t="s">
        <v>3136</v>
      </c>
      <c r="N75" s="8" t="s">
        <v>3303</v>
      </c>
      <c r="O75" s="8"/>
      <c r="P75" s="8"/>
      <c r="Q75" s="8"/>
      <c r="R75" s="8"/>
    </row>
    <row r="76" spans="1:18" ht="37.950000000000003" customHeight="1">
      <c r="A76" s="8">
        <v>72</v>
      </c>
      <c r="B76" s="8" t="s">
        <v>3114</v>
      </c>
      <c r="C76" s="8" t="s">
        <v>244</v>
      </c>
      <c r="D76" s="8" t="s">
        <v>245</v>
      </c>
      <c r="E76" s="8" t="s">
        <v>3304</v>
      </c>
      <c r="F76" s="8" t="s">
        <v>1269</v>
      </c>
      <c r="G76" s="8" t="s">
        <v>1430</v>
      </c>
      <c r="H76" s="8" t="s">
        <v>1270</v>
      </c>
      <c r="I76" s="8" t="s">
        <v>1431</v>
      </c>
      <c r="J76" s="8" t="s">
        <v>40</v>
      </c>
      <c r="K76" s="8" t="s">
        <v>42</v>
      </c>
      <c r="L76" s="8" t="s">
        <v>3117</v>
      </c>
      <c r="M76" s="8" t="s">
        <v>3131</v>
      </c>
      <c r="N76" s="8" t="s">
        <v>3157</v>
      </c>
      <c r="O76" s="8" t="s">
        <v>1270</v>
      </c>
      <c r="P76" s="8" t="s">
        <v>3309</v>
      </c>
      <c r="Q76" s="8" t="s">
        <v>3133</v>
      </c>
      <c r="R76" s="8" t="s">
        <v>3190</v>
      </c>
    </row>
    <row r="77" spans="1:18" ht="37.950000000000003" customHeight="1">
      <c r="A77" s="8">
        <v>73</v>
      </c>
      <c r="B77" s="8" t="s">
        <v>3275</v>
      </c>
      <c r="C77" s="8" t="s">
        <v>451</v>
      </c>
      <c r="D77" s="8" t="s">
        <v>452</v>
      </c>
      <c r="E77" s="8" t="s">
        <v>3300</v>
      </c>
      <c r="F77" s="8" t="s">
        <v>828</v>
      </c>
      <c r="G77" s="8"/>
      <c r="H77" s="8" t="s">
        <v>829</v>
      </c>
      <c r="I77" s="8"/>
      <c r="J77" s="8" t="s">
        <v>24</v>
      </c>
      <c r="K77" s="8" t="s">
        <v>24</v>
      </c>
      <c r="L77" s="8" t="s">
        <v>3310</v>
      </c>
      <c r="M77" s="8" t="s">
        <v>3136</v>
      </c>
      <c r="N77" s="8" t="s">
        <v>3311</v>
      </c>
      <c r="O77" s="8"/>
      <c r="P77" s="8"/>
      <c r="Q77" s="8"/>
      <c r="R77" s="8"/>
    </row>
    <row r="78" spans="1:18" ht="37.950000000000003" customHeight="1">
      <c r="A78" s="8">
        <v>74</v>
      </c>
      <c r="B78" s="8" t="s">
        <v>3114</v>
      </c>
      <c r="C78" s="8" t="s">
        <v>248</v>
      </c>
      <c r="D78" s="8" t="s">
        <v>249</v>
      </c>
      <c r="E78" s="8" t="s">
        <v>701</v>
      </c>
      <c r="F78" s="8" t="s">
        <v>700</v>
      </c>
      <c r="G78" s="8" t="s">
        <v>1758</v>
      </c>
      <c r="H78" s="8" t="s">
        <v>749</v>
      </c>
      <c r="I78" s="8" t="s">
        <v>1759</v>
      </c>
      <c r="J78" s="8" t="s">
        <v>40</v>
      </c>
      <c r="K78" s="8" t="s">
        <v>40</v>
      </c>
      <c r="L78" s="8" t="s">
        <v>3117</v>
      </c>
      <c r="M78" s="8" t="s">
        <v>3117</v>
      </c>
      <c r="N78" s="8" t="s">
        <v>3157</v>
      </c>
      <c r="O78" s="8" t="s">
        <v>3158</v>
      </c>
      <c r="P78" s="8" t="s">
        <v>3256</v>
      </c>
      <c r="Q78" s="8" t="s">
        <v>3128</v>
      </c>
      <c r="R78" s="8" t="s">
        <v>3129</v>
      </c>
    </row>
    <row r="79" spans="1:18" ht="37.950000000000003" customHeight="1">
      <c r="A79" s="8">
        <v>75</v>
      </c>
      <c r="B79" s="8" t="s">
        <v>3114</v>
      </c>
      <c r="C79" s="8" t="s">
        <v>250</v>
      </c>
      <c r="D79" s="8" t="s">
        <v>251</v>
      </c>
      <c r="E79" s="8"/>
      <c r="F79" s="8" t="s">
        <v>1272</v>
      </c>
      <c r="G79" s="8" t="s">
        <v>1761</v>
      </c>
      <c r="H79" s="8" t="s">
        <v>1273</v>
      </c>
      <c r="I79" s="8" t="s">
        <v>1762</v>
      </c>
      <c r="J79" s="8" t="s">
        <v>40</v>
      </c>
      <c r="K79" s="8" t="s">
        <v>40</v>
      </c>
      <c r="L79" s="8" t="s">
        <v>3117</v>
      </c>
      <c r="M79" s="8" t="s">
        <v>3117</v>
      </c>
      <c r="N79" s="8" t="s">
        <v>3157</v>
      </c>
      <c r="O79" s="8" t="s">
        <v>1273</v>
      </c>
      <c r="P79" s="8" t="s">
        <v>3256</v>
      </c>
      <c r="Q79" s="8" t="s">
        <v>3128</v>
      </c>
      <c r="R79" s="8" t="s">
        <v>3129</v>
      </c>
    </row>
    <row r="80" spans="1:18" ht="37.950000000000003" customHeight="1">
      <c r="A80" s="8">
        <v>76</v>
      </c>
      <c r="B80" s="8" t="s">
        <v>3114</v>
      </c>
      <c r="C80" s="8" t="s">
        <v>252</v>
      </c>
      <c r="D80" s="8" t="s">
        <v>253</v>
      </c>
      <c r="E80" s="8"/>
      <c r="F80" s="8" t="s">
        <v>1275</v>
      </c>
      <c r="G80" s="8"/>
      <c r="H80" s="8" t="s">
        <v>1276</v>
      </c>
      <c r="I80" s="8"/>
      <c r="J80" s="8" t="s">
        <v>40</v>
      </c>
      <c r="K80" s="8" t="s">
        <v>24</v>
      </c>
      <c r="L80" s="8" t="s">
        <v>3117</v>
      </c>
      <c r="M80" s="8" t="s">
        <v>3178</v>
      </c>
      <c r="N80" s="8" t="s">
        <v>3157</v>
      </c>
      <c r="O80" s="8" t="s">
        <v>3312</v>
      </c>
      <c r="P80" s="8" t="s">
        <v>3138</v>
      </c>
      <c r="Q80" s="8" t="s">
        <v>3313</v>
      </c>
      <c r="R80" s="8" t="s">
        <v>3129</v>
      </c>
    </row>
    <row r="81" spans="1:18" ht="37.950000000000003" customHeight="1">
      <c r="A81" s="8">
        <v>77</v>
      </c>
      <c r="B81" s="8" t="s">
        <v>3314</v>
      </c>
      <c r="C81" s="8" t="s">
        <v>486</v>
      </c>
      <c r="D81" s="8" t="s">
        <v>487</v>
      </c>
      <c r="E81" s="8" t="s">
        <v>3315</v>
      </c>
      <c r="F81" s="8" t="s">
        <v>848</v>
      </c>
      <c r="G81" s="8"/>
      <c r="H81" s="8" t="s">
        <v>849</v>
      </c>
      <c r="I81" s="8"/>
      <c r="J81" s="8" t="s">
        <v>24</v>
      </c>
      <c r="K81" s="8" t="s">
        <v>24</v>
      </c>
      <c r="L81" s="8" t="s">
        <v>3316</v>
      </c>
      <c r="M81" s="8" t="s">
        <v>3136</v>
      </c>
      <c r="N81" s="8" t="s">
        <v>3317</v>
      </c>
      <c r="O81" s="8"/>
      <c r="P81" s="8"/>
      <c r="Q81" s="8"/>
      <c r="R81" s="8"/>
    </row>
    <row r="82" spans="1:18" ht="37.950000000000003" customHeight="1">
      <c r="A82" s="8">
        <v>78</v>
      </c>
      <c r="B82" s="8" t="s">
        <v>3114</v>
      </c>
      <c r="C82" s="8" t="s">
        <v>256</v>
      </c>
      <c r="D82" s="8" t="s">
        <v>257</v>
      </c>
      <c r="E82" s="8"/>
      <c r="F82" s="8" t="s">
        <v>1278</v>
      </c>
      <c r="G82" s="8" t="s">
        <v>1763</v>
      </c>
      <c r="H82" s="8" t="s">
        <v>1279</v>
      </c>
      <c r="I82" s="8" t="s">
        <v>1764</v>
      </c>
      <c r="J82" s="8" t="s">
        <v>40</v>
      </c>
      <c r="K82" s="8" t="s">
        <v>40</v>
      </c>
      <c r="L82" s="8" t="s">
        <v>3117</v>
      </c>
      <c r="M82" s="8" t="s">
        <v>3117</v>
      </c>
      <c r="N82" s="8" t="s">
        <v>3157</v>
      </c>
      <c r="O82" s="8" t="s">
        <v>1279</v>
      </c>
      <c r="P82" s="8" t="s">
        <v>3318</v>
      </c>
      <c r="Q82" s="8" t="s">
        <v>3128</v>
      </c>
      <c r="R82" s="8" t="s">
        <v>3129</v>
      </c>
    </row>
    <row r="83" spans="1:18" ht="37.950000000000003" customHeight="1">
      <c r="A83" s="8">
        <v>79</v>
      </c>
      <c r="B83" s="8" t="s">
        <v>3114</v>
      </c>
      <c r="C83" s="8" t="s">
        <v>258</v>
      </c>
      <c r="D83" s="8" t="s">
        <v>259</v>
      </c>
      <c r="E83" s="8"/>
      <c r="F83" s="8" t="s">
        <v>1281</v>
      </c>
      <c r="G83" s="8"/>
      <c r="H83" s="8" t="s">
        <v>1282</v>
      </c>
      <c r="I83" s="8"/>
      <c r="J83" s="8" t="s">
        <v>40</v>
      </c>
      <c r="K83" s="8" t="s">
        <v>24</v>
      </c>
      <c r="L83" s="8" t="s">
        <v>3117</v>
      </c>
      <c r="M83" s="8" t="s">
        <v>3136</v>
      </c>
      <c r="N83" s="8" t="s">
        <v>3157</v>
      </c>
      <c r="O83" s="8" t="s">
        <v>3319</v>
      </c>
      <c r="P83" s="8" t="s">
        <v>3138</v>
      </c>
      <c r="Q83" s="8" t="s">
        <v>3320</v>
      </c>
      <c r="R83" s="8" t="s">
        <v>3129</v>
      </c>
    </row>
    <row r="84" spans="1:18" ht="37.950000000000003" customHeight="1">
      <c r="A84" s="8">
        <v>80</v>
      </c>
      <c r="B84" s="8" t="s">
        <v>3114</v>
      </c>
      <c r="C84" s="8" t="s">
        <v>260</v>
      </c>
      <c r="D84" s="8" t="s">
        <v>261</v>
      </c>
      <c r="E84" s="8" t="s">
        <v>3321</v>
      </c>
      <c r="F84" s="8" t="s">
        <v>1082</v>
      </c>
      <c r="G84" s="8" t="s">
        <v>1765</v>
      </c>
      <c r="H84" s="8" t="s">
        <v>1083</v>
      </c>
      <c r="I84" s="8" t="s">
        <v>1766</v>
      </c>
      <c r="J84" s="8" t="s">
        <v>42</v>
      </c>
      <c r="K84" s="8" t="s">
        <v>40</v>
      </c>
      <c r="L84" s="8" t="s">
        <v>3322</v>
      </c>
      <c r="M84" s="8" t="s">
        <v>3117</v>
      </c>
      <c r="N84" s="8" t="s">
        <v>3323</v>
      </c>
      <c r="O84" s="8" t="s">
        <v>3324</v>
      </c>
      <c r="P84" s="8" t="s">
        <v>3299</v>
      </c>
      <c r="Q84" s="8" t="s">
        <v>3133</v>
      </c>
      <c r="R84" s="8" t="s">
        <v>3190</v>
      </c>
    </row>
    <row r="85" spans="1:18" ht="37.950000000000003" customHeight="1">
      <c r="A85" s="8">
        <v>81</v>
      </c>
      <c r="B85" s="8" t="s">
        <v>3114</v>
      </c>
      <c r="C85" s="8" t="s">
        <v>262</v>
      </c>
      <c r="D85" s="8" t="s">
        <v>263</v>
      </c>
      <c r="E85" s="8" t="s">
        <v>3325</v>
      </c>
      <c r="F85" s="8" t="s">
        <v>1085</v>
      </c>
      <c r="G85" s="8"/>
      <c r="H85" s="8" t="s">
        <v>1086</v>
      </c>
      <c r="I85" s="8"/>
      <c r="J85" s="8" t="s">
        <v>42</v>
      </c>
      <c r="K85" s="8" t="s">
        <v>24</v>
      </c>
      <c r="L85" s="8" t="s">
        <v>3131</v>
      </c>
      <c r="M85" s="8" t="s">
        <v>3178</v>
      </c>
      <c r="N85" s="8" t="s">
        <v>3323</v>
      </c>
      <c r="O85" s="8" t="s">
        <v>3326</v>
      </c>
      <c r="P85" s="8" t="s">
        <v>3174</v>
      </c>
      <c r="Q85" s="8" t="s">
        <v>3151</v>
      </c>
      <c r="R85" s="8" t="s">
        <v>3160</v>
      </c>
    </row>
    <row r="86" spans="1:18" ht="37.950000000000003" customHeight="1">
      <c r="A86" s="8">
        <v>82</v>
      </c>
      <c r="B86" s="8" t="s">
        <v>3314</v>
      </c>
      <c r="C86" s="8" t="s">
        <v>488</v>
      </c>
      <c r="D86" s="8" t="s">
        <v>489</v>
      </c>
      <c r="E86" s="8" t="s">
        <v>3327</v>
      </c>
      <c r="F86" s="8" t="s">
        <v>851</v>
      </c>
      <c r="G86" s="8"/>
      <c r="H86" s="8" t="s">
        <v>852</v>
      </c>
      <c r="I86" s="8"/>
      <c r="J86" s="8" t="s">
        <v>40</v>
      </c>
      <c r="K86" s="8" t="s">
        <v>24</v>
      </c>
      <c r="L86" s="8" t="s">
        <v>3328</v>
      </c>
      <c r="M86" s="8" t="s">
        <v>3178</v>
      </c>
      <c r="N86" s="8" t="s">
        <v>3329</v>
      </c>
      <c r="O86" s="8"/>
      <c r="P86" s="8"/>
      <c r="Q86" s="8"/>
      <c r="R86" s="8"/>
    </row>
    <row r="87" spans="1:18" ht="37.950000000000003" customHeight="1">
      <c r="A87" s="8">
        <v>83</v>
      </c>
      <c r="B87" s="8" t="s">
        <v>3314</v>
      </c>
      <c r="C87" s="8" t="s">
        <v>490</v>
      </c>
      <c r="D87" s="8" t="s">
        <v>491</v>
      </c>
      <c r="E87" s="8" t="s">
        <v>3330</v>
      </c>
      <c r="F87" s="8" t="s">
        <v>1392</v>
      </c>
      <c r="G87" s="8"/>
      <c r="H87" s="8" t="s">
        <v>1393</v>
      </c>
      <c r="I87" s="8"/>
      <c r="J87" s="8" t="s">
        <v>40</v>
      </c>
      <c r="K87" s="8" t="s">
        <v>24</v>
      </c>
      <c r="L87" s="8" t="s">
        <v>3117</v>
      </c>
      <c r="M87" s="8" t="s">
        <v>3136</v>
      </c>
      <c r="N87" s="8" t="s">
        <v>3329</v>
      </c>
      <c r="O87" s="8"/>
      <c r="P87" s="8"/>
      <c r="Q87" s="8"/>
      <c r="R87" s="8"/>
    </row>
    <row r="88" spans="1:18" ht="37.950000000000003" customHeight="1">
      <c r="A88" s="8">
        <v>84</v>
      </c>
      <c r="B88" s="8" t="s">
        <v>3114</v>
      </c>
      <c r="C88" s="8" t="s">
        <v>268</v>
      </c>
      <c r="D88" s="8" t="s">
        <v>269</v>
      </c>
      <c r="E88" s="8" t="s">
        <v>3331</v>
      </c>
      <c r="F88" s="8" t="s">
        <v>1088</v>
      </c>
      <c r="G88" s="8"/>
      <c r="H88" s="8" t="s">
        <v>1089</v>
      </c>
      <c r="I88" s="8"/>
      <c r="J88" s="8" t="s">
        <v>42</v>
      </c>
      <c r="K88" s="8" t="s">
        <v>24</v>
      </c>
      <c r="L88" s="8" t="s">
        <v>3131</v>
      </c>
      <c r="M88" s="8" t="s">
        <v>3178</v>
      </c>
      <c r="N88" s="8" t="s">
        <v>3323</v>
      </c>
      <c r="O88" s="8" t="s">
        <v>3332</v>
      </c>
      <c r="P88" s="8" t="s">
        <v>3333</v>
      </c>
      <c r="Q88" s="8" t="s">
        <v>3133</v>
      </c>
      <c r="R88" s="8" t="s">
        <v>3134</v>
      </c>
    </row>
    <row r="89" spans="1:18" ht="37.950000000000003" customHeight="1">
      <c r="A89" s="8">
        <v>85</v>
      </c>
      <c r="B89" s="8" t="s">
        <v>3314</v>
      </c>
      <c r="C89" s="8" t="s">
        <v>492</v>
      </c>
      <c r="D89" s="8" t="s">
        <v>493</v>
      </c>
      <c r="E89" s="8" t="s">
        <v>3327</v>
      </c>
      <c r="F89" s="8" t="s">
        <v>851</v>
      </c>
      <c r="G89" s="8"/>
      <c r="H89" s="8" t="s">
        <v>852</v>
      </c>
      <c r="I89" s="8"/>
      <c r="J89" s="8" t="s">
        <v>42</v>
      </c>
      <c r="K89" s="8" t="s">
        <v>24</v>
      </c>
      <c r="L89" s="8" t="s">
        <v>3131</v>
      </c>
      <c r="M89" s="8" t="s">
        <v>3178</v>
      </c>
      <c r="N89" s="8" t="s">
        <v>3329</v>
      </c>
      <c r="O89" s="8"/>
      <c r="P89" s="8"/>
      <c r="Q89" s="8"/>
      <c r="R89" s="8"/>
    </row>
    <row r="90" spans="1:18" ht="37.950000000000003" customHeight="1">
      <c r="A90" s="8">
        <v>86</v>
      </c>
      <c r="B90" s="8" t="s">
        <v>3114</v>
      </c>
      <c r="C90" s="8" t="s">
        <v>272</v>
      </c>
      <c r="D90" s="8" t="s">
        <v>273</v>
      </c>
      <c r="E90" s="8" t="s">
        <v>3334</v>
      </c>
      <c r="F90" s="8" t="s">
        <v>1094</v>
      </c>
      <c r="G90" s="8" t="s">
        <v>1768</v>
      </c>
      <c r="H90" s="8" t="s">
        <v>1095</v>
      </c>
      <c r="I90" s="8" t="s">
        <v>1769</v>
      </c>
      <c r="J90" s="8" t="s">
        <v>42</v>
      </c>
      <c r="K90" s="8" t="s">
        <v>40</v>
      </c>
      <c r="L90" s="8" t="s">
        <v>3335</v>
      </c>
      <c r="M90" s="8" t="s">
        <v>3117</v>
      </c>
      <c r="N90" s="8" t="s">
        <v>3336</v>
      </c>
      <c r="O90" s="8" t="s">
        <v>3337</v>
      </c>
      <c r="P90" s="8" t="s">
        <v>3338</v>
      </c>
      <c r="Q90" s="8" t="s">
        <v>3151</v>
      </c>
      <c r="R90" s="8" t="s">
        <v>3190</v>
      </c>
    </row>
    <row r="91" spans="1:18" ht="37.950000000000003" customHeight="1">
      <c r="A91" s="8">
        <v>87</v>
      </c>
      <c r="B91" s="8" t="s">
        <v>3114</v>
      </c>
      <c r="C91" s="8" t="s">
        <v>274</v>
      </c>
      <c r="D91" s="8" t="s">
        <v>275</v>
      </c>
      <c r="E91" s="8" t="s">
        <v>3339</v>
      </c>
      <c r="F91" s="8" t="s">
        <v>1097</v>
      </c>
      <c r="G91" s="8"/>
      <c r="H91" s="8" t="s">
        <v>1098</v>
      </c>
      <c r="I91" s="8"/>
      <c r="J91" s="8" t="s">
        <v>42</v>
      </c>
      <c r="K91" s="8" t="s">
        <v>24</v>
      </c>
      <c r="L91" s="8" t="s">
        <v>3131</v>
      </c>
      <c r="M91" s="8" t="s">
        <v>3136</v>
      </c>
      <c r="N91" s="8" t="s">
        <v>3336</v>
      </c>
      <c r="O91" s="8" t="s">
        <v>3340</v>
      </c>
      <c r="P91" s="8" t="s">
        <v>3341</v>
      </c>
      <c r="Q91" s="8" t="s">
        <v>3151</v>
      </c>
      <c r="R91" s="8" t="s">
        <v>3160</v>
      </c>
    </row>
    <row r="92" spans="1:18" ht="37.950000000000003" customHeight="1">
      <c r="A92" s="8">
        <v>88</v>
      </c>
      <c r="B92" s="8" t="s">
        <v>3314</v>
      </c>
      <c r="C92" s="8" t="s">
        <v>494</v>
      </c>
      <c r="D92" s="8" t="s">
        <v>495</v>
      </c>
      <c r="E92" s="8" t="s">
        <v>856</v>
      </c>
      <c r="F92" s="8" t="s">
        <v>855</v>
      </c>
      <c r="G92" s="8"/>
      <c r="H92" s="8" t="s">
        <v>856</v>
      </c>
      <c r="I92" s="8"/>
      <c r="J92" s="8" t="s">
        <v>24</v>
      </c>
      <c r="K92" s="8" t="s">
        <v>24</v>
      </c>
      <c r="L92" s="8" t="s">
        <v>3342</v>
      </c>
      <c r="M92" s="8" t="s">
        <v>3178</v>
      </c>
      <c r="N92" s="8" t="s">
        <v>3329</v>
      </c>
      <c r="O92" s="8"/>
      <c r="P92" s="8"/>
      <c r="Q92" s="8"/>
      <c r="R92" s="8"/>
    </row>
    <row r="93" spans="1:18" ht="37.950000000000003" customHeight="1">
      <c r="A93" s="8">
        <v>89</v>
      </c>
      <c r="B93" s="8" t="s">
        <v>3114</v>
      </c>
      <c r="C93" s="8" t="s">
        <v>278</v>
      </c>
      <c r="D93" s="8" t="s">
        <v>279</v>
      </c>
      <c r="E93" s="8"/>
      <c r="F93" s="8" t="s">
        <v>1284</v>
      </c>
      <c r="G93" s="8"/>
      <c r="H93" s="8" t="s">
        <v>1285</v>
      </c>
      <c r="I93" s="8"/>
      <c r="J93" s="8" t="s">
        <v>40</v>
      </c>
      <c r="K93" s="8" t="s">
        <v>24</v>
      </c>
      <c r="L93" s="8" t="s">
        <v>3343</v>
      </c>
      <c r="M93" s="8" t="s">
        <v>3178</v>
      </c>
      <c r="N93" s="8" t="s">
        <v>3336</v>
      </c>
      <c r="O93" s="8" t="s">
        <v>3344</v>
      </c>
      <c r="P93" s="8" t="s">
        <v>3138</v>
      </c>
      <c r="Q93" s="8" t="s">
        <v>3345</v>
      </c>
      <c r="R93" s="8" t="s">
        <v>3160</v>
      </c>
    </row>
    <row r="94" spans="1:18" ht="37.950000000000003" customHeight="1">
      <c r="A94" s="8">
        <v>90</v>
      </c>
      <c r="B94" s="8" t="s">
        <v>3314</v>
      </c>
      <c r="C94" s="8" t="s">
        <v>498</v>
      </c>
      <c r="D94" s="8" t="s">
        <v>499</v>
      </c>
      <c r="E94" s="8" t="s">
        <v>862</v>
      </c>
      <c r="F94" s="8" t="s">
        <v>861</v>
      </c>
      <c r="G94" s="8"/>
      <c r="H94" s="8" t="s">
        <v>862</v>
      </c>
      <c r="I94" s="8"/>
      <c r="J94" s="8" t="s">
        <v>42</v>
      </c>
      <c r="K94" s="8" t="s">
        <v>24</v>
      </c>
      <c r="L94" s="8" t="s">
        <v>3131</v>
      </c>
      <c r="M94" s="8" t="s">
        <v>3178</v>
      </c>
      <c r="N94" s="8" t="s">
        <v>3329</v>
      </c>
      <c r="O94" s="8"/>
      <c r="P94" s="8"/>
      <c r="Q94" s="8"/>
      <c r="R94" s="8"/>
    </row>
    <row r="95" spans="1:18" ht="37.950000000000003" customHeight="1">
      <c r="A95" s="8">
        <v>91</v>
      </c>
      <c r="B95" s="8" t="s">
        <v>3314</v>
      </c>
      <c r="C95" s="8" t="s">
        <v>500</v>
      </c>
      <c r="D95" s="8" t="s">
        <v>501</v>
      </c>
      <c r="E95" s="8" t="s">
        <v>724</v>
      </c>
      <c r="F95" s="8" t="s">
        <v>723</v>
      </c>
      <c r="G95" s="8"/>
      <c r="H95" s="8" t="s">
        <v>864</v>
      </c>
      <c r="I95" s="8"/>
      <c r="J95" s="8" t="s">
        <v>42</v>
      </c>
      <c r="K95" s="8" t="s">
        <v>24</v>
      </c>
      <c r="L95" s="8" t="s">
        <v>3131</v>
      </c>
      <c r="M95" s="8" t="s">
        <v>3136</v>
      </c>
      <c r="N95" s="8" t="s">
        <v>3329</v>
      </c>
      <c r="O95" s="8"/>
      <c r="P95" s="8"/>
      <c r="Q95" s="8"/>
      <c r="R95" s="8"/>
    </row>
    <row r="96" spans="1:18" ht="37.950000000000003" customHeight="1">
      <c r="A96" s="8">
        <v>92</v>
      </c>
      <c r="B96" s="8" t="s">
        <v>3314</v>
      </c>
      <c r="C96" s="8" t="s">
        <v>506</v>
      </c>
      <c r="D96" s="8" t="s">
        <v>507</v>
      </c>
      <c r="E96" s="8" t="s">
        <v>870</v>
      </c>
      <c r="F96" s="8" t="s">
        <v>869</v>
      </c>
      <c r="G96" s="8"/>
      <c r="H96" s="8" t="s">
        <v>870</v>
      </c>
      <c r="I96" s="8"/>
      <c r="J96" s="8" t="s">
        <v>40</v>
      </c>
      <c r="K96" s="8" t="s">
        <v>24</v>
      </c>
      <c r="L96" s="8" t="s">
        <v>3346</v>
      </c>
      <c r="M96" s="8" t="s">
        <v>3136</v>
      </c>
      <c r="N96" s="8" t="s">
        <v>3347</v>
      </c>
      <c r="O96" s="8"/>
      <c r="P96" s="8"/>
      <c r="Q96" s="8"/>
      <c r="R96" s="8"/>
    </row>
    <row r="97" spans="1:18" ht="37.950000000000003" customHeight="1">
      <c r="A97" s="8">
        <v>93</v>
      </c>
      <c r="B97" s="8" t="s">
        <v>3314</v>
      </c>
      <c r="C97" s="8" t="s">
        <v>510</v>
      </c>
      <c r="D97" s="8" t="s">
        <v>511</v>
      </c>
      <c r="E97" s="8" t="s">
        <v>876</v>
      </c>
      <c r="F97" s="8" t="s">
        <v>875</v>
      </c>
      <c r="G97" s="8"/>
      <c r="H97" s="8" t="s">
        <v>876</v>
      </c>
      <c r="I97" s="8"/>
      <c r="J97" s="8" t="s">
        <v>24</v>
      </c>
      <c r="K97" s="8" t="s">
        <v>24</v>
      </c>
      <c r="L97" s="8" t="s">
        <v>3348</v>
      </c>
      <c r="M97" s="8" t="s">
        <v>3136</v>
      </c>
      <c r="N97" s="8" t="s">
        <v>3347</v>
      </c>
      <c r="O97" s="8"/>
      <c r="P97" s="8"/>
      <c r="Q97" s="8"/>
      <c r="R97" s="8"/>
    </row>
    <row r="98" spans="1:18" ht="37.950000000000003" customHeight="1">
      <c r="A98" s="8">
        <v>94</v>
      </c>
      <c r="B98" s="8" t="s">
        <v>3114</v>
      </c>
      <c r="C98" s="8" t="s">
        <v>288</v>
      </c>
      <c r="D98" s="8" t="s">
        <v>289</v>
      </c>
      <c r="E98" s="8"/>
      <c r="F98" s="8" t="s">
        <v>1296</v>
      </c>
      <c r="G98" s="8" t="s">
        <v>1774</v>
      </c>
      <c r="H98" s="8" t="s">
        <v>1297</v>
      </c>
      <c r="I98" s="8" t="s">
        <v>1775</v>
      </c>
      <c r="J98" s="8" t="s">
        <v>40</v>
      </c>
      <c r="K98" s="8" t="s">
        <v>40</v>
      </c>
      <c r="L98" s="8" t="s">
        <v>3117</v>
      </c>
      <c r="M98" s="8" t="s">
        <v>3117</v>
      </c>
      <c r="N98" s="8" t="s">
        <v>3166</v>
      </c>
      <c r="O98" s="8" t="s">
        <v>1297</v>
      </c>
      <c r="P98" s="8" t="s">
        <v>3164</v>
      </c>
      <c r="Q98" s="8" t="s">
        <v>3128</v>
      </c>
      <c r="R98" s="8" t="s">
        <v>3129</v>
      </c>
    </row>
    <row r="99" spans="1:18" ht="37.950000000000003" customHeight="1">
      <c r="A99" s="8">
        <v>95</v>
      </c>
      <c r="B99" s="8" t="s">
        <v>3114</v>
      </c>
      <c r="C99" s="8" t="s">
        <v>290</v>
      </c>
      <c r="D99" s="8" t="s">
        <v>291</v>
      </c>
      <c r="E99" s="8"/>
      <c r="F99" s="8" t="s">
        <v>1106</v>
      </c>
      <c r="G99" s="8"/>
      <c r="H99" s="8" t="s">
        <v>1107</v>
      </c>
      <c r="I99" s="8"/>
      <c r="J99" s="8" t="s">
        <v>42</v>
      </c>
      <c r="K99" s="8" t="s">
        <v>24</v>
      </c>
      <c r="L99" s="8" t="s">
        <v>3349</v>
      </c>
      <c r="M99" s="8" t="s">
        <v>3136</v>
      </c>
      <c r="N99" s="8" t="s">
        <v>3166</v>
      </c>
      <c r="O99" s="8" t="s">
        <v>3350</v>
      </c>
      <c r="P99" s="8" t="s">
        <v>3164</v>
      </c>
      <c r="Q99" s="8" t="s">
        <v>3128</v>
      </c>
      <c r="R99" s="8" t="s">
        <v>3129</v>
      </c>
    </row>
    <row r="100" spans="1:18" ht="37.950000000000003" customHeight="1">
      <c r="A100" s="8">
        <v>96</v>
      </c>
      <c r="B100" s="8" t="s">
        <v>3114</v>
      </c>
      <c r="C100" s="8" t="s">
        <v>292</v>
      </c>
      <c r="D100" s="8" t="s">
        <v>293</v>
      </c>
      <c r="E100" s="8"/>
      <c r="F100" s="8" t="s">
        <v>1299</v>
      </c>
      <c r="G100" s="8" t="s">
        <v>1776</v>
      </c>
      <c r="H100" s="8" t="s">
        <v>1300</v>
      </c>
      <c r="I100" s="8" t="s">
        <v>1777</v>
      </c>
      <c r="J100" s="8" t="s">
        <v>40</v>
      </c>
      <c r="K100" s="8" t="s">
        <v>40</v>
      </c>
      <c r="L100" s="8" t="s">
        <v>3117</v>
      </c>
      <c r="M100" s="8" t="s">
        <v>3117</v>
      </c>
      <c r="N100" s="8" t="s">
        <v>3166</v>
      </c>
      <c r="O100" s="8" t="s">
        <v>1300</v>
      </c>
      <c r="P100" s="8" t="s">
        <v>3351</v>
      </c>
      <c r="Q100" s="8" t="s">
        <v>3128</v>
      </c>
      <c r="R100" s="8" t="s">
        <v>3129</v>
      </c>
    </row>
    <row r="101" spans="1:18" ht="37.950000000000003" customHeight="1">
      <c r="A101" s="8">
        <v>97</v>
      </c>
      <c r="B101" s="8" t="s">
        <v>3114</v>
      </c>
      <c r="C101" s="8" t="s">
        <v>294</v>
      </c>
      <c r="D101" s="8" t="s">
        <v>295</v>
      </c>
      <c r="E101" s="8"/>
      <c r="F101" s="8" t="s">
        <v>1302</v>
      </c>
      <c r="G101" s="8"/>
      <c r="H101" s="8" t="s">
        <v>1303</v>
      </c>
      <c r="I101" s="8"/>
      <c r="J101" s="8" t="s">
        <v>40</v>
      </c>
      <c r="K101" s="8" t="s">
        <v>24</v>
      </c>
      <c r="L101" s="8" t="s">
        <v>3117</v>
      </c>
      <c r="M101" s="8" t="s">
        <v>3136</v>
      </c>
      <c r="N101" s="8" t="s">
        <v>3166</v>
      </c>
      <c r="O101" s="8" t="s">
        <v>1303</v>
      </c>
      <c r="P101" s="8" t="s">
        <v>3164</v>
      </c>
      <c r="Q101" s="8" t="s">
        <v>3128</v>
      </c>
      <c r="R101" s="8" t="s">
        <v>3129</v>
      </c>
    </row>
    <row r="102" spans="1:18" ht="37.950000000000003" customHeight="1">
      <c r="A102" s="8">
        <v>98</v>
      </c>
      <c r="B102" s="8" t="s">
        <v>3114</v>
      </c>
      <c r="C102" s="8" t="s">
        <v>296</v>
      </c>
      <c r="D102" s="8" t="s">
        <v>297</v>
      </c>
      <c r="E102" s="8"/>
      <c r="F102" s="8" t="s">
        <v>752</v>
      </c>
      <c r="G102" s="8"/>
      <c r="H102" s="8" t="s">
        <v>753</v>
      </c>
      <c r="I102" s="8"/>
      <c r="J102" s="8" t="s">
        <v>24</v>
      </c>
      <c r="K102" s="8" t="s">
        <v>24</v>
      </c>
      <c r="L102" s="8" t="s">
        <v>3352</v>
      </c>
      <c r="M102" s="8" t="s">
        <v>3178</v>
      </c>
      <c r="N102" s="8" t="s">
        <v>3166</v>
      </c>
      <c r="O102" s="8" t="s">
        <v>3353</v>
      </c>
      <c r="P102" s="8" t="s">
        <v>3354</v>
      </c>
      <c r="Q102" s="8" t="s">
        <v>3128</v>
      </c>
      <c r="R102" s="8" t="s">
        <v>3129</v>
      </c>
    </row>
    <row r="103" spans="1:18" ht="37.950000000000003" customHeight="1">
      <c r="A103" s="8">
        <v>99</v>
      </c>
      <c r="B103" s="8" t="s">
        <v>3114</v>
      </c>
      <c r="C103" s="8" t="s">
        <v>298</v>
      </c>
      <c r="D103" s="8" t="s">
        <v>299</v>
      </c>
      <c r="E103" s="8"/>
      <c r="F103" s="8" t="s">
        <v>1305</v>
      </c>
      <c r="G103" s="8"/>
      <c r="H103" s="8" t="s">
        <v>1306</v>
      </c>
      <c r="I103" s="8"/>
      <c r="J103" s="8" t="s">
        <v>40</v>
      </c>
      <c r="K103" s="8" t="s">
        <v>24</v>
      </c>
      <c r="L103" s="8" t="s">
        <v>3117</v>
      </c>
      <c r="M103" s="8" t="s">
        <v>3136</v>
      </c>
      <c r="N103" s="8" t="s">
        <v>3166</v>
      </c>
      <c r="O103" s="8" t="s">
        <v>1306</v>
      </c>
      <c r="P103" s="8" t="s">
        <v>3168</v>
      </c>
      <c r="Q103" s="8" t="s">
        <v>3151</v>
      </c>
      <c r="R103" s="8" t="s">
        <v>3190</v>
      </c>
    </row>
    <row r="104" spans="1:18" ht="37.950000000000003" customHeight="1">
      <c r="A104" s="8">
        <v>100</v>
      </c>
      <c r="B104" s="8" t="s">
        <v>3114</v>
      </c>
      <c r="C104" s="8" t="s">
        <v>300</v>
      </c>
      <c r="D104" s="8" t="s">
        <v>301</v>
      </c>
      <c r="E104" s="8"/>
      <c r="F104" s="8" t="s">
        <v>755</v>
      </c>
      <c r="G104" s="8"/>
      <c r="H104" s="8" t="s">
        <v>756</v>
      </c>
      <c r="I104" s="8"/>
      <c r="J104" s="8" t="s">
        <v>24</v>
      </c>
      <c r="K104" s="8" t="s">
        <v>24</v>
      </c>
      <c r="L104" s="8" t="s">
        <v>3355</v>
      </c>
      <c r="M104" s="8" t="s">
        <v>3178</v>
      </c>
      <c r="N104" s="8" t="s">
        <v>3166</v>
      </c>
      <c r="O104" s="8" t="s">
        <v>3356</v>
      </c>
      <c r="P104" s="8" t="s">
        <v>3357</v>
      </c>
      <c r="Q104" s="8" t="s">
        <v>3151</v>
      </c>
      <c r="R104" s="8" t="s">
        <v>3190</v>
      </c>
    </row>
    <row r="105" spans="1:18" ht="37.950000000000003" customHeight="1">
      <c r="A105" s="8">
        <v>101</v>
      </c>
      <c r="B105" s="8" t="s">
        <v>3114</v>
      </c>
      <c r="C105" s="8" t="s">
        <v>302</v>
      </c>
      <c r="D105" s="8" t="s">
        <v>303</v>
      </c>
      <c r="E105" s="8"/>
      <c r="F105" s="8" t="s">
        <v>1308</v>
      </c>
      <c r="G105" s="8"/>
      <c r="H105" s="8" t="s">
        <v>1309</v>
      </c>
      <c r="I105" s="8"/>
      <c r="J105" s="8" t="s">
        <v>40</v>
      </c>
      <c r="K105" s="8" t="s">
        <v>24</v>
      </c>
      <c r="L105" s="8" t="s">
        <v>3358</v>
      </c>
      <c r="M105" s="8" t="s">
        <v>3178</v>
      </c>
      <c r="N105" s="8" t="s">
        <v>3166</v>
      </c>
      <c r="O105" s="8" t="s">
        <v>3359</v>
      </c>
      <c r="P105" s="8" t="s">
        <v>3360</v>
      </c>
      <c r="Q105" s="8" t="s">
        <v>3151</v>
      </c>
      <c r="R105" s="8" t="s">
        <v>3152</v>
      </c>
    </row>
    <row r="106" spans="1:18" ht="37.950000000000003" customHeight="1">
      <c r="A106" s="8">
        <v>102</v>
      </c>
      <c r="B106" s="8" t="s">
        <v>3314</v>
      </c>
      <c r="C106" s="8" t="s">
        <v>520</v>
      </c>
      <c r="D106" s="8" t="s">
        <v>521</v>
      </c>
      <c r="E106" s="8" t="s">
        <v>3361</v>
      </c>
      <c r="F106" s="8" t="s">
        <v>890</v>
      </c>
      <c r="G106" s="8"/>
      <c r="H106" s="8" t="s">
        <v>891</v>
      </c>
      <c r="I106" s="8"/>
      <c r="J106" s="8" t="s">
        <v>42</v>
      </c>
      <c r="K106" s="8" t="s">
        <v>24</v>
      </c>
      <c r="L106" s="8" t="s">
        <v>3131</v>
      </c>
      <c r="M106" s="8" t="s">
        <v>3136</v>
      </c>
      <c r="N106" s="8" t="s">
        <v>3362</v>
      </c>
      <c r="O106" s="8"/>
      <c r="P106" s="8"/>
      <c r="Q106" s="8"/>
      <c r="R106" s="8"/>
    </row>
    <row r="107" spans="1:18" ht="37.950000000000003" customHeight="1">
      <c r="A107" s="8">
        <v>103</v>
      </c>
      <c r="B107" s="8" t="s">
        <v>3114</v>
      </c>
      <c r="C107" s="8" t="s">
        <v>306</v>
      </c>
      <c r="D107" s="8" t="s">
        <v>307</v>
      </c>
      <c r="E107" s="8" t="s">
        <v>3363</v>
      </c>
      <c r="F107" s="8" t="s">
        <v>1109</v>
      </c>
      <c r="G107" s="8" t="s">
        <v>1778</v>
      </c>
      <c r="H107" s="8" t="s">
        <v>1110</v>
      </c>
      <c r="I107" s="8" t="s">
        <v>1779</v>
      </c>
      <c r="J107" s="8" t="s">
        <v>42</v>
      </c>
      <c r="K107" s="8" t="s">
        <v>40</v>
      </c>
      <c r="L107" s="8" t="s">
        <v>3364</v>
      </c>
      <c r="M107" s="8" t="s">
        <v>3365</v>
      </c>
      <c r="N107" s="8" t="s">
        <v>3366</v>
      </c>
      <c r="O107" s="8" t="s">
        <v>3367</v>
      </c>
      <c r="P107" s="8" t="s">
        <v>3368</v>
      </c>
      <c r="Q107" s="8" t="s">
        <v>3133</v>
      </c>
      <c r="R107" s="8" t="s">
        <v>3190</v>
      </c>
    </row>
    <row r="108" spans="1:18" ht="37.950000000000003" customHeight="1">
      <c r="A108" s="8">
        <v>104</v>
      </c>
      <c r="B108" s="8" t="s">
        <v>3114</v>
      </c>
      <c r="C108" s="8" t="s">
        <v>308</v>
      </c>
      <c r="D108" s="8" t="s">
        <v>309</v>
      </c>
      <c r="E108" s="8"/>
      <c r="F108" s="8" t="s">
        <v>1311</v>
      </c>
      <c r="G108" s="8"/>
      <c r="H108" s="8" t="s">
        <v>1312</v>
      </c>
      <c r="I108" s="8"/>
      <c r="J108" s="8" t="s">
        <v>40</v>
      </c>
      <c r="K108" s="8" t="s">
        <v>24</v>
      </c>
      <c r="L108" s="8" t="s">
        <v>3117</v>
      </c>
      <c r="M108" s="8" t="s">
        <v>3136</v>
      </c>
      <c r="N108" s="8" t="s">
        <v>3366</v>
      </c>
      <c r="O108" s="8" t="s">
        <v>1312</v>
      </c>
      <c r="P108" s="8" t="s">
        <v>3369</v>
      </c>
      <c r="Q108" s="8" t="s">
        <v>3128</v>
      </c>
      <c r="R108" s="8" t="s">
        <v>3129</v>
      </c>
    </row>
    <row r="109" spans="1:18" ht="37.950000000000003" customHeight="1">
      <c r="A109" s="8">
        <v>105</v>
      </c>
      <c r="B109" s="8" t="s">
        <v>3114</v>
      </c>
      <c r="C109" s="8" t="s">
        <v>310</v>
      </c>
      <c r="D109" s="8" t="s">
        <v>311</v>
      </c>
      <c r="E109" s="8"/>
      <c r="F109" s="8" t="s">
        <v>758</v>
      </c>
      <c r="G109" s="8" t="s">
        <v>1433</v>
      </c>
      <c r="H109" s="8" t="s">
        <v>311</v>
      </c>
      <c r="I109" s="8" t="s">
        <v>1434</v>
      </c>
      <c r="J109" s="8" t="s">
        <v>24</v>
      </c>
      <c r="K109" s="8" t="s">
        <v>690</v>
      </c>
      <c r="L109" s="8" t="s">
        <v>3370</v>
      </c>
      <c r="M109" s="8" t="s">
        <v>3371</v>
      </c>
      <c r="N109" s="8" t="s">
        <v>3366</v>
      </c>
      <c r="O109" s="8" t="s">
        <v>3372</v>
      </c>
      <c r="P109" s="8" t="s">
        <v>3373</v>
      </c>
      <c r="Q109" s="8" t="s">
        <v>3128</v>
      </c>
      <c r="R109" s="8" t="s">
        <v>3129</v>
      </c>
    </row>
    <row r="110" spans="1:18" ht="37.950000000000003" customHeight="1">
      <c r="A110" s="8">
        <v>106</v>
      </c>
      <c r="B110" s="8" t="s">
        <v>3114</v>
      </c>
      <c r="C110" s="8" t="s">
        <v>312</v>
      </c>
      <c r="D110" s="8" t="s">
        <v>313</v>
      </c>
      <c r="E110" s="8"/>
      <c r="F110" s="8" t="s">
        <v>1112</v>
      </c>
      <c r="G110" s="8"/>
      <c r="H110" s="8" t="s">
        <v>1113</v>
      </c>
      <c r="I110" s="8"/>
      <c r="J110" s="8" t="s">
        <v>42</v>
      </c>
      <c r="K110" s="8" t="s">
        <v>24</v>
      </c>
      <c r="L110" s="8" t="s">
        <v>3131</v>
      </c>
      <c r="M110" s="8" t="s">
        <v>3136</v>
      </c>
      <c r="N110" s="8" t="s">
        <v>3366</v>
      </c>
      <c r="O110" s="8" t="s">
        <v>1113</v>
      </c>
      <c r="P110" s="8" t="s">
        <v>3374</v>
      </c>
      <c r="Q110" s="8" t="s">
        <v>3243</v>
      </c>
      <c r="R110" s="8" t="s">
        <v>3160</v>
      </c>
    </row>
    <row r="111" spans="1:18" ht="37.950000000000003" customHeight="1">
      <c r="A111" s="8">
        <v>107</v>
      </c>
      <c r="B111" s="8" t="s">
        <v>3314</v>
      </c>
      <c r="C111" s="8" t="s">
        <v>522</v>
      </c>
      <c r="D111" s="8" t="s">
        <v>523</v>
      </c>
      <c r="E111" s="8" t="s">
        <v>3361</v>
      </c>
      <c r="F111" s="8" t="s">
        <v>893</v>
      </c>
      <c r="G111" s="8" t="s">
        <v>1491</v>
      </c>
      <c r="H111" s="8" t="s">
        <v>894</v>
      </c>
      <c r="I111" s="8" t="s">
        <v>1492</v>
      </c>
      <c r="J111" s="8" t="s">
        <v>40</v>
      </c>
      <c r="K111" s="8" t="s">
        <v>40</v>
      </c>
      <c r="L111" s="8" t="s">
        <v>3117</v>
      </c>
      <c r="M111" s="8" t="s">
        <v>3117</v>
      </c>
      <c r="N111" s="8" t="s">
        <v>3362</v>
      </c>
      <c r="O111" s="8"/>
      <c r="P111" s="8"/>
      <c r="Q111" s="8"/>
      <c r="R111" s="8"/>
    </row>
    <row r="112" spans="1:18" ht="37.950000000000003" customHeight="1">
      <c r="A112" s="8">
        <v>108</v>
      </c>
      <c r="B112" s="8" t="s">
        <v>3114</v>
      </c>
      <c r="C112" s="8" t="s">
        <v>316</v>
      </c>
      <c r="D112" s="8" t="s">
        <v>317</v>
      </c>
      <c r="E112" s="8" t="s">
        <v>3375</v>
      </c>
      <c r="F112" s="8" t="s">
        <v>1115</v>
      </c>
      <c r="G112" s="8" t="s">
        <v>1436</v>
      </c>
      <c r="H112" s="8" t="s">
        <v>1116</v>
      </c>
      <c r="I112" s="8" t="s">
        <v>1437</v>
      </c>
      <c r="J112" s="8" t="s">
        <v>690</v>
      </c>
      <c r="K112" s="8" t="s">
        <v>40</v>
      </c>
      <c r="L112" s="8" t="s">
        <v>3376</v>
      </c>
      <c r="M112" s="8" t="s">
        <v>3117</v>
      </c>
      <c r="N112" s="8" t="s">
        <v>3240</v>
      </c>
      <c r="O112" s="8" t="s">
        <v>3377</v>
      </c>
      <c r="P112" s="8" t="s">
        <v>3242</v>
      </c>
      <c r="Q112" s="8" t="s">
        <v>3243</v>
      </c>
      <c r="R112" s="8" t="s">
        <v>3160</v>
      </c>
    </row>
    <row r="113" spans="1:18" ht="37.950000000000003" customHeight="1">
      <c r="A113" s="8">
        <v>109</v>
      </c>
      <c r="B113" s="8" t="s">
        <v>3314</v>
      </c>
      <c r="C113" s="8" t="s">
        <v>534</v>
      </c>
      <c r="D113" s="8" t="s">
        <v>535</v>
      </c>
      <c r="E113" s="8" t="s">
        <v>3378</v>
      </c>
      <c r="F113" s="8" t="s">
        <v>866</v>
      </c>
      <c r="G113" s="8"/>
      <c r="H113" s="8" t="s">
        <v>867</v>
      </c>
      <c r="I113" s="8"/>
      <c r="J113" s="8" t="s">
        <v>42</v>
      </c>
      <c r="K113" s="8" t="s">
        <v>24</v>
      </c>
      <c r="L113" s="8" t="s">
        <v>3131</v>
      </c>
      <c r="M113" s="8" t="s">
        <v>3136</v>
      </c>
      <c r="N113" s="8" t="s">
        <v>3379</v>
      </c>
      <c r="O113" s="8"/>
      <c r="P113" s="8"/>
      <c r="Q113" s="8"/>
      <c r="R113" s="8"/>
    </row>
    <row r="114" spans="1:18" ht="37.950000000000003" customHeight="1">
      <c r="A114" s="8">
        <v>110</v>
      </c>
      <c r="B114" s="8" t="s">
        <v>3380</v>
      </c>
      <c r="C114" s="8" t="s">
        <v>536</v>
      </c>
      <c r="D114" s="8" t="s">
        <v>538</v>
      </c>
      <c r="E114" s="8" t="s">
        <v>3381</v>
      </c>
      <c r="F114" s="8" t="s">
        <v>869</v>
      </c>
      <c r="G114" s="8"/>
      <c r="H114" s="8" t="s">
        <v>870</v>
      </c>
      <c r="I114" s="8"/>
      <c r="J114" s="8" t="s">
        <v>42</v>
      </c>
      <c r="K114" s="8" t="s">
        <v>24</v>
      </c>
      <c r="L114" s="8" t="s">
        <v>3131</v>
      </c>
      <c r="M114" s="8" t="s">
        <v>3136</v>
      </c>
      <c r="N114" s="8" t="s">
        <v>3382</v>
      </c>
      <c r="O114" s="8"/>
      <c r="P114" s="8"/>
      <c r="Q114" s="8"/>
      <c r="R114" s="8"/>
    </row>
    <row r="115" spans="1:18" ht="37.950000000000003" customHeight="1">
      <c r="A115" s="8">
        <v>111</v>
      </c>
      <c r="B115" s="8" t="s">
        <v>3114</v>
      </c>
      <c r="C115" s="8" t="s">
        <v>322</v>
      </c>
      <c r="D115" s="8" t="s">
        <v>323</v>
      </c>
      <c r="E115" s="8" t="s">
        <v>697</v>
      </c>
      <c r="F115" s="8" t="s">
        <v>763</v>
      </c>
      <c r="G115" s="8"/>
      <c r="H115" s="8" t="s">
        <v>764</v>
      </c>
      <c r="I115" s="8"/>
      <c r="J115" s="8" t="s">
        <v>40</v>
      </c>
      <c r="K115" s="8" t="s">
        <v>24</v>
      </c>
      <c r="L115" s="8" t="s">
        <v>3117</v>
      </c>
      <c r="M115" s="8" t="s">
        <v>3178</v>
      </c>
      <c r="N115" s="8" t="s">
        <v>3240</v>
      </c>
      <c r="O115" s="8" t="s">
        <v>3241</v>
      </c>
      <c r="P115" s="8" t="s">
        <v>3383</v>
      </c>
      <c r="Q115" s="8" t="s">
        <v>3133</v>
      </c>
      <c r="R115" s="8" t="s">
        <v>3160</v>
      </c>
    </row>
    <row r="116" spans="1:18" ht="37.950000000000003" customHeight="1">
      <c r="A116" s="8">
        <v>112</v>
      </c>
      <c r="B116" s="8" t="s">
        <v>3380</v>
      </c>
      <c r="C116" s="8" t="s">
        <v>549</v>
      </c>
      <c r="D116" s="8" t="s">
        <v>550</v>
      </c>
      <c r="E116" s="8" t="s">
        <v>3384</v>
      </c>
      <c r="F116" s="8" t="s">
        <v>910</v>
      </c>
      <c r="G116" s="8"/>
      <c r="H116" s="8" t="s">
        <v>550</v>
      </c>
      <c r="I116" s="8"/>
      <c r="J116" s="8" t="s">
        <v>24</v>
      </c>
      <c r="K116" s="8" t="s">
        <v>24</v>
      </c>
      <c r="L116" s="8" t="s">
        <v>3385</v>
      </c>
      <c r="M116" s="8" t="s">
        <v>3136</v>
      </c>
      <c r="N116" s="8" t="s">
        <v>3382</v>
      </c>
      <c r="O116" s="8"/>
      <c r="P116" s="8"/>
      <c r="Q116" s="8"/>
      <c r="R116" s="8"/>
    </row>
    <row r="117" spans="1:18" ht="37.950000000000003" customHeight="1">
      <c r="A117" s="8">
        <v>113</v>
      </c>
      <c r="B117" s="8" t="s">
        <v>3380</v>
      </c>
      <c r="C117" s="8" t="s">
        <v>551</v>
      </c>
      <c r="D117" s="8" t="s">
        <v>552</v>
      </c>
      <c r="E117" s="8" t="s">
        <v>3276</v>
      </c>
      <c r="F117" s="8" t="s">
        <v>878</v>
      </c>
      <c r="G117" s="8"/>
      <c r="H117" s="8" t="s">
        <v>879</v>
      </c>
      <c r="I117" s="8"/>
      <c r="J117" s="8" t="s">
        <v>24</v>
      </c>
      <c r="K117" s="8" t="s">
        <v>24</v>
      </c>
      <c r="L117" s="8" t="s">
        <v>3386</v>
      </c>
      <c r="M117" s="8" t="s">
        <v>3136</v>
      </c>
      <c r="N117" s="8" t="s">
        <v>3382</v>
      </c>
      <c r="O117" s="8"/>
      <c r="P117" s="8"/>
      <c r="Q117" s="8"/>
      <c r="R117" s="8"/>
    </row>
    <row r="118" spans="1:18" ht="37.950000000000003" customHeight="1">
      <c r="A118" s="8">
        <v>114</v>
      </c>
      <c r="B118" s="8" t="s">
        <v>3380</v>
      </c>
      <c r="C118" s="8" t="s">
        <v>553</v>
      </c>
      <c r="D118" s="8" t="s">
        <v>511</v>
      </c>
      <c r="E118" s="8" t="s">
        <v>876</v>
      </c>
      <c r="F118" s="8" t="s">
        <v>875</v>
      </c>
      <c r="G118" s="8"/>
      <c r="H118" s="8" t="s">
        <v>876</v>
      </c>
      <c r="I118" s="8"/>
      <c r="J118" s="8" t="s">
        <v>24</v>
      </c>
      <c r="K118" s="8" t="s">
        <v>24</v>
      </c>
      <c r="L118" s="8" t="s">
        <v>3348</v>
      </c>
      <c r="M118" s="8" t="s">
        <v>3136</v>
      </c>
      <c r="N118" s="8" t="s">
        <v>3382</v>
      </c>
      <c r="O118" s="8"/>
      <c r="P118" s="8"/>
      <c r="Q118" s="8"/>
      <c r="R118" s="8"/>
    </row>
    <row r="119" spans="1:18" ht="37.950000000000003" customHeight="1">
      <c r="A119" s="8">
        <v>115</v>
      </c>
      <c r="B119" s="8" t="s">
        <v>3380</v>
      </c>
      <c r="C119" s="8" t="s">
        <v>556</v>
      </c>
      <c r="D119" s="8" t="s">
        <v>557</v>
      </c>
      <c r="E119" s="8" t="s">
        <v>3387</v>
      </c>
      <c r="F119" s="8" t="s">
        <v>1178</v>
      </c>
      <c r="G119" s="8" t="s">
        <v>1482</v>
      </c>
      <c r="H119" s="8" t="s">
        <v>1179</v>
      </c>
      <c r="I119" s="8" t="s">
        <v>1483</v>
      </c>
      <c r="J119" s="8" t="s">
        <v>42</v>
      </c>
      <c r="K119" s="8" t="s">
        <v>42</v>
      </c>
      <c r="L119" s="8" t="s">
        <v>3388</v>
      </c>
      <c r="M119" s="8" t="s">
        <v>3389</v>
      </c>
      <c r="N119" s="8" t="s">
        <v>3382</v>
      </c>
      <c r="O119" s="8"/>
      <c r="P119" s="8"/>
      <c r="Q119" s="8"/>
      <c r="R119" s="8"/>
    </row>
    <row r="120" spans="1:18" ht="37.950000000000003" customHeight="1">
      <c r="A120" s="8">
        <v>116</v>
      </c>
      <c r="B120" s="8" t="s">
        <v>3380</v>
      </c>
      <c r="C120" s="8" t="s">
        <v>560</v>
      </c>
      <c r="D120" s="8" t="s">
        <v>561</v>
      </c>
      <c r="E120" s="8" t="s">
        <v>3390</v>
      </c>
      <c r="F120" s="8" t="s">
        <v>1181</v>
      </c>
      <c r="G120" s="8" t="s">
        <v>1479</v>
      </c>
      <c r="H120" s="8" t="s">
        <v>1182</v>
      </c>
      <c r="I120" s="8" t="s">
        <v>1480</v>
      </c>
      <c r="J120" s="8" t="s">
        <v>42</v>
      </c>
      <c r="K120" s="8" t="s">
        <v>40</v>
      </c>
      <c r="L120" s="8" t="s">
        <v>3131</v>
      </c>
      <c r="M120" s="8" t="s">
        <v>3117</v>
      </c>
      <c r="N120" s="8" t="s">
        <v>3382</v>
      </c>
      <c r="O120" s="8"/>
      <c r="P120" s="8"/>
      <c r="Q120" s="8"/>
      <c r="R120" s="8"/>
    </row>
    <row r="121" spans="1:18" ht="37.950000000000003" customHeight="1">
      <c r="A121" s="8">
        <v>117</v>
      </c>
      <c r="B121" s="8" t="s">
        <v>3114</v>
      </c>
      <c r="C121" s="8" t="s">
        <v>334</v>
      </c>
      <c r="D121" s="8" t="s">
        <v>335</v>
      </c>
      <c r="E121" s="8"/>
      <c r="F121" s="8" t="s">
        <v>1130</v>
      </c>
      <c r="G121" s="8"/>
      <c r="H121" s="8" t="s">
        <v>1131</v>
      </c>
      <c r="I121" s="8"/>
      <c r="J121" s="8" t="s">
        <v>42</v>
      </c>
      <c r="K121" s="8" t="s">
        <v>24</v>
      </c>
      <c r="L121" s="8" t="s">
        <v>3131</v>
      </c>
      <c r="M121" s="8" t="s">
        <v>3136</v>
      </c>
      <c r="N121" s="8" t="s">
        <v>3267</v>
      </c>
      <c r="O121" s="8" t="s">
        <v>3391</v>
      </c>
      <c r="P121" s="8" t="s">
        <v>3392</v>
      </c>
      <c r="Q121" s="8" t="s">
        <v>3268</v>
      </c>
      <c r="R121" s="8" t="s">
        <v>3269</v>
      </c>
    </row>
    <row r="122" spans="1:18" ht="37.950000000000003" customHeight="1">
      <c r="A122" s="8">
        <v>118</v>
      </c>
      <c r="B122" s="8" t="s">
        <v>3114</v>
      </c>
      <c r="C122" s="8" t="s">
        <v>336</v>
      </c>
      <c r="D122" s="8" t="s">
        <v>337</v>
      </c>
      <c r="E122" s="8" t="s">
        <v>3393</v>
      </c>
      <c r="F122" s="8" t="s">
        <v>1314</v>
      </c>
      <c r="G122" s="8"/>
      <c r="H122" s="8" t="s">
        <v>1315</v>
      </c>
      <c r="I122" s="8"/>
      <c r="J122" s="8" t="s">
        <v>40</v>
      </c>
      <c r="K122" s="8" t="s">
        <v>24</v>
      </c>
      <c r="L122" s="8" t="s">
        <v>3394</v>
      </c>
      <c r="M122" s="8" t="s">
        <v>3136</v>
      </c>
      <c r="N122" s="8" t="s">
        <v>3271</v>
      </c>
      <c r="O122" s="8" t="s">
        <v>3395</v>
      </c>
      <c r="P122" s="8" t="s">
        <v>3396</v>
      </c>
      <c r="Q122" s="8" t="s">
        <v>3133</v>
      </c>
      <c r="R122" s="8" t="s">
        <v>3397</v>
      </c>
    </row>
    <row r="123" spans="1:18" ht="37.950000000000003" customHeight="1">
      <c r="A123" s="8">
        <v>119</v>
      </c>
      <c r="B123" s="8" t="s">
        <v>3380</v>
      </c>
      <c r="C123" s="8" t="s">
        <v>566</v>
      </c>
      <c r="D123" s="8" t="s">
        <v>567</v>
      </c>
      <c r="E123" s="8" t="s">
        <v>856</v>
      </c>
      <c r="F123" s="8" t="s">
        <v>855</v>
      </c>
      <c r="G123" s="8"/>
      <c r="H123" s="8" t="s">
        <v>856</v>
      </c>
      <c r="I123" s="8"/>
      <c r="J123" s="8" t="s">
        <v>24</v>
      </c>
      <c r="K123" s="8" t="s">
        <v>24</v>
      </c>
      <c r="L123" s="8" t="s">
        <v>3398</v>
      </c>
      <c r="M123" s="8" t="s">
        <v>3178</v>
      </c>
      <c r="N123" s="8" t="s">
        <v>3399</v>
      </c>
      <c r="O123" s="8"/>
      <c r="P123" s="8"/>
      <c r="Q123" s="8"/>
      <c r="R123" s="8"/>
    </row>
    <row r="124" spans="1:18" ht="37.950000000000003" customHeight="1">
      <c r="A124" s="8">
        <v>120</v>
      </c>
      <c r="B124" s="8" t="s">
        <v>3114</v>
      </c>
      <c r="C124" s="8" t="s">
        <v>340</v>
      </c>
      <c r="D124" s="8" t="s">
        <v>341</v>
      </c>
      <c r="E124" s="8" t="s">
        <v>3400</v>
      </c>
      <c r="F124" s="8" t="s">
        <v>1317</v>
      </c>
      <c r="G124" s="8"/>
      <c r="H124" s="8" t="s">
        <v>1318</v>
      </c>
      <c r="I124" s="8"/>
      <c r="J124" s="8" t="s">
        <v>40</v>
      </c>
      <c r="K124" s="8" t="s">
        <v>24</v>
      </c>
      <c r="L124" s="8" t="s">
        <v>3117</v>
      </c>
      <c r="M124" s="8" t="s">
        <v>3178</v>
      </c>
      <c r="N124" s="8" t="s">
        <v>3271</v>
      </c>
      <c r="O124" s="8" t="s">
        <v>3395</v>
      </c>
      <c r="P124" s="8" t="s">
        <v>3401</v>
      </c>
      <c r="Q124" s="8" t="s">
        <v>3402</v>
      </c>
      <c r="R124" s="8" t="s">
        <v>3155</v>
      </c>
    </row>
    <row r="125" spans="1:18" ht="37.950000000000003" customHeight="1">
      <c r="A125" s="8">
        <v>121</v>
      </c>
      <c r="B125" s="8" t="s">
        <v>3114</v>
      </c>
      <c r="C125" s="8" t="s">
        <v>342</v>
      </c>
      <c r="D125" s="8" t="s">
        <v>343</v>
      </c>
      <c r="E125" s="8"/>
      <c r="F125" s="8" t="s">
        <v>770</v>
      </c>
      <c r="G125" s="8"/>
      <c r="H125" s="8" t="s">
        <v>771</v>
      </c>
      <c r="I125" s="8"/>
      <c r="J125" s="8" t="s">
        <v>24</v>
      </c>
      <c r="K125" s="8" t="s">
        <v>24</v>
      </c>
      <c r="L125" s="8" t="s">
        <v>3403</v>
      </c>
      <c r="M125" s="8" t="s">
        <v>3136</v>
      </c>
      <c r="N125" s="8" t="s">
        <v>3271</v>
      </c>
      <c r="O125" s="8" t="s">
        <v>3404</v>
      </c>
      <c r="P125" s="8" t="s">
        <v>3138</v>
      </c>
      <c r="Q125" s="8" t="s">
        <v>3405</v>
      </c>
      <c r="R125" s="8" t="s">
        <v>3155</v>
      </c>
    </row>
    <row r="126" spans="1:18" ht="37.950000000000003" customHeight="1">
      <c r="A126" s="8">
        <v>122</v>
      </c>
      <c r="B126" s="8" t="s">
        <v>3380</v>
      </c>
      <c r="C126" s="8" t="s">
        <v>570</v>
      </c>
      <c r="D126" s="8" t="s">
        <v>571</v>
      </c>
      <c r="E126" s="8" t="s">
        <v>3406</v>
      </c>
      <c r="F126" s="8" t="s">
        <v>922</v>
      </c>
      <c r="G126" s="8" t="s">
        <v>1498</v>
      </c>
      <c r="H126" s="8" t="s">
        <v>923</v>
      </c>
      <c r="I126" s="8" t="s">
        <v>1499</v>
      </c>
      <c r="J126" s="8" t="s">
        <v>42</v>
      </c>
      <c r="K126" s="8" t="s">
        <v>42</v>
      </c>
      <c r="L126" s="8" t="s">
        <v>3407</v>
      </c>
      <c r="M126" s="8" t="s">
        <v>3408</v>
      </c>
      <c r="N126" s="8" t="s">
        <v>3399</v>
      </c>
      <c r="O126" s="8"/>
      <c r="P126" s="8"/>
      <c r="Q126" s="8"/>
      <c r="R126" s="8"/>
    </row>
    <row r="127" spans="1:18" ht="37.950000000000003" customHeight="1">
      <c r="A127" s="8">
        <v>123</v>
      </c>
      <c r="B127" s="8" t="s">
        <v>3114</v>
      </c>
      <c r="C127" s="8" t="s">
        <v>346</v>
      </c>
      <c r="D127" s="8" t="s">
        <v>347</v>
      </c>
      <c r="E127" s="8"/>
      <c r="F127" s="8" t="s">
        <v>1320</v>
      </c>
      <c r="G127" s="8" t="s">
        <v>1787</v>
      </c>
      <c r="H127" s="8" t="s">
        <v>1321</v>
      </c>
      <c r="I127" s="8" t="s">
        <v>1788</v>
      </c>
      <c r="J127" s="8" t="s">
        <v>40</v>
      </c>
      <c r="K127" s="8" t="s">
        <v>40</v>
      </c>
      <c r="L127" s="8" t="s">
        <v>3117</v>
      </c>
      <c r="M127" s="8" t="s">
        <v>3117</v>
      </c>
      <c r="N127" s="8" t="s">
        <v>3271</v>
      </c>
      <c r="O127" s="8" t="s">
        <v>1321</v>
      </c>
      <c r="P127" s="8" t="s">
        <v>3138</v>
      </c>
      <c r="Q127" s="8" t="s">
        <v>3274</v>
      </c>
      <c r="R127" s="8" t="s">
        <v>3155</v>
      </c>
    </row>
    <row r="128" spans="1:18" ht="37.950000000000003" customHeight="1">
      <c r="A128" s="8">
        <v>124</v>
      </c>
      <c r="B128" s="8" t="s">
        <v>3380</v>
      </c>
      <c r="C128" s="8" t="s">
        <v>574</v>
      </c>
      <c r="D128" s="8" t="s">
        <v>575</v>
      </c>
      <c r="E128" s="8" t="s">
        <v>3281</v>
      </c>
      <c r="F128" s="8" t="s">
        <v>779</v>
      </c>
      <c r="G128" s="8" t="s">
        <v>1463</v>
      </c>
      <c r="H128" s="8" t="s">
        <v>780</v>
      </c>
      <c r="I128" s="8" t="s">
        <v>1464</v>
      </c>
      <c r="J128" s="8" t="s">
        <v>40</v>
      </c>
      <c r="K128" s="8" t="s">
        <v>40</v>
      </c>
      <c r="L128" s="8" t="s">
        <v>3117</v>
      </c>
      <c r="M128" s="8" t="s">
        <v>3117</v>
      </c>
      <c r="N128" s="8" t="s">
        <v>3399</v>
      </c>
      <c r="O128" s="8"/>
      <c r="P128" s="8"/>
      <c r="Q128" s="8"/>
      <c r="R128" s="8"/>
    </row>
    <row r="129" spans="1:18" ht="37.950000000000003" customHeight="1">
      <c r="A129" s="8">
        <v>125</v>
      </c>
      <c r="B129" s="8" t="s">
        <v>3114</v>
      </c>
      <c r="C129" s="8" t="s">
        <v>350</v>
      </c>
      <c r="D129" s="8" t="s">
        <v>351</v>
      </c>
      <c r="E129" s="8"/>
      <c r="F129" s="8" t="s">
        <v>1326</v>
      </c>
      <c r="G129" s="8"/>
      <c r="H129" s="8" t="s">
        <v>1327</v>
      </c>
      <c r="I129" s="8"/>
      <c r="J129" s="8" t="s">
        <v>40</v>
      </c>
      <c r="K129" s="8" t="s">
        <v>24</v>
      </c>
      <c r="L129" s="8" t="s">
        <v>3117</v>
      </c>
      <c r="M129" s="8" t="s">
        <v>3178</v>
      </c>
      <c r="N129" s="8" t="s">
        <v>3409</v>
      </c>
      <c r="O129" s="8" t="s">
        <v>1327</v>
      </c>
      <c r="P129" s="8" t="s">
        <v>3159</v>
      </c>
      <c r="Q129" s="8" t="s">
        <v>3410</v>
      </c>
      <c r="R129" s="8" t="s">
        <v>3411</v>
      </c>
    </row>
    <row r="130" spans="1:18" ht="37.950000000000003" customHeight="1">
      <c r="A130" s="8">
        <v>126</v>
      </c>
      <c r="B130" s="8" t="s">
        <v>3114</v>
      </c>
      <c r="C130" s="8" t="s">
        <v>352</v>
      </c>
      <c r="D130" s="8" t="s">
        <v>353</v>
      </c>
      <c r="E130" s="8"/>
      <c r="F130" s="8" t="s">
        <v>1139</v>
      </c>
      <c r="G130" s="8"/>
      <c r="H130" s="8" t="s">
        <v>1140</v>
      </c>
      <c r="I130" s="8"/>
      <c r="J130" s="8" t="s">
        <v>42</v>
      </c>
      <c r="K130" s="8" t="s">
        <v>24</v>
      </c>
      <c r="L130" s="8" t="s">
        <v>3131</v>
      </c>
      <c r="M130" s="8" t="s">
        <v>3178</v>
      </c>
      <c r="N130" s="8" t="s">
        <v>3409</v>
      </c>
      <c r="O130" s="8" t="s">
        <v>1140</v>
      </c>
      <c r="P130" s="8" t="s">
        <v>3238</v>
      </c>
      <c r="Q130" s="8" t="s">
        <v>3151</v>
      </c>
      <c r="R130" s="8" t="s">
        <v>3190</v>
      </c>
    </row>
    <row r="131" spans="1:18" ht="37.950000000000003" customHeight="1">
      <c r="A131" s="8">
        <v>127</v>
      </c>
      <c r="B131" s="8" t="s">
        <v>3114</v>
      </c>
      <c r="C131" s="8" t="s">
        <v>354</v>
      </c>
      <c r="D131" s="8" t="s">
        <v>355</v>
      </c>
      <c r="E131" s="8" t="s">
        <v>3412</v>
      </c>
      <c r="F131" s="8" t="s">
        <v>1329</v>
      </c>
      <c r="G131" s="8" t="s">
        <v>1789</v>
      </c>
      <c r="H131" s="8" t="s">
        <v>1330</v>
      </c>
      <c r="I131" s="8" t="s">
        <v>1790</v>
      </c>
      <c r="J131" s="8" t="s">
        <v>40</v>
      </c>
      <c r="K131" s="8" t="s">
        <v>40</v>
      </c>
      <c r="L131" s="8" t="s">
        <v>3117</v>
      </c>
      <c r="M131" s="8" t="s">
        <v>3117</v>
      </c>
      <c r="N131" s="8" t="s">
        <v>3409</v>
      </c>
      <c r="O131" s="8" t="s">
        <v>3413</v>
      </c>
      <c r="P131" s="8" t="s">
        <v>3414</v>
      </c>
      <c r="Q131" s="8" t="s">
        <v>3415</v>
      </c>
      <c r="R131" s="8" t="s">
        <v>3155</v>
      </c>
    </row>
    <row r="132" spans="1:18" ht="37.950000000000003" customHeight="1">
      <c r="A132" s="8">
        <v>128</v>
      </c>
      <c r="B132" s="8" t="s">
        <v>3275</v>
      </c>
      <c r="C132" s="8" t="s">
        <v>356</v>
      </c>
      <c r="D132" s="8" t="s">
        <v>358</v>
      </c>
      <c r="E132" s="8"/>
      <c r="F132" s="8" t="s">
        <v>1332</v>
      </c>
      <c r="G132" s="8" t="s">
        <v>1791</v>
      </c>
      <c r="H132" s="8" t="s">
        <v>1333</v>
      </c>
      <c r="I132" s="8" t="s">
        <v>358</v>
      </c>
      <c r="J132" s="8" t="s">
        <v>40</v>
      </c>
      <c r="K132" s="8" t="s">
        <v>40</v>
      </c>
      <c r="L132" s="8" t="s">
        <v>3117</v>
      </c>
      <c r="M132" s="8" t="s">
        <v>3117</v>
      </c>
      <c r="N132" s="8" t="s">
        <v>3277</v>
      </c>
      <c r="O132" s="8"/>
      <c r="P132" s="8"/>
      <c r="Q132" s="8"/>
      <c r="R132" s="8"/>
    </row>
    <row r="133" spans="1:18" ht="37.950000000000003" customHeight="1">
      <c r="A133" s="8">
        <v>129</v>
      </c>
      <c r="B133" s="8" t="s">
        <v>3275</v>
      </c>
      <c r="C133" s="8" t="s">
        <v>359</v>
      </c>
      <c r="D133" s="8" t="s">
        <v>360</v>
      </c>
      <c r="E133" s="8"/>
      <c r="F133" s="8" t="s">
        <v>1335</v>
      </c>
      <c r="G133" s="8" t="s">
        <v>1792</v>
      </c>
      <c r="H133" s="8" t="s">
        <v>1336</v>
      </c>
      <c r="I133" s="8" t="s">
        <v>360</v>
      </c>
      <c r="J133" s="8" t="s">
        <v>40</v>
      </c>
      <c r="K133" s="8" t="s">
        <v>40</v>
      </c>
      <c r="L133" s="8" t="s">
        <v>3117</v>
      </c>
      <c r="M133" s="8" t="s">
        <v>3117</v>
      </c>
      <c r="N133" s="8" t="s">
        <v>3277</v>
      </c>
      <c r="O133" s="8"/>
      <c r="P133" s="8"/>
      <c r="Q133" s="8"/>
      <c r="R133" s="8"/>
    </row>
    <row r="134" spans="1:18" ht="37.950000000000003" customHeight="1">
      <c r="A134" s="8">
        <v>130</v>
      </c>
      <c r="B134" s="8" t="s">
        <v>3275</v>
      </c>
      <c r="C134" s="8" t="s">
        <v>361</v>
      </c>
      <c r="D134" s="8" t="s">
        <v>362</v>
      </c>
      <c r="E134" s="8"/>
      <c r="F134" s="8" t="s">
        <v>1338</v>
      </c>
      <c r="G134" s="8"/>
      <c r="H134" s="8" t="s">
        <v>1339</v>
      </c>
      <c r="I134" s="8"/>
      <c r="J134" s="8" t="s">
        <v>40</v>
      </c>
      <c r="K134" s="8" t="s">
        <v>24</v>
      </c>
      <c r="L134" s="8" t="s">
        <v>3117</v>
      </c>
      <c r="M134" s="8" t="s">
        <v>3136</v>
      </c>
      <c r="N134" s="8" t="s">
        <v>3277</v>
      </c>
      <c r="O134" s="8"/>
      <c r="P134" s="8"/>
      <c r="Q134" s="8"/>
      <c r="R134" s="8"/>
    </row>
    <row r="135" spans="1:18" ht="37.950000000000003" customHeight="1">
      <c r="A135" s="8">
        <v>131</v>
      </c>
      <c r="B135" s="8" t="s">
        <v>3275</v>
      </c>
      <c r="C135" s="8" t="s">
        <v>363</v>
      </c>
      <c r="D135" s="8" t="s">
        <v>364</v>
      </c>
      <c r="E135" s="8"/>
      <c r="F135" s="8" t="s">
        <v>1341</v>
      </c>
      <c r="G135" s="8" t="s">
        <v>1793</v>
      </c>
      <c r="H135" s="8" t="s">
        <v>1342</v>
      </c>
      <c r="I135" s="8" t="s">
        <v>364</v>
      </c>
      <c r="J135" s="8" t="s">
        <v>40</v>
      </c>
      <c r="K135" s="8" t="s">
        <v>40</v>
      </c>
      <c r="L135" s="8" t="s">
        <v>3117</v>
      </c>
      <c r="M135" s="8" t="s">
        <v>3117</v>
      </c>
      <c r="N135" s="8" t="s">
        <v>3277</v>
      </c>
      <c r="O135" s="8"/>
      <c r="P135" s="8"/>
      <c r="Q135" s="8"/>
      <c r="R135" s="8"/>
    </row>
    <row r="136" spans="1:18" ht="37.950000000000003" customHeight="1">
      <c r="A136" s="8">
        <v>132</v>
      </c>
      <c r="B136" s="8" t="s">
        <v>3275</v>
      </c>
      <c r="C136" s="8" t="s">
        <v>365</v>
      </c>
      <c r="D136" s="8" t="s">
        <v>366</v>
      </c>
      <c r="E136" s="8"/>
      <c r="F136" s="8" t="s">
        <v>1142</v>
      </c>
      <c r="G136" s="8" t="s">
        <v>1458</v>
      </c>
      <c r="H136" s="8" t="s">
        <v>1143</v>
      </c>
      <c r="I136" s="8" t="s">
        <v>366</v>
      </c>
      <c r="J136" s="8" t="s">
        <v>690</v>
      </c>
      <c r="K136" s="8" t="s">
        <v>40</v>
      </c>
      <c r="L136" s="8" t="s">
        <v>3416</v>
      </c>
      <c r="M136" s="8" t="s">
        <v>3117</v>
      </c>
      <c r="N136" s="8" t="s">
        <v>3277</v>
      </c>
      <c r="O136" s="8"/>
      <c r="P136" s="8"/>
      <c r="Q136" s="8"/>
      <c r="R136" s="8"/>
    </row>
    <row r="137" spans="1:18" ht="37.950000000000003" customHeight="1">
      <c r="A137" s="8">
        <v>133</v>
      </c>
      <c r="B137" s="8" t="s">
        <v>3275</v>
      </c>
      <c r="C137" s="8" t="s">
        <v>367</v>
      </c>
      <c r="D137" s="8" t="s">
        <v>368</v>
      </c>
      <c r="E137" s="8"/>
      <c r="F137" s="8" t="s">
        <v>773</v>
      </c>
      <c r="G137" s="8" t="s">
        <v>1794</v>
      </c>
      <c r="H137" s="8" t="s">
        <v>368</v>
      </c>
      <c r="I137" s="8" t="s">
        <v>368</v>
      </c>
      <c r="J137" s="8" t="s">
        <v>24</v>
      </c>
      <c r="K137" s="8" t="s">
        <v>40</v>
      </c>
      <c r="L137" s="8" t="s">
        <v>3417</v>
      </c>
      <c r="M137" s="8" t="s">
        <v>3117</v>
      </c>
      <c r="N137" s="8" t="s">
        <v>3277</v>
      </c>
      <c r="O137" s="8"/>
      <c r="P137" s="8"/>
      <c r="Q137" s="8"/>
      <c r="R137" s="8"/>
    </row>
    <row r="138" spans="1:18" ht="37.950000000000003" customHeight="1">
      <c r="A138" s="8">
        <v>134</v>
      </c>
      <c r="B138" s="8" t="s">
        <v>3380</v>
      </c>
      <c r="C138" s="8" t="s">
        <v>578</v>
      </c>
      <c r="D138" s="8" t="s">
        <v>501</v>
      </c>
      <c r="E138" s="8" t="s">
        <v>724</v>
      </c>
      <c r="F138" s="8" t="s">
        <v>723</v>
      </c>
      <c r="G138" s="8"/>
      <c r="H138" s="8" t="s">
        <v>864</v>
      </c>
      <c r="I138" s="8"/>
      <c r="J138" s="8" t="s">
        <v>42</v>
      </c>
      <c r="K138" s="8" t="s">
        <v>24</v>
      </c>
      <c r="L138" s="8" t="s">
        <v>3131</v>
      </c>
      <c r="M138" s="8" t="s">
        <v>3136</v>
      </c>
      <c r="N138" s="8" t="s">
        <v>3399</v>
      </c>
      <c r="O138" s="8"/>
      <c r="P138" s="8"/>
      <c r="Q138" s="8"/>
      <c r="R138" s="8"/>
    </row>
    <row r="139" spans="1:18" ht="37.950000000000003" customHeight="1">
      <c r="A139" s="8">
        <v>135</v>
      </c>
      <c r="B139" s="8" t="s">
        <v>3380</v>
      </c>
      <c r="C139" s="8" t="s">
        <v>581</v>
      </c>
      <c r="D139" s="8" t="s">
        <v>394</v>
      </c>
      <c r="E139" s="8" t="s">
        <v>3286</v>
      </c>
      <c r="F139" s="8" t="s">
        <v>782</v>
      </c>
      <c r="G139" s="8" t="s">
        <v>1465</v>
      </c>
      <c r="H139" s="8" t="s">
        <v>783</v>
      </c>
      <c r="I139" s="8" t="s">
        <v>1466</v>
      </c>
      <c r="J139" s="8" t="s">
        <v>40</v>
      </c>
      <c r="K139" s="8" t="s">
        <v>690</v>
      </c>
      <c r="L139" s="8" t="s">
        <v>3117</v>
      </c>
      <c r="M139" s="8" t="s">
        <v>3287</v>
      </c>
      <c r="N139" s="8" t="s">
        <v>3399</v>
      </c>
      <c r="O139" s="8"/>
      <c r="P139" s="8"/>
      <c r="Q139" s="8"/>
      <c r="R139" s="8"/>
    </row>
    <row r="140" spans="1:18" ht="37.950000000000003" customHeight="1">
      <c r="A140" s="8">
        <v>136</v>
      </c>
      <c r="B140" s="8" t="s">
        <v>3275</v>
      </c>
      <c r="C140" s="8" t="s">
        <v>373</v>
      </c>
      <c r="D140" s="8" t="s">
        <v>374</v>
      </c>
      <c r="E140" s="8"/>
      <c r="F140" s="8" t="s">
        <v>776</v>
      </c>
      <c r="G140" s="8"/>
      <c r="H140" s="8" t="s">
        <v>777</v>
      </c>
      <c r="I140" s="8"/>
      <c r="J140" s="8" t="s">
        <v>24</v>
      </c>
      <c r="K140" s="8" t="s">
        <v>24</v>
      </c>
      <c r="L140" s="8" t="s">
        <v>3418</v>
      </c>
      <c r="M140" s="8" t="s">
        <v>3136</v>
      </c>
      <c r="N140" s="8" t="s">
        <v>3277</v>
      </c>
      <c r="O140" s="8"/>
      <c r="P140" s="8"/>
      <c r="Q140" s="8"/>
      <c r="R140" s="8"/>
    </row>
    <row r="141" spans="1:18" ht="37.950000000000003" customHeight="1">
      <c r="A141" s="8">
        <v>137</v>
      </c>
      <c r="B141" s="8" t="s">
        <v>3380</v>
      </c>
      <c r="C141" s="8" t="s">
        <v>582</v>
      </c>
      <c r="D141" s="8" t="s">
        <v>396</v>
      </c>
      <c r="E141" s="8" t="s">
        <v>3286</v>
      </c>
      <c r="F141" s="8" t="s">
        <v>785</v>
      </c>
      <c r="G141" s="8" t="s">
        <v>1465</v>
      </c>
      <c r="H141" s="8" t="s">
        <v>786</v>
      </c>
      <c r="I141" s="8" t="s">
        <v>1466</v>
      </c>
      <c r="J141" s="8" t="s">
        <v>40</v>
      </c>
      <c r="K141" s="8" t="s">
        <v>690</v>
      </c>
      <c r="L141" s="8" t="s">
        <v>3117</v>
      </c>
      <c r="M141" s="8" t="s">
        <v>3290</v>
      </c>
      <c r="N141" s="8" t="s">
        <v>3399</v>
      </c>
      <c r="O141" s="8"/>
      <c r="P141" s="8"/>
      <c r="Q141" s="8"/>
      <c r="R141" s="8"/>
    </row>
    <row r="142" spans="1:18" ht="37.950000000000003" customHeight="1">
      <c r="A142" s="8">
        <v>138</v>
      </c>
      <c r="B142" s="8" t="s">
        <v>3380</v>
      </c>
      <c r="C142" s="8" t="s">
        <v>585</v>
      </c>
      <c r="D142" s="8" t="s">
        <v>586</v>
      </c>
      <c r="E142" s="8" t="s">
        <v>3278</v>
      </c>
      <c r="F142" s="8" t="s">
        <v>935</v>
      </c>
      <c r="G142" s="8" t="s">
        <v>1460</v>
      </c>
      <c r="H142" s="8" t="s">
        <v>936</v>
      </c>
      <c r="I142" s="8" t="s">
        <v>1461</v>
      </c>
      <c r="J142" s="8" t="s">
        <v>40</v>
      </c>
      <c r="K142" s="8" t="s">
        <v>40</v>
      </c>
      <c r="L142" s="8" t="s">
        <v>3117</v>
      </c>
      <c r="M142" s="8" t="s">
        <v>3117</v>
      </c>
      <c r="N142" s="8" t="s">
        <v>3399</v>
      </c>
      <c r="O142" s="8"/>
      <c r="P142" s="8"/>
      <c r="Q142" s="8"/>
      <c r="R142" s="8"/>
    </row>
    <row r="143" spans="1:18" ht="37.950000000000003" customHeight="1">
      <c r="A143" s="8">
        <v>139</v>
      </c>
      <c r="B143" s="8" t="s">
        <v>3380</v>
      </c>
      <c r="C143" s="8" t="s">
        <v>587</v>
      </c>
      <c r="D143" s="8" t="s">
        <v>588</v>
      </c>
      <c r="E143" s="8" t="s">
        <v>3384</v>
      </c>
      <c r="F143" s="8" t="s">
        <v>938</v>
      </c>
      <c r="G143" s="8" t="s">
        <v>1503</v>
      </c>
      <c r="H143" s="8" t="s">
        <v>939</v>
      </c>
      <c r="I143" s="8" t="s">
        <v>1504</v>
      </c>
      <c r="J143" s="8" t="s">
        <v>690</v>
      </c>
      <c r="K143" s="8" t="s">
        <v>40</v>
      </c>
      <c r="L143" s="8" t="s">
        <v>3419</v>
      </c>
      <c r="M143" s="8" t="s">
        <v>3117</v>
      </c>
      <c r="N143" s="8" t="s">
        <v>3399</v>
      </c>
      <c r="O143" s="8"/>
      <c r="P143" s="8"/>
      <c r="Q143" s="8"/>
      <c r="R143" s="8"/>
    </row>
    <row r="144" spans="1:18" ht="37.950000000000003" customHeight="1">
      <c r="A144" s="8">
        <v>140</v>
      </c>
      <c r="B144" s="8" t="s">
        <v>3380</v>
      </c>
      <c r="C144" s="8" t="s">
        <v>593</v>
      </c>
      <c r="D144" s="8" t="s">
        <v>594</v>
      </c>
      <c r="E144" s="8" t="s">
        <v>862</v>
      </c>
      <c r="F144" s="8" t="s">
        <v>861</v>
      </c>
      <c r="G144" s="8"/>
      <c r="H144" s="8" t="s">
        <v>862</v>
      </c>
      <c r="I144" s="8"/>
      <c r="J144" s="8" t="s">
        <v>40</v>
      </c>
      <c r="K144" s="8" t="s">
        <v>24</v>
      </c>
      <c r="L144" s="8" t="s">
        <v>3117</v>
      </c>
      <c r="M144" s="8" t="s">
        <v>3136</v>
      </c>
      <c r="N144" s="8" t="s">
        <v>3399</v>
      </c>
      <c r="O144" s="8"/>
      <c r="P144" s="8"/>
      <c r="Q144" s="8"/>
      <c r="R144" s="8"/>
    </row>
    <row r="145" spans="1:18" ht="37.950000000000003" customHeight="1">
      <c r="A145" s="8">
        <v>141</v>
      </c>
      <c r="B145" s="8" t="s">
        <v>3380</v>
      </c>
      <c r="C145" s="8" t="s">
        <v>599</v>
      </c>
      <c r="D145" s="8" t="s">
        <v>600</v>
      </c>
      <c r="E145" s="8" t="s">
        <v>876</v>
      </c>
      <c r="F145" s="8" t="s">
        <v>875</v>
      </c>
      <c r="G145" s="8"/>
      <c r="H145" s="8" t="s">
        <v>876</v>
      </c>
      <c r="I145" s="8"/>
      <c r="J145" s="8" t="s">
        <v>24</v>
      </c>
      <c r="K145" s="8" t="s">
        <v>24</v>
      </c>
      <c r="L145" s="8" t="s">
        <v>3348</v>
      </c>
      <c r="M145" s="8" t="s">
        <v>3136</v>
      </c>
      <c r="N145" s="8" t="s">
        <v>3420</v>
      </c>
      <c r="O145" s="8"/>
      <c r="P145" s="8"/>
      <c r="Q145" s="8"/>
      <c r="R145" s="8"/>
    </row>
    <row r="146" spans="1:18" ht="37.950000000000003" customHeight="1">
      <c r="A146" s="8">
        <v>142</v>
      </c>
      <c r="B146" s="8" t="s">
        <v>3380</v>
      </c>
      <c r="C146" s="8" t="s">
        <v>601</v>
      </c>
      <c r="D146" s="8" t="s">
        <v>602</v>
      </c>
      <c r="E146" s="8" t="s">
        <v>3327</v>
      </c>
      <c r="F146" s="8" t="s">
        <v>855</v>
      </c>
      <c r="G146" s="8"/>
      <c r="H146" s="8" t="s">
        <v>856</v>
      </c>
      <c r="I146" s="8"/>
      <c r="J146" s="8" t="s">
        <v>24</v>
      </c>
      <c r="K146" s="8" t="s">
        <v>24</v>
      </c>
      <c r="L146" s="8" t="s">
        <v>3398</v>
      </c>
      <c r="M146" s="8" t="s">
        <v>3178</v>
      </c>
      <c r="N146" s="8" t="s">
        <v>3420</v>
      </c>
      <c r="O146" s="8"/>
      <c r="P146" s="8"/>
      <c r="Q146" s="8"/>
      <c r="R146" s="8"/>
    </row>
    <row r="147" spans="1:18" ht="37.950000000000003" customHeight="1">
      <c r="A147" s="8">
        <v>143</v>
      </c>
      <c r="B147" s="8" t="s">
        <v>3380</v>
      </c>
      <c r="C147" s="8" t="s">
        <v>603</v>
      </c>
      <c r="D147" s="8" t="s">
        <v>604</v>
      </c>
      <c r="E147" s="8" t="s">
        <v>3381</v>
      </c>
      <c r="F147" s="8" t="s">
        <v>869</v>
      </c>
      <c r="G147" s="8"/>
      <c r="H147" s="8" t="s">
        <v>870</v>
      </c>
      <c r="I147" s="8"/>
      <c r="J147" s="8" t="s">
        <v>690</v>
      </c>
      <c r="K147" s="8" t="s">
        <v>24</v>
      </c>
      <c r="L147" s="8" t="s">
        <v>3421</v>
      </c>
      <c r="M147" s="8" t="s">
        <v>3136</v>
      </c>
      <c r="N147" s="8" t="s">
        <v>3420</v>
      </c>
      <c r="O147" s="8"/>
      <c r="P147" s="8"/>
      <c r="Q147" s="8"/>
      <c r="R147" s="8"/>
    </row>
    <row r="148" spans="1:18" ht="37.950000000000003" customHeight="1">
      <c r="A148" s="8">
        <v>144</v>
      </c>
      <c r="B148" s="8" t="s">
        <v>3380</v>
      </c>
      <c r="C148" s="8" t="s">
        <v>617</v>
      </c>
      <c r="D148" s="8" t="s">
        <v>618</v>
      </c>
      <c r="E148" s="8" t="s">
        <v>3422</v>
      </c>
      <c r="F148" s="8" t="s">
        <v>811</v>
      </c>
      <c r="G148" s="8" t="s">
        <v>1837</v>
      </c>
      <c r="H148" s="8" t="s">
        <v>812</v>
      </c>
      <c r="I148" s="8" t="s">
        <v>1838</v>
      </c>
      <c r="J148" s="8" t="s">
        <v>690</v>
      </c>
      <c r="K148" s="8" t="s">
        <v>40</v>
      </c>
      <c r="L148" s="8" t="s">
        <v>3423</v>
      </c>
      <c r="M148" s="8" t="s">
        <v>3117</v>
      </c>
      <c r="N148" s="8" t="s">
        <v>3420</v>
      </c>
      <c r="O148" s="8"/>
      <c r="P148" s="8"/>
      <c r="Q148" s="8"/>
      <c r="R148" s="8"/>
    </row>
    <row r="149" spans="1:18" ht="37.950000000000003" customHeight="1">
      <c r="A149" s="8">
        <v>145</v>
      </c>
      <c r="B149" s="8" t="s">
        <v>3380</v>
      </c>
      <c r="C149" s="8" t="s">
        <v>619</v>
      </c>
      <c r="D149" s="8" t="s">
        <v>620</v>
      </c>
      <c r="E149" s="8" t="s">
        <v>3361</v>
      </c>
      <c r="F149" s="8" t="s">
        <v>893</v>
      </c>
      <c r="G149" s="8" t="s">
        <v>1491</v>
      </c>
      <c r="H149" s="8" t="s">
        <v>894</v>
      </c>
      <c r="I149" s="8" t="s">
        <v>1492</v>
      </c>
      <c r="J149" s="8" t="s">
        <v>42</v>
      </c>
      <c r="K149" s="8" t="s">
        <v>42</v>
      </c>
      <c r="L149" s="8" t="s">
        <v>3131</v>
      </c>
      <c r="M149" s="8" t="s">
        <v>3131</v>
      </c>
      <c r="N149" s="8" t="s">
        <v>3420</v>
      </c>
      <c r="O149" s="8"/>
      <c r="P149" s="8"/>
      <c r="Q149" s="8"/>
      <c r="R149" s="8"/>
    </row>
    <row r="150" spans="1:18" ht="37.950000000000003" customHeight="1">
      <c r="A150" s="8">
        <v>146</v>
      </c>
      <c r="B150" s="8" t="s">
        <v>3380</v>
      </c>
      <c r="C150" s="8" t="s">
        <v>621</v>
      </c>
      <c r="D150" s="8" t="s">
        <v>622</v>
      </c>
      <c r="E150" s="8" t="s">
        <v>3361</v>
      </c>
      <c r="F150" s="8" t="s">
        <v>890</v>
      </c>
      <c r="G150" s="8"/>
      <c r="H150" s="8" t="s">
        <v>891</v>
      </c>
      <c r="I150" s="8"/>
      <c r="J150" s="8" t="s">
        <v>42</v>
      </c>
      <c r="K150" s="8" t="s">
        <v>24</v>
      </c>
      <c r="L150" s="8" t="s">
        <v>3131</v>
      </c>
      <c r="M150" s="8" t="s">
        <v>3136</v>
      </c>
      <c r="N150" s="8" t="s">
        <v>3420</v>
      </c>
      <c r="O150" s="8"/>
      <c r="P150" s="8"/>
      <c r="Q150" s="8"/>
      <c r="R150" s="8"/>
    </row>
    <row r="151" spans="1:18" ht="37.950000000000003" customHeight="1">
      <c r="A151" s="8">
        <v>147</v>
      </c>
      <c r="B151" s="8" t="s">
        <v>3380</v>
      </c>
      <c r="C151" s="8" t="s">
        <v>629</v>
      </c>
      <c r="D151" s="8" t="s">
        <v>630</v>
      </c>
      <c r="E151" s="8" t="s">
        <v>1191</v>
      </c>
      <c r="F151" s="8" t="s">
        <v>1190</v>
      </c>
      <c r="G151" s="8"/>
      <c r="H151" s="8" t="s">
        <v>1191</v>
      </c>
      <c r="I151" s="8"/>
      <c r="J151" s="8" t="s">
        <v>42</v>
      </c>
      <c r="K151" s="8" t="s">
        <v>24</v>
      </c>
      <c r="L151" s="8" t="s">
        <v>3131</v>
      </c>
      <c r="M151" s="8" t="s">
        <v>3178</v>
      </c>
      <c r="N151" s="8" t="s">
        <v>3424</v>
      </c>
      <c r="O151" s="8"/>
      <c r="P151" s="8"/>
      <c r="Q151" s="8"/>
      <c r="R151" s="8"/>
    </row>
    <row r="152" spans="1:18" ht="37.950000000000003" customHeight="1">
      <c r="A152" s="8">
        <v>148</v>
      </c>
      <c r="B152" s="8" t="s">
        <v>3380</v>
      </c>
      <c r="C152" s="8" t="s">
        <v>631</v>
      </c>
      <c r="D152" s="8" t="s">
        <v>392</v>
      </c>
      <c r="E152" s="8" t="s">
        <v>3281</v>
      </c>
      <c r="F152" s="8" t="s">
        <v>779</v>
      </c>
      <c r="G152" s="8" t="s">
        <v>1463</v>
      </c>
      <c r="H152" s="8" t="s">
        <v>780</v>
      </c>
      <c r="I152" s="8" t="s">
        <v>1464</v>
      </c>
      <c r="J152" s="8" t="s">
        <v>40</v>
      </c>
      <c r="K152" s="8" t="s">
        <v>40</v>
      </c>
      <c r="L152" s="8" t="s">
        <v>3117</v>
      </c>
      <c r="M152" s="8" t="s">
        <v>3117</v>
      </c>
      <c r="N152" s="8" t="s">
        <v>3424</v>
      </c>
      <c r="O152" s="8"/>
      <c r="P152" s="8"/>
      <c r="Q152" s="8"/>
      <c r="R152" s="8"/>
    </row>
    <row r="153" spans="1:18" ht="37.950000000000003" customHeight="1">
      <c r="A153" s="8">
        <v>149</v>
      </c>
      <c r="B153" s="8" t="s">
        <v>3380</v>
      </c>
      <c r="C153" s="8" t="s">
        <v>633</v>
      </c>
      <c r="D153" s="8" t="s">
        <v>634</v>
      </c>
      <c r="E153" s="8" t="s">
        <v>3286</v>
      </c>
      <c r="F153" s="8" t="s">
        <v>785</v>
      </c>
      <c r="G153" s="8" t="s">
        <v>1465</v>
      </c>
      <c r="H153" s="8" t="s">
        <v>786</v>
      </c>
      <c r="I153" s="8" t="s">
        <v>1466</v>
      </c>
      <c r="J153" s="8" t="s">
        <v>42</v>
      </c>
      <c r="K153" s="8" t="s">
        <v>42</v>
      </c>
      <c r="L153" s="8" t="s">
        <v>3425</v>
      </c>
      <c r="M153" s="8" t="s">
        <v>3131</v>
      </c>
      <c r="N153" s="8" t="s">
        <v>3424</v>
      </c>
      <c r="O153" s="8"/>
      <c r="P153" s="8"/>
      <c r="Q153" s="8"/>
      <c r="R153" s="8"/>
    </row>
    <row r="154" spans="1:18" ht="37.950000000000003" customHeight="1">
      <c r="A154" s="8">
        <v>150</v>
      </c>
      <c r="B154" s="8" t="s">
        <v>3275</v>
      </c>
      <c r="C154" s="8" t="s">
        <v>401</v>
      </c>
      <c r="D154" s="8" t="s">
        <v>402</v>
      </c>
      <c r="E154" s="8"/>
      <c r="F154" s="8" t="s">
        <v>788</v>
      </c>
      <c r="G154" s="8"/>
      <c r="H154" s="8" t="s">
        <v>789</v>
      </c>
      <c r="I154" s="8"/>
      <c r="J154" s="8" t="s">
        <v>24</v>
      </c>
      <c r="K154" s="8" t="s">
        <v>24</v>
      </c>
      <c r="L154" s="8" t="s">
        <v>3426</v>
      </c>
      <c r="M154" s="8" t="s">
        <v>3136</v>
      </c>
      <c r="N154" s="8" t="s">
        <v>3280</v>
      </c>
      <c r="O154" s="8"/>
      <c r="P154" s="8"/>
      <c r="Q154" s="8"/>
      <c r="R154" s="8"/>
    </row>
    <row r="155" spans="1:18" ht="37.950000000000003" customHeight="1">
      <c r="A155" s="8">
        <v>151</v>
      </c>
      <c r="B155" s="8" t="s">
        <v>3380</v>
      </c>
      <c r="C155" s="8" t="s">
        <v>635</v>
      </c>
      <c r="D155" s="8" t="s">
        <v>636</v>
      </c>
      <c r="E155" s="8" t="s">
        <v>3427</v>
      </c>
      <c r="F155" s="8" t="s">
        <v>760</v>
      </c>
      <c r="G155" s="8" t="s">
        <v>1454</v>
      </c>
      <c r="H155" s="8" t="s">
        <v>761</v>
      </c>
      <c r="I155" s="8" t="s">
        <v>1455</v>
      </c>
      <c r="J155" s="8" t="s">
        <v>42</v>
      </c>
      <c r="K155" s="8" t="s">
        <v>40</v>
      </c>
      <c r="L155" s="8" t="s">
        <v>3428</v>
      </c>
      <c r="M155" s="8" t="s">
        <v>3117</v>
      </c>
      <c r="N155" s="8" t="s">
        <v>3424</v>
      </c>
      <c r="O155" s="8"/>
      <c r="P155" s="8"/>
      <c r="Q155" s="8"/>
      <c r="R155" s="8"/>
    </row>
    <row r="156" spans="1:18" ht="37.950000000000003" customHeight="1">
      <c r="A156" s="8">
        <v>152</v>
      </c>
      <c r="B156" s="8" t="s">
        <v>3380</v>
      </c>
      <c r="C156" s="8" t="s">
        <v>637</v>
      </c>
      <c r="D156" s="8" t="s">
        <v>588</v>
      </c>
      <c r="E156" s="8" t="s">
        <v>3384</v>
      </c>
      <c r="F156" s="8" t="s">
        <v>938</v>
      </c>
      <c r="G156" s="8" t="s">
        <v>1503</v>
      </c>
      <c r="H156" s="8" t="s">
        <v>939</v>
      </c>
      <c r="I156" s="8" t="s">
        <v>1504</v>
      </c>
      <c r="J156" s="8" t="s">
        <v>690</v>
      </c>
      <c r="K156" s="8" t="s">
        <v>40</v>
      </c>
      <c r="L156" s="8" t="s">
        <v>3419</v>
      </c>
      <c r="M156" s="8" t="s">
        <v>3117</v>
      </c>
      <c r="N156" s="8" t="s">
        <v>3424</v>
      </c>
      <c r="O156" s="8"/>
      <c r="P156" s="8"/>
      <c r="Q156" s="8"/>
      <c r="R156" s="8"/>
    </row>
    <row r="157" spans="1:18" ht="37.950000000000003" customHeight="1">
      <c r="A157" s="8">
        <v>153</v>
      </c>
      <c r="B157" s="8" t="s">
        <v>3275</v>
      </c>
      <c r="C157" s="8" t="s">
        <v>407</v>
      </c>
      <c r="D157" s="8" t="s">
        <v>408</v>
      </c>
      <c r="E157" s="8"/>
      <c r="F157" s="8" t="s">
        <v>794</v>
      </c>
      <c r="G157" s="8"/>
      <c r="H157" s="8" t="s">
        <v>795</v>
      </c>
      <c r="I157" s="8"/>
      <c r="J157" s="8" t="s">
        <v>24</v>
      </c>
      <c r="K157" s="8" t="s">
        <v>24</v>
      </c>
      <c r="L157" s="8" t="s">
        <v>3355</v>
      </c>
      <c r="M157" s="8" t="s">
        <v>3178</v>
      </c>
      <c r="N157" s="8" t="s">
        <v>3429</v>
      </c>
      <c r="O157" s="8"/>
      <c r="P157" s="8"/>
      <c r="Q157" s="8"/>
      <c r="R157" s="8"/>
    </row>
    <row r="158" spans="1:18" ht="37.950000000000003" customHeight="1">
      <c r="A158" s="8">
        <v>154</v>
      </c>
      <c r="B158" s="8" t="s">
        <v>3275</v>
      </c>
      <c r="C158" s="8" t="s">
        <v>409</v>
      </c>
      <c r="D158" s="8" t="s">
        <v>410</v>
      </c>
      <c r="E158" s="8"/>
      <c r="F158" s="8" t="s">
        <v>794</v>
      </c>
      <c r="G158" s="8"/>
      <c r="H158" s="8" t="s">
        <v>795</v>
      </c>
      <c r="I158" s="8"/>
      <c r="J158" s="8" t="s">
        <v>24</v>
      </c>
      <c r="K158" s="8" t="s">
        <v>24</v>
      </c>
      <c r="L158" s="8" t="s">
        <v>3430</v>
      </c>
      <c r="M158" s="8" t="s">
        <v>3178</v>
      </c>
      <c r="N158" s="8" t="s">
        <v>3429</v>
      </c>
      <c r="O158" s="8"/>
      <c r="P158" s="8"/>
      <c r="Q158" s="8"/>
      <c r="R158" s="8"/>
    </row>
    <row r="159" spans="1:18" ht="37.950000000000003" customHeight="1">
      <c r="A159" s="8">
        <v>155</v>
      </c>
      <c r="B159" s="8" t="s">
        <v>3380</v>
      </c>
      <c r="C159" s="8" t="s">
        <v>638</v>
      </c>
      <c r="D159" s="8" t="s">
        <v>639</v>
      </c>
      <c r="E159" s="8" t="s">
        <v>3361</v>
      </c>
      <c r="F159" s="8" t="s">
        <v>893</v>
      </c>
      <c r="G159" s="8" t="s">
        <v>1488</v>
      </c>
      <c r="H159" s="8" t="s">
        <v>894</v>
      </c>
      <c r="I159" s="8" t="s">
        <v>1489</v>
      </c>
      <c r="J159" s="8" t="s">
        <v>42</v>
      </c>
      <c r="K159" s="8" t="s">
        <v>42</v>
      </c>
      <c r="L159" s="8" t="s">
        <v>3131</v>
      </c>
      <c r="M159" s="8" t="s">
        <v>3431</v>
      </c>
      <c r="N159" s="8" t="s">
        <v>3432</v>
      </c>
      <c r="O159" s="8"/>
      <c r="P159" s="8"/>
      <c r="Q159" s="8"/>
      <c r="R159" s="8"/>
    </row>
    <row r="160" spans="1:18" ht="37.950000000000003" customHeight="1">
      <c r="A160" s="8">
        <v>156</v>
      </c>
      <c r="B160" s="8" t="s">
        <v>3380</v>
      </c>
      <c r="C160" s="8" t="s">
        <v>642</v>
      </c>
      <c r="D160" s="8" t="s">
        <v>643</v>
      </c>
      <c r="E160" s="8" t="s">
        <v>856</v>
      </c>
      <c r="F160" s="8" t="s">
        <v>855</v>
      </c>
      <c r="G160" s="8"/>
      <c r="H160" s="8" t="s">
        <v>856</v>
      </c>
      <c r="I160" s="8"/>
      <c r="J160" s="8" t="s">
        <v>24</v>
      </c>
      <c r="K160" s="8" t="s">
        <v>24</v>
      </c>
      <c r="L160" s="8" t="s">
        <v>3398</v>
      </c>
      <c r="M160" s="8" t="s">
        <v>3178</v>
      </c>
      <c r="N160" s="8" t="s">
        <v>3432</v>
      </c>
      <c r="O160" s="8"/>
      <c r="P160" s="8"/>
      <c r="Q160" s="8"/>
      <c r="R160" s="8"/>
    </row>
    <row r="161" spans="1:18" ht="37.950000000000003" customHeight="1">
      <c r="A161" s="8">
        <v>157</v>
      </c>
      <c r="B161" s="8" t="s">
        <v>3380</v>
      </c>
      <c r="C161" s="8" t="s">
        <v>644</v>
      </c>
      <c r="D161" s="8" t="s">
        <v>645</v>
      </c>
      <c r="E161" s="8" t="s">
        <v>3308</v>
      </c>
      <c r="F161" s="8" t="s">
        <v>869</v>
      </c>
      <c r="G161" s="8"/>
      <c r="H161" s="8" t="s">
        <v>870</v>
      </c>
      <c r="I161" s="8"/>
      <c r="J161" s="8" t="s">
        <v>42</v>
      </c>
      <c r="K161" s="8" t="s">
        <v>24</v>
      </c>
      <c r="L161" s="8" t="s">
        <v>3433</v>
      </c>
      <c r="M161" s="8" t="s">
        <v>3136</v>
      </c>
      <c r="N161" s="8" t="s">
        <v>3432</v>
      </c>
      <c r="O161" s="8"/>
      <c r="P161" s="8"/>
      <c r="Q161" s="8"/>
      <c r="R161" s="8"/>
    </row>
    <row r="162" spans="1:18" ht="37.950000000000003" customHeight="1">
      <c r="A162" s="8">
        <v>158</v>
      </c>
      <c r="B162" s="8" t="s">
        <v>3275</v>
      </c>
      <c r="C162" s="8" t="s">
        <v>417</v>
      </c>
      <c r="D162" s="8" t="s">
        <v>418</v>
      </c>
      <c r="E162" s="8"/>
      <c r="F162" s="8" t="s">
        <v>798</v>
      </c>
      <c r="G162" s="8" t="s">
        <v>1819</v>
      </c>
      <c r="H162" s="8" t="s">
        <v>799</v>
      </c>
      <c r="I162" s="8" t="s">
        <v>1820</v>
      </c>
      <c r="J162" s="8" t="s">
        <v>42</v>
      </c>
      <c r="K162" s="8" t="s">
        <v>40</v>
      </c>
      <c r="L162" s="8" t="s">
        <v>3131</v>
      </c>
      <c r="M162" s="8" t="s">
        <v>3117</v>
      </c>
      <c r="N162" s="8" t="s">
        <v>3303</v>
      </c>
      <c r="O162" s="8"/>
      <c r="P162" s="8"/>
      <c r="Q162" s="8"/>
      <c r="R162" s="8"/>
    </row>
    <row r="163" spans="1:18" ht="37.950000000000003" customHeight="1">
      <c r="A163" s="8">
        <v>159</v>
      </c>
      <c r="B163" s="8" t="s">
        <v>3275</v>
      </c>
      <c r="C163" s="8" t="s">
        <v>419</v>
      </c>
      <c r="D163" s="8" t="s">
        <v>420</v>
      </c>
      <c r="E163" s="8"/>
      <c r="F163" s="8" t="s">
        <v>798</v>
      </c>
      <c r="G163" s="8" t="s">
        <v>1472</v>
      </c>
      <c r="H163" s="8" t="s">
        <v>799</v>
      </c>
      <c r="I163" s="8" t="s">
        <v>1473</v>
      </c>
      <c r="J163" s="8" t="s">
        <v>40</v>
      </c>
      <c r="K163" s="8" t="s">
        <v>40</v>
      </c>
      <c r="L163" s="8" t="s">
        <v>3117</v>
      </c>
      <c r="M163" s="8" t="s">
        <v>3434</v>
      </c>
      <c r="N163" s="8" t="s">
        <v>3303</v>
      </c>
      <c r="O163" s="8"/>
      <c r="P163" s="8"/>
      <c r="Q163" s="8"/>
      <c r="R163" s="8"/>
    </row>
    <row r="164" spans="1:18" ht="37.950000000000003" customHeight="1">
      <c r="A164" s="8">
        <v>160</v>
      </c>
      <c r="B164" s="8" t="s">
        <v>3275</v>
      </c>
      <c r="C164" s="8" t="s">
        <v>421</v>
      </c>
      <c r="D164" s="8" t="s">
        <v>422</v>
      </c>
      <c r="E164" s="8"/>
      <c r="F164" s="8" t="s">
        <v>1160</v>
      </c>
      <c r="G164" s="8" t="s">
        <v>1822</v>
      </c>
      <c r="H164" s="8" t="s">
        <v>1161</v>
      </c>
      <c r="I164" s="8" t="s">
        <v>1823</v>
      </c>
      <c r="J164" s="8" t="s">
        <v>42</v>
      </c>
      <c r="K164" s="8" t="s">
        <v>40</v>
      </c>
      <c r="L164" s="8" t="s">
        <v>3435</v>
      </c>
      <c r="M164" s="8" t="s">
        <v>3117</v>
      </c>
      <c r="N164" s="8" t="s">
        <v>3303</v>
      </c>
      <c r="O164" s="8"/>
      <c r="P164" s="8"/>
      <c r="Q164" s="8"/>
      <c r="R164" s="8"/>
    </row>
    <row r="165" spans="1:18" ht="37.950000000000003" customHeight="1">
      <c r="A165" s="8">
        <v>161</v>
      </c>
      <c r="B165" s="8" t="s">
        <v>3380</v>
      </c>
      <c r="C165" s="8" t="s">
        <v>646</v>
      </c>
      <c r="D165" s="8" t="s">
        <v>647</v>
      </c>
      <c r="E165" s="8" t="s">
        <v>3281</v>
      </c>
      <c r="F165" s="8" t="s">
        <v>779</v>
      </c>
      <c r="G165" s="8" t="s">
        <v>1463</v>
      </c>
      <c r="H165" s="8" t="s">
        <v>780</v>
      </c>
      <c r="I165" s="8" t="s">
        <v>1464</v>
      </c>
      <c r="J165" s="8" t="s">
        <v>42</v>
      </c>
      <c r="K165" s="8" t="s">
        <v>690</v>
      </c>
      <c r="L165" s="8" t="s">
        <v>3131</v>
      </c>
      <c r="M165" s="8" t="s">
        <v>3436</v>
      </c>
      <c r="N165" s="8" t="s">
        <v>3432</v>
      </c>
      <c r="O165" s="8"/>
      <c r="P165" s="8"/>
      <c r="Q165" s="8"/>
      <c r="R165" s="8"/>
    </row>
    <row r="166" spans="1:18" ht="37.950000000000003" customHeight="1">
      <c r="A166" s="8">
        <v>162</v>
      </c>
      <c r="B166" s="8" t="s">
        <v>3380</v>
      </c>
      <c r="C166" s="8" t="s">
        <v>648</v>
      </c>
      <c r="D166" s="8" t="s">
        <v>649</v>
      </c>
      <c r="E166" s="8" t="s">
        <v>862</v>
      </c>
      <c r="F166" s="8" t="s">
        <v>861</v>
      </c>
      <c r="G166" s="8"/>
      <c r="H166" s="8" t="s">
        <v>862</v>
      </c>
      <c r="I166" s="8"/>
      <c r="J166" s="8" t="s">
        <v>42</v>
      </c>
      <c r="K166" s="8" t="s">
        <v>24</v>
      </c>
      <c r="L166" s="8" t="s">
        <v>3131</v>
      </c>
      <c r="M166" s="8" t="s">
        <v>3178</v>
      </c>
      <c r="N166" s="8" t="s">
        <v>3432</v>
      </c>
      <c r="O166" s="8"/>
      <c r="P166" s="8"/>
      <c r="Q166" s="8"/>
      <c r="R166" s="8"/>
    </row>
    <row r="167" spans="1:18" ht="37.950000000000003" customHeight="1">
      <c r="A167" s="8">
        <v>163</v>
      </c>
      <c r="B167" s="8" t="s">
        <v>3380</v>
      </c>
      <c r="C167" s="8" t="s">
        <v>650</v>
      </c>
      <c r="D167" s="8" t="s">
        <v>651</v>
      </c>
      <c r="E167" s="8" t="s">
        <v>3437</v>
      </c>
      <c r="F167" s="8" t="s">
        <v>974</v>
      </c>
      <c r="G167" s="8"/>
      <c r="H167" s="8" t="s">
        <v>651</v>
      </c>
      <c r="I167" s="8"/>
      <c r="J167" s="8" t="s">
        <v>24</v>
      </c>
      <c r="K167" s="8" t="s">
        <v>24</v>
      </c>
      <c r="L167" s="8" t="s">
        <v>3438</v>
      </c>
      <c r="M167" s="8" t="s">
        <v>3136</v>
      </c>
      <c r="N167" s="8" t="s">
        <v>3432</v>
      </c>
      <c r="O167" s="8"/>
      <c r="P167" s="8"/>
      <c r="Q167" s="8"/>
      <c r="R167" s="8"/>
    </row>
    <row r="168" spans="1:18" ht="37.950000000000003" customHeight="1">
      <c r="A168" s="8">
        <v>164</v>
      </c>
      <c r="B168" s="8" t="s">
        <v>3275</v>
      </c>
      <c r="C168" s="8" t="s">
        <v>429</v>
      </c>
      <c r="D168" s="8" t="s">
        <v>430</v>
      </c>
      <c r="E168" s="8"/>
      <c r="F168" s="8" t="s">
        <v>808</v>
      </c>
      <c r="G168" s="8" t="s">
        <v>1479</v>
      </c>
      <c r="H168" s="8" t="s">
        <v>809</v>
      </c>
      <c r="I168" s="8" t="s">
        <v>1480</v>
      </c>
      <c r="J168" s="8" t="s">
        <v>24</v>
      </c>
      <c r="K168" s="8" t="s">
        <v>40</v>
      </c>
      <c r="L168" s="8" t="s">
        <v>3439</v>
      </c>
      <c r="M168" s="8" t="s">
        <v>3440</v>
      </c>
      <c r="N168" s="8" t="s">
        <v>3441</v>
      </c>
      <c r="O168" s="8"/>
      <c r="P168" s="8"/>
      <c r="Q168" s="8"/>
      <c r="R168" s="8"/>
    </row>
    <row r="169" spans="1:18" ht="37.950000000000003" customHeight="1">
      <c r="A169" s="8">
        <v>165</v>
      </c>
      <c r="B169" s="8" t="s">
        <v>3380</v>
      </c>
      <c r="C169" s="8" t="s">
        <v>664</v>
      </c>
      <c r="D169" s="8" t="s">
        <v>665</v>
      </c>
      <c r="E169" s="8" t="s">
        <v>3384</v>
      </c>
      <c r="F169" s="8" t="s">
        <v>1413</v>
      </c>
      <c r="G169" s="8"/>
      <c r="H169" s="8" t="s">
        <v>1414</v>
      </c>
      <c r="I169" s="8"/>
      <c r="J169" s="8" t="s">
        <v>40</v>
      </c>
      <c r="K169" s="8" t="s">
        <v>24</v>
      </c>
      <c r="L169" s="8" t="s">
        <v>3117</v>
      </c>
      <c r="M169" s="8" t="s">
        <v>3442</v>
      </c>
      <c r="N169" s="8" t="s">
        <v>3443</v>
      </c>
      <c r="O169" s="8"/>
      <c r="P169" s="8"/>
      <c r="Q169" s="8"/>
      <c r="R169" s="8"/>
    </row>
    <row r="170" spans="1:18" ht="37.950000000000003" customHeight="1">
      <c r="A170" s="8">
        <v>166</v>
      </c>
      <c r="B170" s="8" t="s">
        <v>3114</v>
      </c>
      <c r="C170" s="8" t="s">
        <v>107</v>
      </c>
      <c r="D170" s="8" t="s">
        <v>109</v>
      </c>
      <c r="E170" s="8" t="s">
        <v>1197</v>
      </c>
      <c r="F170" s="8" t="s">
        <v>1196</v>
      </c>
      <c r="G170" s="8" t="s">
        <v>1688</v>
      </c>
      <c r="H170" s="8" t="s">
        <v>1197</v>
      </c>
      <c r="I170" s="8" t="s">
        <v>1689</v>
      </c>
      <c r="J170" s="8" t="s">
        <v>40</v>
      </c>
      <c r="K170" s="8" t="s">
        <v>40</v>
      </c>
      <c r="L170" s="8" t="s">
        <v>3444</v>
      </c>
      <c r="M170" s="8" t="s">
        <v>3117</v>
      </c>
      <c r="N170" s="8" t="s">
        <v>3125</v>
      </c>
      <c r="O170" s="8" t="s">
        <v>3445</v>
      </c>
      <c r="P170" s="8" t="s">
        <v>3446</v>
      </c>
      <c r="Q170" s="8" t="s">
        <v>3128</v>
      </c>
      <c r="R170" s="8" t="s">
        <v>3129</v>
      </c>
    </row>
    <row r="171" spans="1:18" ht="37.950000000000003" customHeight="1">
      <c r="A171" s="8">
        <v>167</v>
      </c>
      <c r="B171" s="8" t="s">
        <v>3114</v>
      </c>
      <c r="C171" s="8" t="s">
        <v>114</v>
      </c>
      <c r="D171" s="8" t="s">
        <v>115</v>
      </c>
      <c r="E171" s="8" t="s">
        <v>3447</v>
      </c>
      <c r="F171" s="8" t="s">
        <v>1203</v>
      </c>
      <c r="G171" s="8" t="s">
        <v>1695</v>
      </c>
      <c r="H171" s="8" t="s">
        <v>1204</v>
      </c>
      <c r="I171" s="8" t="s">
        <v>1696</v>
      </c>
      <c r="J171" s="8" t="s">
        <v>40</v>
      </c>
      <c r="K171" s="8" t="s">
        <v>40</v>
      </c>
      <c r="L171" s="8" t="s">
        <v>3117</v>
      </c>
      <c r="M171" s="8" t="s">
        <v>3117</v>
      </c>
      <c r="N171" s="8" t="s">
        <v>3125</v>
      </c>
      <c r="O171" s="8" t="s">
        <v>3448</v>
      </c>
      <c r="P171" s="8" t="s">
        <v>3449</v>
      </c>
      <c r="Q171" s="8" t="s">
        <v>3128</v>
      </c>
      <c r="R171" s="8" t="s">
        <v>3129</v>
      </c>
    </row>
    <row r="172" spans="1:18" ht="37.950000000000003" customHeight="1">
      <c r="A172" s="8">
        <v>168</v>
      </c>
      <c r="B172" s="8" t="s">
        <v>3114</v>
      </c>
      <c r="C172" s="8" t="s">
        <v>118</v>
      </c>
      <c r="D172" s="8" t="s">
        <v>119</v>
      </c>
      <c r="E172" s="8" t="s">
        <v>727</v>
      </c>
      <c r="F172" s="8" t="s">
        <v>726</v>
      </c>
      <c r="G172" s="8" t="s">
        <v>1700</v>
      </c>
      <c r="H172" s="8" t="s">
        <v>727</v>
      </c>
      <c r="I172" s="8" t="s">
        <v>1701</v>
      </c>
      <c r="J172" s="8" t="s">
        <v>42</v>
      </c>
      <c r="K172" s="8" t="s">
        <v>40</v>
      </c>
      <c r="L172" s="8" t="s">
        <v>3450</v>
      </c>
      <c r="M172" s="8" t="s">
        <v>3117</v>
      </c>
      <c r="N172" s="8" t="s">
        <v>3125</v>
      </c>
      <c r="O172" s="8" t="s">
        <v>3451</v>
      </c>
      <c r="P172" s="8" t="s">
        <v>3238</v>
      </c>
      <c r="Q172" s="8" t="s">
        <v>3248</v>
      </c>
      <c r="R172" s="8" t="s">
        <v>3249</v>
      </c>
    </row>
    <row r="173" spans="1:18" ht="37.950000000000003" customHeight="1">
      <c r="A173" s="8">
        <v>169</v>
      </c>
      <c r="B173" s="8" t="s">
        <v>3114</v>
      </c>
      <c r="C173" s="8" t="s">
        <v>142</v>
      </c>
      <c r="D173" s="8" t="s">
        <v>143</v>
      </c>
      <c r="E173" s="8" t="s">
        <v>727</v>
      </c>
      <c r="F173" s="8" t="s">
        <v>1002</v>
      </c>
      <c r="G173" s="8" t="s">
        <v>1706</v>
      </c>
      <c r="H173" s="8" t="s">
        <v>727</v>
      </c>
      <c r="I173" s="8" t="s">
        <v>1707</v>
      </c>
      <c r="J173" s="8" t="s">
        <v>42</v>
      </c>
      <c r="K173" s="8" t="s">
        <v>40</v>
      </c>
      <c r="L173" s="8" t="s">
        <v>3452</v>
      </c>
      <c r="M173" s="8" t="s">
        <v>3117</v>
      </c>
      <c r="N173" s="8" t="s">
        <v>3125</v>
      </c>
      <c r="O173" s="8" t="s">
        <v>3451</v>
      </c>
      <c r="P173" s="8" t="s">
        <v>3256</v>
      </c>
      <c r="Q173" s="8" t="s">
        <v>3128</v>
      </c>
      <c r="R173" s="8" t="s">
        <v>3129</v>
      </c>
    </row>
    <row r="174" spans="1:18" ht="37.950000000000003" customHeight="1">
      <c r="A174" s="8">
        <v>170</v>
      </c>
      <c r="B174" s="8" t="s">
        <v>3275</v>
      </c>
      <c r="C174" s="8" t="s">
        <v>441</v>
      </c>
      <c r="D174" s="8" t="s">
        <v>442</v>
      </c>
      <c r="E174" s="8"/>
      <c r="F174" s="8" t="s">
        <v>817</v>
      </c>
      <c r="G174" s="8"/>
      <c r="H174" s="8" t="s">
        <v>818</v>
      </c>
      <c r="I174" s="8"/>
      <c r="J174" s="8" t="s">
        <v>42</v>
      </c>
      <c r="K174" s="8" t="s">
        <v>24</v>
      </c>
      <c r="L174" s="8" t="s">
        <v>3453</v>
      </c>
      <c r="M174" s="8" t="s">
        <v>3136</v>
      </c>
      <c r="N174" s="8" t="s">
        <v>3441</v>
      </c>
      <c r="O174" s="8"/>
      <c r="P174" s="8"/>
      <c r="Q174" s="8"/>
      <c r="R174" s="8"/>
    </row>
    <row r="175" spans="1:18" ht="37.950000000000003" customHeight="1">
      <c r="A175" s="8">
        <v>171</v>
      </c>
      <c r="B175" s="8" t="s">
        <v>3114</v>
      </c>
      <c r="C175" s="8" t="s">
        <v>120</v>
      </c>
      <c r="D175" s="8" t="s">
        <v>121</v>
      </c>
      <c r="E175" s="8" t="s">
        <v>727</v>
      </c>
      <c r="F175" s="8" t="s">
        <v>726</v>
      </c>
      <c r="G175" s="8" t="s">
        <v>1703</v>
      </c>
      <c r="H175" s="8" t="s">
        <v>727</v>
      </c>
      <c r="I175" s="8" t="s">
        <v>1704</v>
      </c>
      <c r="J175" s="8" t="s">
        <v>42</v>
      </c>
      <c r="K175" s="8" t="s">
        <v>40</v>
      </c>
      <c r="L175" s="8" t="s">
        <v>3450</v>
      </c>
      <c r="M175" s="8" t="s">
        <v>3117</v>
      </c>
      <c r="N175" s="8" t="s">
        <v>3125</v>
      </c>
      <c r="O175" s="8" t="s">
        <v>3451</v>
      </c>
      <c r="P175" s="8" t="s">
        <v>3454</v>
      </c>
      <c r="Q175" s="8" t="s">
        <v>3133</v>
      </c>
      <c r="R175" s="8" t="s">
        <v>3134</v>
      </c>
    </row>
    <row r="176" spans="1:18" ht="37.950000000000003" customHeight="1">
      <c r="A176" s="8">
        <v>172</v>
      </c>
      <c r="B176" s="8" t="s">
        <v>3275</v>
      </c>
      <c r="C176" s="8" t="s">
        <v>445</v>
      </c>
      <c r="D176" s="8" t="s">
        <v>446</v>
      </c>
      <c r="E176" s="8"/>
      <c r="F176" s="8" t="s">
        <v>823</v>
      </c>
      <c r="G176" s="8" t="s">
        <v>1828</v>
      </c>
      <c r="H176" s="8" t="s">
        <v>824</v>
      </c>
      <c r="I176" s="8" t="s">
        <v>824</v>
      </c>
      <c r="J176" s="8" t="s">
        <v>24</v>
      </c>
      <c r="K176" s="8" t="s">
        <v>40</v>
      </c>
      <c r="L176" s="8" t="s">
        <v>3455</v>
      </c>
      <c r="M176" s="8" t="s">
        <v>3117</v>
      </c>
      <c r="N176" s="8" t="s">
        <v>3311</v>
      </c>
      <c r="O176" s="8"/>
      <c r="P176" s="8"/>
      <c r="Q176" s="8"/>
      <c r="R176" s="8"/>
    </row>
    <row r="177" spans="1:18" ht="37.950000000000003" customHeight="1">
      <c r="A177" s="8">
        <v>173</v>
      </c>
      <c r="B177" s="8" t="s">
        <v>3114</v>
      </c>
      <c r="C177" s="8" t="s">
        <v>124</v>
      </c>
      <c r="D177" s="8" t="s">
        <v>125</v>
      </c>
      <c r="E177" s="8" t="s">
        <v>3456</v>
      </c>
      <c r="F177" s="8" t="s">
        <v>990</v>
      </c>
      <c r="G177" s="8"/>
      <c r="H177" s="8" t="s">
        <v>991</v>
      </c>
      <c r="I177" s="8"/>
      <c r="J177" s="8" t="s">
        <v>42</v>
      </c>
      <c r="K177" s="8" t="s">
        <v>24</v>
      </c>
      <c r="L177" s="8" t="s">
        <v>3131</v>
      </c>
      <c r="M177" s="8" t="s">
        <v>3457</v>
      </c>
      <c r="N177" s="8" t="s">
        <v>3125</v>
      </c>
      <c r="O177" s="8" t="s">
        <v>3170</v>
      </c>
      <c r="P177" s="8" t="s">
        <v>3164</v>
      </c>
      <c r="Q177" s="8" t="s">
        <v>3128</v>
      </c>
      <c r="R177" s="8" t="s">
        <v>3129</v>
      </c>
    </row>
    <row r="178" spans="1:18" ht="37.950000000000003" customHeight="1">
      <c r="A178" s="8">
        <v>174</v>
      </c>
      <c r="B178" s="8" t="s">
        <v>3275</v>
      </c>
      <c r="C178" s="8" t="s">
        <v>449</v>
      </c>
      <c r="D178" s="8" t="s">
        <v>450</v>
      </c>
      <c r="E178" s="8"/>
      <c r="F178" s="8" t="s">
        <v>826</v>
      </c>
      <c r="G178" s="8"/>
      <c r="H178" s="8" t="s">
        <v>450</v>
      </c>
      <c r="I178" s="8"/>
      <c r="J178" s="8" t="s">
        <v>24</v>
      </c>
      <c r="K178" s="8" t="s">
        <v>24</v>
      </c>
      <c r="L178" s="8" t="s">
        <v>3458</v>
      </c>
      <c r="M178" s="8" t="s">
        <v>3136</v>
      </c>
      <c r="N178" s="8" t="s">
        <v>3311</v>
      </c>
      <c r="O178" s="8"/>
      <c r="P178" s="8"/>
      <c r="Q178" s="8"/>
      <c r="R178" s="8"/>
    </row>
    <row r="179" spans="1:18" ht="37.950000000000003" customHeight="1">
      <c r="A179" s="8">
        <v>175</v>
      </c>
      <c r="B179" s="8" t="s">
        <v>3114</v>
      </c>
      <c r="C179" s="8" t="s">
        <v>130</v>
      </c>
      <c r="D179" s="8" t="s">
        <v>131</v>
      </c>
      <c r="E179" s="8" t="s">
        <v>3161</v>
      </c>
      <c r="F179" s="8" t="s">
        <v>1212</v>
      </c>
      <c r="G179" s="8"/>
      <c r="H179" s="8" t="s">
        <v>1213</v>
      </c>
      <c r="I179" s="8"/>
      <c r="J179" s="8" t="s">
        <v>40</v>
      </c>
      <c r="K179" s="8" t="s">
        <v>24</v>
      </c>
      <c r="L179" s="8" t="s">
        <v>3117</v>
      </c>
      <c r="M179" s="8" t="s">
        <v>3136</v>
      </c>
      <c r="N179" s="8" t="s">
        <v>3125</v>
      </c>
      <c r="O179" s="8" t="s">
        <v>1213</v>
      </c>
      <c r="P179" s="8" t="s">
        <v>3459</v>
      </c>
      <c r="Q179" s="8" t="s">
        <v>3128</v>
      </c>
      <c r="R179" s="8" t="s">
        <v>3129</v>
      </c>
    </row>
    <row r="180" spans="1:18" ht="37.950000000000003" customHeight="1">
      <c r="A180" s="8">
        <v>176</v>
      </c>
      <c r="B180" s="8" t="s">
        <v>3275</v>
      </c>
      <c r="C180" s="8" t="s">
        <v>453</v>
      </c>
      <c r="D180" s="8" t="s">
        <v>454</v>
      </c>
      <c r="E180" s="8"/>
      <c r="F180" s="8" t="s">
        <v>831</v>
      </c>
      <c r="G180" s="8" t="s">
        <v>1830</v>
      </c>
      <c r="H180" s="8" t="s">
        <v>832</v>
      </c>
      <c r="I180" s="8" t="s">
        <v>1831</v>
      </c>
      <c r="J180" s="8" t="s">
        <v>24</v>
      </c>
      <c r="K180" s="8" t="s">
        <v>40</v>
      </c>
      <c r="L180" s="8" t="s">
        <v>3460</v>
      </c>
      <c r="M180" s="8" t="s">
        <v>3461</v>
      </c>
      <c r="N180" s="8" t="s">
        <v>3311</v>
      </c>
      <c r="O180" s="8"/>
      <c r="P180" s="8"/>
      <c r="Q180" s="8"/>
      <c r="R180" s="8"/>
    </row>
    <row r="181" spans="1:18" ht="37.950000000000003" customHeight="1">
      <c r="A181" s="8">
        <v>177</v>
      </c>
      <c r="B181" s="8" t="s">
        <v>3275</v>
      </c>
      <c r="C181" s="8" t="s">
        <v>455</v>
      </c>
      <c r="D181" s="8" t="s">
        <v>456</v>
      </c>
      <c r="E181" s="8" t="s">
        <v>3462</v>
      </c>
      <c r="F181" s="8" t="s">
        <v>1377</v>
      </c>
      <c r="G181" s="8" t="s">
        <v>1833</v>
      </c>
      <c r="H181" s="8" t="s">
        <v>1378</v>
      </c>
      <c r="I181" s="8" t="s">
        <v>1834</v>
      </c>
      <c r="J181" s="8" t="s">
        <v>40</v>
      </c>
      <c r="K181" s="8" t="s">
        <v>40</v>
      </c>
      <c r="L181" s="8" t="s">
        <v>3117</v>
      </c>
      <c r="M181" s="8" t="s">
        <v>3117</v>
      </c>
      <c r="N181" s="8" t="s">
        <v>3463</v>
      </c>
      <c r="O181" s="8"/>
      <c r="P181" s="8"/>
      <c r="Q181" s="8"/>
      <c r="R181" s="8"/>
    </row>
    <row r="182" spans="1:18" ht="37.950000000000003" customHeight="1">
      <c r="A182" s="8">
        <v>178</v>
      </c>
      <c r="B182" s="8" t="s">
        <v>3114</v>
      </c>
      <c r="C182" s="8" t="s">
        <v>132</v>
      </c>
      <c r="D182" s="8" t="s">
        <v>133</v>
      </c>
      <c r="E182" s="8" t="s">
        <v>3464</v>
      </c>
      <c r="F182" s="8" t="s">
        <v>1215</v>
      </c>
      <c r="G182" s="8"/>
      <c r="H182" s="8" t="s">
        <v>1216</v>
      </c>
      <c r="I182" s="8"/>
      <c r="J182" s="8" t="s">
        <v>40</v>
      </c>
      <c r="K182" s="8" t="s">
        <v>24</v>
      </c>
      <c r="L182" s="8" t="s">
        <v>3117</v>
      </c>
      <c r="M182" s="8" t="s">
        <v>3178</v>
      </c>
      <c r="N182" s="8" t="s">
        <v>3125</v>
      </c>
      <c r="O182" s="8" t="s">
        <v>3465</v>
      </c>
      <c r="P182" s="8" t="s">
        <v>3466</v>
      </c>
      <c r="Q182" s="8" t="s">
        <v>3128</v>
      </c>
      <c r="R182" s="8" t="s">
        <v>3129</v>
      </c>
    </row>
    <row r="183" spans="1:18" ht="37.950000000000003" customHeight="1">
      <c r="A183" s="8">
        <v>179</v>
      </c>
      <c r="B183" s="8" t="s">
        <v>3114</v>
      </c>
      <c r="C183" s="8" t="s">
        <v>156</v>
      </c>
      <c r="D183" s="8" t="s">
        <v>157</v>
      </c>
      <c r="E183" s="8" t="s">
        <v>3467</v>
      </c>
      <c r="F183" s="8" t="s">
        <v>693</v>
      </c>
      <c r="G183" s="8"/>
      <c r="H183" s="8" t="s">
        <v>694</v>
      </c>
      <c r="I183" s="8"/>
      <c r="J183" s="8" t="s">
        <v>42</v>
      </c>
      <c r="K183" s="8" t="s">
        <v>24</v>
      </c>
      <c r="L183" s="8" t="s">
        <v>3468</v>
      </c>
      <c r="M183" s="8" t="s">
        <v>3178</v>
      </c>
      <c r="N183" s="8" t="s">
        <v>3187</v>
      </c>
      <c r="O183" s="8" t="s">
        <v>3469</v>
      </c>
      <c r="P183" s="8" t="s">
        <v>3446</v>
      </c>
      <c r="Q183" s="8" t="s">
        <v>3151</v>
      </c>
      <c r="R183" s="8" t="s">
        <v>3160</v>
      </c>
    </row>
    <row r="184" spans="1:18" ht="37.950000000000003" customHeight="1">
      <c r="A184" s="8">
        <v>180</v>
      </c>
      <c r="B184" s="8" t="s">
        <v>3114</v>
      </c>
      <c r="C184" s="8" t="s">
        <v>166</v>
      </c>
      <c r="D184" s="8" t="s">
        <v>167</v>
      </c>
      <c r="E184" s="8" t="s">
        <v>3470</v>
      </c>
      <c r="F184" s="8" t="s">
        <v>1221</v>
      </c>
      <c r="G184" s="8" t="s">
        <v>1530</v>
      </c>
      <c r="H184" s="8" t="s">
        <v>1222</v>
      </c>
      <c r="I184" s="8" t="s">
        <v>1531</v>
      </c>
      <c r="J184" s="8" t="s">
        <v>40</v>
      </c>
      <c r="K184" s="8" t="s">
        <v>42</v>
      </c>
      <c r="L184" s="8" t="s">
        <v>3471</v>
      </c>
      <c r="M184" s="8" t="s">
        <v>3472</v>
      </c>
      <c r="N184" s="8" t="s">
        <v>3206</v>
      </c>
      <c r="O184" s="8" t="s">
        <v>3473</v>
      </c>
      <c r="P184" s="8" t="s">
        <v>3474</v>
      </c>
      <c r="Q184" s="8" t="s">
        <v>3475</v>
      </c>
      <c r="R184" s="8" t="s">
        <v>3160</v>
      </c>
    </row>
    <row r="185" spans="1:18" ht="37.950000000000003" customHeight="1">
      <c r="A185" s="8">
        <v>181</v>
      </c>
      <c r="B185" s="8" t="s">
        <v>3314</v>
      </c>
      <c r="C185" s="8" t="s">
        <v>463</v>
      </c>
      <c r="D185" s="8" t="s">
        <v>465</v>
      </c>
      <c r="E185" s="8"/>
      <c r="F185" s="8" t="s">
        <v>835</v>
      </c>
      <c r="G185" s="8"/>
      <c r="H185" s="8" t="s">
        <v>836</v>
      </c>
      <c r="I185" s="8"/>
      <c r="J185" s="8" t="s">
        <v>24</v>
      </c>
      <c r="K185" s="8" t="s">
        <v>24</v>
      </c>
      <c r="L185" s="8" t="s">
        <v>3476</v>
      </c>
      <c r="M185" s="8" t="s">
        <v>3136</v>
      </c>
      <c r="N185" s="8" t="s">
        <v>3317</v>
      </c>
      <c r="O185" s="8"/>
      <c r="P185" s="8"/>
      <c r="Q185" s="8"/>
      <c r="R185" s="8"/>
    </row>
    <row r="186" spans="1:18" ht="37.950000000000003" customHeight="1">
      <c r="A186" s="8">
        <v>182</v>
      </c>
      <c r="B186" s="8" t="s">
        <v>3314</v>
      </c>
      <c r="C186" s="8" t="s">
        <v>466</v>
      </c>
      <c r="D186" s="8" t="s">
        <v>467</v>
      </c>
      <c r="E186" s="8"/>
      <c r="F186" s="8" t="s">
        <v>838</v>
      </c>
      <c r="G186" s="8"/>
      <c r="H186" s="8" t="s">
        <v>839</v>
      </c>
      <c r="I186" s="8"/>
      <c r="J186" s="8" t="s">
        <v>24</v>
      </c>
      <c r="K186" s="8" t="s">
        <v>24</v>
      </c>
      <c r="L186" s="8" t="s">
        <v>3477</v>
      </c>
      <c r="M186" s="8" t="s">
        <v>3136</v>
      </c>
      <c r="N186" s="8" t="s">
        <v>3317</v>
      </c>
      <c r="O186" s="8"/>
      <c r="P186" s="8"/>
      <c r="Q186" s="8"/>
      <c r="R186" s="8"/>
    </row>
    <row r="187" spans="1:18" ht="37.950000000000003" customHeight="1">
      <c r="A187" s="8">
        <v>183</v>
      </c>
      <c r="B187" s="8" t="s">
        <v>3114</v>
      </c>
      <c r="C187" s="8" t="s">
        <v>184</v>
      </c>
      <c r="D187" s="8" t="s">
        <v>185</v>
      </c>
      <c r="E187" s="8" t="s">
        <v>1234</v>
      </c>
      <c r="F187" s="8" t="s">
        <v>1233</v>
      </c>
      <c r="G187" s="8" t="s">
        <v>1729</v>
      </c>
      <c r="H187" s="8" t="s">
        <v>1234</v>
      </c>
      <c r="I187" s="8" t="s">
        <v>1730</v>
      </c>
      <c r="J187" s="8" t="s">
        <v>40</v>
      </c>
      <c r="K187" s="8" t="s">
        <v>40</v>
      </c>
      <c r="L187" s="8" t="s">
        <v>3117</v>
      </c>
      <c r="M187" s="8" t="s">
        <v>3117</v>
      </c>
      <c r="N187" s="8" t="s">
        <v>3230</v>
      </c>
      <c r="O187" s="8" t="s">
        <v>3478</v>
      </c>
      <c r="P187" s="8" t="s">
        <v>3238</v>
      </c>
      <c r="Q187" s="8" t="s">
        <v>3128</v>
      </c>
      <c r="R187" s="8" t="s">
        <v>3129</v>
      </c>
    </row>
    <row r="188" spans="1:18" ht="37.950000000000003" customHeight="1">
      <c r="A188" s="8">
        <v>184</v>
      </c>
      <c r="B188" s="8" t="s">
        <v>3114</v>
      </c>
      <c r="C188" s="8" t="s">
        <v>206</v>
      </c>
      <c r="D188" s="8" t="s">
        <v>207</v>
      </c>
      <c r="E188" s="8" t="s">
        <v>3209</v>
      </c>
      <c r="F188" s="8" t="s">
        <v>1058</v>
      </c>
      <c r="G188" s="8"/>
      <c r="H188" s="8" t="s">
        <v>1059</v>
      </c>
      <c r="I188" s="8"/>
      <c r="J188" s="8" t="s">
        <v>42</v>
      </c>
      <c r="K188" s="8" t="s">
        <v>24</v>
      </c>
      <c r="L188" s="8" t="s">
        <v>3131</v>
      </c>
      <c r="M188" s="8" t="s">
        <v>3136</v>
      </c>
      <c r="N188" s="8" t="s">
        <v>3230</v>
      </c>
      <c r="O188" s="8" t="s">
        <v>3479</v>
      </c>
      <c r="P188" s="8" t="s">
        <v>3480</v>
      </c>
      <c r="Q188" s="8" t="s">
        <v>3151</v>
      </c>
      <c r="R188" s="8" t="s">
        <v>3160</v>
      </c>
    </row>
    <row r="189" spans="1:18" ht="37.950000000000003" customHeight="1">
      <c r="A189" s="8">
        <v>185</v>
      </c>
      <c r="B189" s="8" t="s">
        <v>3114</v>
      </c>
      <c r="C189" s="8" t="s">
        <v>212</v>
      </c>
      <c r="D189" s="8" t="s">
        <v>213</v>
      </c>
      <c r="E189" s="8" t="s">
        <v>3481</v>
      </c>
      <c r="F189" s="8" t="s">
        <v>1064</v>
      </c>
      <c r="G189" s="8" t="s">
        <v>1737</v>
      </c>
      <c r="H189" s="8" t="s">
        <v>1065</v>
      </c>
      <c r="I189" s="8" t="s">
        <v>1738</v>
      </c>
      <c r="J189" s="8" t="s">
        <v>42</v>
      </c>
      <c r="K189" s="8" t="s">
        <v>40</v>
      </c>
      <c r="L189" s="8" t="s">
        <v>3482</v>
      </c>
      <c r="M189" s="8" t="s">
        <v>3117</v>
      </c>
      <c r="N189" s="8" t="s">
        <v>3118</v>
      </c>
      <c r="O189" s="8" t="s">
        <v>3119</v>
      </c>
      <c r="P189" s="8" t="s">
        <v>3483</v>
      </c>
      <c r="Q189" s="8" t="s">
        <v>3484</v>
      </c>
      <c r="R189" s="8" t="s">
        <v>3485</v>
      </c>
    </row>
    <row r="190" spans="1:18" ht="37.950000000000003" customHeight="1">
      <c r="A190" s="8">
        <v>186</v>
      </c>
      <c r="B190" s="8" t="s">
        <v>3114</v>
      </c>
      <c r="C190" s="8" t="s">
        <v>214</v>
      </c>
      <c r="D190" s="8" t="s">
        <v>215</v>
      </c>
      <c r="E190" s="8" t="s">
        <v>3486</v>
      </c>
      <c r="F190" s="8" t="s">
        <v>1067</v>
      </c>
      <c r="G190" s="8"/>
      <c r="H190" s="8" t="s">
        <v>1068</v>
      </c>
      <c r="I190" s="8"/>
      <c r="J190" s="8" t="s">
        <v>42</v>
      </c>
      <c r="K190" s="8" t="s">
        <v>24</v>
      </c>
      <c r="L190" s="8" t="s">
        <v>3487</v>
      </c>
      <c r="M190" s="8" t="s">
        <v>3178</v>
      </c>
      <c r="N190" s="8" t="s">
        <v>3118</v>
      </c>
      <c r="O190" s="8" t="s">
        <v>3488</v>
      </c>
      <c r="P190" s="8" t="s">
        <v>3489</v>
      </c>
      <c r="Q190" s="8" t="s">
        <v>3484</v>
      </c>
      <c r="R190" s="8" t="s">
        <v>3485</v>
      </c>
    </row>
    <row r="191" spans="1:18" ht="37.950000000000003" customHeight="1">
      <c r="A191" s="8">
        <v>187</v>
      </c>
      <c r="B191" s="8" t="s">
        <v>3314</v>
      </c>
      <c r="C191" s="8" t="s">
        <v>476</v>
      </c>
      <c r="D191" s="8" t="s">
        <v>477</v>
      </c>
      <c r="E191" s="8"/>
      <c r="F191" s="8" t="s">
        <v>719</v>
      </c>
      <c r="G191" s="8"/>
      <c r="H191" s="8" t="s">
        <v>720</v>
      </c>
      <c r="I191" s="8"/>
      <c r="J191" s="8" t="s">
        <v>690</v>
      </c>
      <c r="K191" s="8" t="s">
        <v>24</v>
      </c>
      <c r="L191" s="8" t="s">
        <v>3490</v>
      </c>
      <c r="M191" s="8" t="s">
        <v>3136</v>
      </c>
      <c r="N191" s="8" t="s">
        <v>3317</v>
      </c>
      <c r="O191" s="8"/>
      <c r="P191" s="8"/>
      <c r="Q191" s="8"/>
      <c r="R191" s="8"/>
    </row>
    <row r="192" spans="1:18" ht="37.950000000000003" customHeight="1">
      <c r="A192" s="8">
        <v>188</v>
      </c>
      <c r="B192" s="8" t="s">
        <v>3114</v>
      </c>
      <c r="C192" s="8" t="s">
        <v>216</v>
      </c>
      <c r="D192" s="8" t="s">
        <v>217</v>
      </c>
      <c r="E192" s="8" t="s">
        <v>1071</v>
      </c>
      <c r="F192" s="8" t="s">
        <v>1070</v>
      </c>
      <c r="G192" s="8"/>
      <c r="H192" s="8" t="s">
        <v>1071</v>
      </c>
      <c r="I192" s="8"/>
      <c r="J192" s="8" t="s">
        <v>42</v>
      </c>
      <c r="K192" s="8" t="s">
        <v>24</v>
      </c>
      <c r="L192" s="8" t="s">
        <v>3491</v>
      </c>
      <c r="M192" s="8" t="s">
        <v>3136</v>
      </c>
      <c r="N192" s="8" t="s">
        <v>3118</v>
      </c>
      <c r="O192" s="8" t="s">
        <v>3492</v>
      </c>
      <c r="P192" s="8" t="s">
        <v>3493</v>
      </c>
      <c r="Q192" s="8" t="s">
        <v>3121</v>
      </c>
      <c r="R192" s="8" t="s">
        <v>3122</v>
      </c>
    </row>
    <row r="193" spans="1:18" ht="37.950000000000003" customHeight="1">
      <c r="A193" s="8">
        <v>189</v>
      </c>
      <c r="B193" s="8" t="s">
        <v>3314</v>
      </c>
      <c r="C193" s="8" t="s">
        <v>480</v>
      </c>
      <c r="D193" s="8" t="s">
        <v>481</v>
      </c>
      <c r="E193" s="8"/>
      <c r="F193" s="8" t="s">
        <v>1172</v>
      </c>
      <c r="G193" s="8"/>
      <c r="H193" s="8" t="s">
        <v>1173</v>
      </c>
      <c r="I193" s="8"/>
      <c r="J193" s="8" t="s">
        <v>690</v>
      </c>
      <c r="K193" s="8" t="s">
        <v>24</v>
      </c>
      <c r="L193" s="8" t="s">
        <v>3494</v>
      </c>
      <c r="M193" s="8" t="s">
        <v>3136</v>
      </c>
      <c r="N193" s="8" t="s">
        <v>3317</v>
      </c>
      <c r="O193" s="8"/>
      <c r="P193" s="8"/>
      <c r="Q193" s="8"/>
      <c r="R193" s="8"/>
    </row>
    <row r="194" spans="1:18" ht="37.950000000000003" customHeight="1">
      <c r="A194" s="8">
        <v>190</v>
      </c>
      <c r="B194" s="8" t="s">
        <v>3314</v>
      </c>
      <c r="C194" s="8" t="s">
        <v>482</v>
      </c>
      <c r="D194" s="8" t="s">
        <v>483</v>
      </c>
      <c r="E194" s="8"/>
      <c r="F194" s="8" t="s">
        <v>845</v>
      </c>
      <c r="G194" s="8"/>
      <c r="H194" s="8" t="s">
        <v>846</v>
      </c>
      <c r="I194" s="8"/>
      <c r="J194" s="8" t="s">
        <v>24</v>
      </c>
      <c r="K194" s="8" t="s">
        <v>24</v>
      </c>
      <c r="L194" s="8" t="s">
        <v>3495</v>
      </c>
      <c r="M194" s="8" t="s">
        <v>3178</v>
      </c>
      <c r="N194" s="8" t="s">
        <v>3317</v>
      </c>
      <c r="O194" s="8"/>
      <c r="P194" s="8"/>
      <c r="Q194" s="8"/>
      <c r="R194" s="8"/>
    </row>
    <row r="195" spans="1:18" ht="37.950000000000003" customHeight="1">
      <c r="A195" s="8">
        <v>191</v>
      </c>
      <c r="B195" s="8" t="s">
        <v>3114</v>
      </c>
      <c r="C195" s="8" t="s">
        <v>222</v>
      </c>
      <c r="D195" s="8" t="s">
        <v>223</v>
      </c>
      <c r="E195" s="8" t="s">
        <v>3496</v>
      </c>
      <c r="F195" s="8" t="s">
        <v>1251</v>
      </c>
      <c r="G195" s="8" t="s">
        <v>1743</v>
      </c>
      <c r="H195" s="8" t="s">
        <v>1252</v>
      </c>
      <c r="I195" s="8" t="s">
        <v>1744</v>
      </c>
      <c r="J195" s="8" t="s">
        <v>40</v>
      </c>
      <c r="K195" s="8" t="s">
        <v>40</v>
      </c>
      <c r="L195" s="8" t="s">
        <v>3117</v>
      </c>
      <c r="M195" s="8" t="s">
        <v>3117</v>
      </c>
      <c r="N195" s="8" t="s">
        <v>3148</v>
      </c>
      <c r="O195" s="8" t="s">
        <v>3284</v>
      </c>
      <c r="P195" s="8" t="s">
        <v>3497</v>
      </c>
      <c r="Q195" s="8" t="s">
        <v>3128</v>
      </c>
      <c r="R195" s="8" t="s">
        <v>3129</v>
      </c>
    </row>
    <row r="196" spans="1:18" ht="37.950000000000003" customHeight="1">
      <c r="A196" s="8">
        <v>192</v>
      </c>
      <c r="B196" s="8" t="s">
        <v>3114</v>
      </c>
      <c r="C196" s="8" t="s">
        <v>232</v>
      </c>
      <c r="D196" s="8" t="s">
        <v>233</v>
      </c>
      <c r="E196" s="8" t="s">
        <v>233</v>
      </c>
      <c r="F196" s="8" t="s">
        <v>1263</v>
      </c>
      <c r="G196" s="8"/>
      <c r="H196" s="8" t="s">
        <v>1264</v>
      </c>
      <c r="I196" s="8"/>
      <c r="J196" s="8" t="s">
        <v>40</v>
      </c>
      <c r="K196" s="8" t="s">
        <v>24</v>
      </c>
      <c r="L196" s="8" t="s">
        <v>3117</v>
      </c>
      <c r="M196" s="8" t="s">
        <v>3178</v>
      </c>
      <c r="N196" s="8" t="s">
        <v>3153</v>
      </c>
      <c r="O196" s="8" t="s">
        <v>3498</v>
      </c>
      <c r="P196" s="8" t="s">
        <v>3234</v>
      </c>
      <c r="Q196" s="8" t="s">
        <v>3128</v>
      </c>
      <c r="R196" s="8" t="s">
        <v>3129</v>
      </c>
    </row>
    <row r="197" spans="1:18" ht="37.950000000000003" customHeight="1">
      <c r="A197" s="8">
        <v>193</v>
      </c>
      <c r="B197" s="8" t="s">
        <v>3114</v>
      </c>
      <c r="C197" s="8" t="s">
        <v>238</v>
      </c>
      <c r="D197" s="8" t="s">
        <v>239</v>
      </c>
      <c r="E197" s="8" t="s">
        <v>3296</v>
      </c>
      <c r="F197" s="8" t="s">
        <v>741</v>
      </c>
      <c r="G197" s="8" t="s">
        <v>1752</v>
      </c>
      <c r="H197" s="8" t="s">
        <v>742</v>
      </c>
      <c r="I197" s="8" t="s">
        <v>1753</v>
      </c>
      <c r="J197" s="8" t="s">
        <v>40</v>
      </c>
      <c r="K197" s="8" t="s">
        <v>40</v>
      </c>
      <c r="L197" s="8" t="s">
        <v>3117</v>
      </c>
      <c r="M197" s="8" t="s">
        <v>3499</v>
      </c>
      <c r="N197" s="8" t="s">
        <v>3157</v>
      </c>
      <c r="O197" s="8" t="s">
        <v>3298</v>
      </c>
      <c r="P197" s="8" t="s">
        <v>3238</v>
      </c>
      <c r="Q197" s="8" t="s">
        <v>3500</v>
      </c>
      <c r="R197" s="8" t="s">
        <v>3501</v>
      </c>
    </row>
    <row r="198" spans="1:18" ht="37.950000000000003" customHeight="1">
      <c r="A198" s="8">
        <v>194</v>
      </c>
      <c r="B198" s="8" t="s">
        <v>3114</v>
      </c>
      <c r="C198" s="8" t="s">
        <v>242</v>
      </c>
      <c r="D198" s="8" t="s">
        <v>243</v>
      </c>
      <c r="E198" s="8" t="s">
        <v>3502</v>
      </c>
      <c r="F198" s="8" t="s">
        <v>745</v>
      </c>
      <c r="G198" s="8" t="s">
        <v>1430</v>
      </c>
      <c r="H198" s="8" t="s">
        <v>746</v>
      </c>
      <c r="I198" s="8" t="s">
        <v>1431</v>
      </c>
      <c r="J198" s="8" t="s">
        <v>42</v>
      </c>
      <c r="K198" s="8" t="s">
        <v>690</v>
      </c>
      <c r="L198" s="8" t="s">
        <v>3305</v>
      </c>
      <c r="M198" s="8" t="s">
        <v>3503</v>
      </c>
      <c r="N198" s="8" t="s">
        <v>3157</v>
      </c>
      <c r="O198" s="8" t="s">
        <v>3306</v>
      </c>
      <c r="P198" s="8" t="s">
        <v>3238</v>
      </c>
      <c r="Q198" s="8" t="s">
        <v>3128</v>
      </c>
      <c r="R198" s="8" t="s">
        <v>3129</v>
      </c>
    </row>
    <row r="199" spans="1:18" ht="37.950000000000003" customHeight="1">
      <c r="A199" s="8">
        <v>195</v>
      </c>
      <c r="B199" s="8" t="s">
        <v>3114</v>
      </c>
      <c r="C199" s="8" t="s">
        <v>254</v>
      </c>
      <c r="D199" s="8" t="s">
        <v>255</v>
      </c>
      <c r="E199" s="8" t="s">
        <v>3504</v>
      </c>
      <c r="F199" s="8" t="s">
        <v>1079</v>
      </c>
      <c r="G199" s="8"/>
      <c r="H199" s="8" t="s">
        <v>1080</v>
      </c>
      <c r="I199" s="8"/>
      <c r="J199" s="8" t="s">
        <v>42</v>
      </c>
      <c r="K199" s="8" t="s">
        <v>24</v>
      </c>
      <c r="L199" s="8" t="s">
        <v>3131</v>
      </c>
      <c r="M199" s="8" t="s">
        <v>3136</v>
      </c>
      <c r="N199" s="8" t="s">
        <v>3157</v>
      </c>
      <c r="O199" s="8" t="s">
        <v>3505</v>
      </c>
      <c r="P199" s="8" t="s">
        <v>3506</v>
      </c>
      <c r="Q199" s="8" t="s">
        <v>3128</v>
      </c>
      <c r="R199" s="8" t="s">
        <v>3129</v>
      </c>
    </row>
    <row r="200" spans="1:18" ht="37.950000000000003" customHeight="1">
      <c r="A200" s="8">
        <v>196</v>
      </c>
      <c r="B200" s="8" t="s">
        <v>3114</v>
      </c>
      <c r="C200" s="8" t="s">
        <v>264</v>
      </c>
      <c r="D200" s="8" t="s">
        <v>265</v>
      </c>
      <c r="E200" s="8" t="s">
        <v>3507</v>
      </c>
      <c r="F200" s="8" t="s">
        <v>703</v>
      </c>
      <c r="G200" s="8"/>
      <c r="H200" s="8" t="s">
        <v>704</v>
      </c>
      <c r="I200" s="8"/>
      <c r="J200" s="8" t="s">
        <v>690</v>
      </c>
      <c r="K200" s="8" t="s">
        <v>24</v>
      </c>
      <c r="L200" s="8" t="s">
        <v>3508</v>
      </c>
      <c r="M200" s="8" t="s">
        <v>3136</v>
      </c>
      <c r="N200" s="8" t="s">
        <v>3323</v>
      </c>
      <c r="O200" s="8" t="s">
        <v>3509</v>
      </c>
      <c r="P200" s="8" t="s">
        <v>3510</v>
      </c>
      <c r="Q200" s="8" t="s">
        <v>3151</v>
      </c>
      <c r="R200" s="8" t="s">
        <v>3190</v>
      </c>
    </row>
    <row r="201" spans="1:18" ht="37.950000000000003" customHeight="1">
      <c r="A201" s="8">
        <v>197</v>
      </c>
      <c r="B201" s="8" t="s">
        <v>3314</v>
      </c>
      <c r="C201" s="8" t="s">
        <v>496</v>
      </c>
      <c r="D201" s="8" t="s">
        <v>497</v>
      </c>
      <c r="E201" s="8"/>
      <c r="F201" s="8" t="s">
        <v>858</v>
      </c>
      <c r="G201" s="8"/>
      <c r="H201" s="8" t="s">
        <v>859</v>
      </c>
      <c r="I201" s="8"/>
      <c r="J201" s="8" t="s">
        <v>42</v>
      </c>
      <c r="K201" s="8" t="s">
        <v>24</v>
      </c>
      <c r="L201" s="8" t="s">
        <v>3511</v>
      </c>
      <c r="M201" s="8" t="s">
        <v>3178</v>
      </c>
      <c r="N201" s="8" t="s">
        <v>3329</v>
      </c>
      <c r="O201" s="8"/>
      <c r="P201" s="8"/>
      <c r="Q201" s="8"/>
      <c r="R201" s="8"/>
    </row>
    <row r="202" spans="1:18" ht="37.950000000000003" customHeight="1">
      <c r="A202" s="8">
        <v>198</v>
      </c>
      <c r="B202" s="8" t="s">
        <v>3114</v>
      </c>
      <c r="C202" s="8" t="s">
        <v>266</v>
      </c>
      <c r="D202" s="8" t="s">
        <v>267</v>
      </c>
      <c r="E202" s="8" t="s">
        <v>3507</v>
      </c>
      <c r="F202" s="8" t="s">
        <v>703</v>
      </c>
      <c r="G202" s="8"/>
      <c r="H202" s="8" t="s">
        <v>704</v>
      </c>
      <c r="I202" s="8"/>
      <c r="J202" s="8" t="s">
        <v>42</v>
      </c>
      <c r="K202" s="8" t="s">
        <v>24</v>
      </c>
      <c r="L202" s="8" t="s">
        <v>3131</v>
      </c>
      <c r="M202" s="8" t="s">
        <v>3136</v>
      </c>
      <c r="N202" s="8" t="s">
        <v>3323</v>
      </c>
      <c r="O202" s="8" t="s">
        <v>3509</v>
      </c>
      <c r="P202" s="8" t="s">
        <v>3179</v>
      </c>
      <c r="Q202" s="8" t="s">
        <v>3248</v>
      </c>
      <c r="R202" s="8" t="s">
        <v>3249</v>
      </c>
    </row>
    <row r="203" spans="1:18" ht="37.950000000000003" customHeight="1">
      <c r="A203" s="8">
        <v>199</v>
      </c>
      <c r="B203" s="8" t="s">
        <v>3114</v>
      </c>
      <c r="C203" s="8" t="s">
        <v>270</v>
      </c>
      <c r="D203" s="8" t="s">
        <v>271</v>
      </c>
      <c r="E203" s="8" t="s">
        <v>3512</v>
      </c>
      <c r="F203" s="8" t="s">
        <v>1091</v>
      </c>
      <c r="G203" s="8"/>
      <c r="H203" s="8" t="s">
        <v>1092</v>
      </c>
      <c r="I203" s="8"/>
      <c r="J203" s="8" t="s">
        <v>42</v>
      </c>
      <c r="K203" s="8" t="s">
        <v>24</v>
      </c>
      <c r="L203" s="8" t="s">
        <v>3131</v>
      </c>
      <c r="M203" s="8" t="s">
        <v>3136</v>
      </c>
      <c r="N203" s="8" t="s">
        <v>3323</v>
      </c>
      <c r="O203" s="8" t="s">
        <v>3513</v>
      </c>
      <c r="P203" s="8" t="s">
        <v>3506</v>
      </c>
      <c r="Q203" s="8" t="s">
        <v>3128</v>
      </c>
      <c r="R203" s="8" t="s">
        <v>3129</v>
      </c>
    </row>
    <row r="204" spans="1:18" ht="37.950000000000003" customHeight="1">
      <c r="A204" s="8">
        <v>200</v>
      </c>
      <c r="B204" s="8" t="s">
        <v>3114</v>
      </c>
      <c r="C204" s="8" t="s">
        <v>276</v>
      </c>
      <c r="D204" s="8" t="s">
        <v>277</v>
      </c>
      <c r="E204" s="8" t="s">
        <v>3514</v>
      </c>
      <c r="F204" s="8" t="s">
        <v>1100</v>
      </c>
      <c r="G204" s="8"/>
      <c r="H204" s="8" t="s">
        <v>1101</v>
      </c>
      <c r="I204" s="8"/>
      <c r="J204" s="8" t="s">
        <v>42</v>
      </c>
      <c r="K204" s="8" t="s">
        <v>24</v>
      </c>
      <c r="L204" s="8" t="s">
        <v>3131</v>
      </c>
      <c r="M204" s="8" t="s">
        <v>3178</v>
      </c>
      <c r="N204" s="8" t="s">
        <v>3336</v>
      </c>
      <c r="O204" s="8" t="s">
        <v>277</v>
      </c>
      <c r="P204" s="8" t="s">
        <v>3515</v>
      </c>
      <c r="Q204" s="8" t="s">
        <v>3516</v>
      </c>
      <c r="R204" s="8" t="s">
        <v>3129</v>
      </c>
    </row>
    <row r="205" spans="1:18" ht="37.950000000000003" customHeight="1">
      <c r="A205" s="8">
        <v>201</v>
      </c>
      <c r="B205" s="8" t="s">
        <v>3114</v>
      </c>
      <c r="C205" s="8" t="s">
        <v>314</v>
      </c>
      <c r="D205" s="8" t="s">
        <v>315</v>
      </c>
      <c r="E205" s="8" t="s">
        <v>3517</v>
      </c>
      <c r="F205" s="8" t="s">
        <v>760</v>
      </c>
      <c r="G205" s="8" t="s">
        <v>1454</v>
      </c>
      <c r="H205" s="8" t="s">
        <v>761</v>
      </c>
      <c r="I205" s="8" t="s">
        <v>1455</v>
      </c>
      <c r="J205" s="8" t="s">
        <v>42</v>
      </c>
      <c r="K205" s="8" t="s">
        <v>40</v>
      </c>
      <c r="L205" s="8" t="s">
        <v>3518</v>
      </c>
      <c r="M205" s="8" t="s">
        <v>3117</v>
      </c>
      <c r="N205" s="8" t="s">
        <v>3240</v>
      </c>
      <c r="O205" s="8" t="s">
        <v>3519</v>
      </c>
      <c r="P205" s="8" t="s">
        <v>3242</v>
      </c>
      <c r="Q205" s="8" t="s">
        <v>3243</v>
      </c>
      <c r="R205" s="8" t="s">
        <v>3160</v>
      </c>
    </row>
    <row r="206" spans="1:18" ht="37.950000000000003" customHeight="1">
      <c r="A206" s="8">
        <v>202</v>
      </c>
      <c r="B206" s="8" t="s">
        <v>3114</v>
      </c>
      <c r="C206" s="8" t="s">
        <v>318</v>
      </c>
      <c r="D206" s="8" t="s">
        <v>319</v>
      </c>
      <c r="E206" s="8" t="s">
        <v>3520</v>
      </c>
      <c r="F206" s="8" t="s">
        <v>1118</v>
      </c>
      <c r="G206" s="8" t="s">
        <v>1781</v>
      </c>
      <c r="H206" s="8" t="s">
        <v>1119</v>
      </c>
      <c r="I206" s="8" t="s">
        <v>1782</v>
      </c>
      <c r="J206" s="8" t="s">
        <v>42</v>
      </c>
      <c r="K206" s="8" t="s">
        <v>40</v>
      </c>
      <c r="L206" s="8" t="s">
        <v>3131</v>
      </c>
      <c r="M206" s="8" t="s">
        <v>3117</v>
      </c>
      <c r="N206" s="8" t="s">
        <v>3240</v>
      </c>
      <c r="O206" s="8" t="s">
        <v>3521</v>
      </c>
      <c r="P206" s="8" t="s">
        <v>3242</v>
      </c>
      <c r="Q206" s="8" t="s">
        <v>3243</v>
      </c>
      <c r="R206" s="8" t="s">
        <v>3160</v>
      </c>
    </row>
    <row r="207" spans="1:18" ht="37.950000000000003" customHeight="1">
      <c r="A207" s="8">
        <v>203</v>
      </c>
      <c r="B207" s="8" t="s">
        <v>3314</v>
      </c>
      <c r="C207" s="8" t="s">
        <v>508</v>
      </c>
      <c r="D207" s="8" t="s">
        <v>509</v>
      </c>
      <c r="E207" s="8"/>
      <c r="F207" s="8" t="s">
        <v>872</v>
      </c>
      <c r="G207" s="8"/>
      <c r="H207" s="8" t="s">
        <v>873</v>
      </c>
      <c r="I207" s="8"/>
      <c r="J207" s="8" t="s">
        <v>42</v>
      </c>
      <c r="K207" s="8" t="s">
        <v>24</v>
      </c>
      <c r="L207" s="8" t="s">
        <v>3131</v>
      </c>
      <c r="M207" s="8" t="s">
        <v>3136</v>
      </c>
      <c r="N207" s="8" t="s">
        <v>3347</v>
      </c>
      <c r="O207" s="8"/>
      <c r="P207" s="8"/>
      <c r="Q207" s="8"/>
      <c r="R207" s="8"/>
    </row>
    <row r="208" spans="1:18" ht="37.950000000000003" customHeight="1">
      <c r="A208" s="8">
        <v>204</v>
      </c>
      <c r="B208" s="8" t="s">
        <v>3114</v>
      </c>
      <c r="C208" s="8" t="s">
        <v>324</v>
      </c>
      <c r="D208" s="8" t="s">
        <v>325</v>
      </c>
      <c r="E208" s="8" t="s">
        <v>3522</v>
      </c>
      <c r="F208" s="8" t="s">
        <v>1121</v>
      </c>
      <c r="G208" s="8"/>
      <c r="H208" s="8" t="s">
        <v>1122</v>
      </c>
      <c r="I208" s="8"/>
      <c r="J208" s="8" t="s">
        <v>42</v>
      </c>
      <c r="K208" s="8" t="s">
        <v>24</v>
      </c>
      <c r="L208" s="8" t="s">
        <v>3131</v>
      </c>
      <c r="M208" s="8" t="s">
        <v>3178</v>
      </c>
      <c r="N208" s="8" t="s">
        <v>3240</v>
      </c>
      <c r="O208" s="8" t="s">
        <v>3523</v>
      </c>
      <c r="P208" s="8" t="s">
        <v>3392</v>
      </c>
      <c r="Q208" s="8" t="s">
        <v>3133</v>
      </c>
      <c r="R208" s="8" t="s">
        <v>3524</v>
      </c>
    </row>
    <row r="209" spans="1:18" ht="37.950000000000003" customHeight="1">
      <c r="A209" s="8">
        <v>205</v>
      </c>
      <c r="B209" s="8" t="s">
        <v>3314</v>
      </c>
      <c r="C209" s="8" t="s">
        <v>512</v>
      </c>
      <c r="D209" s="8" t="s">
        <v>513</v>
      </c>
      <c r="E209" s="8"/>
      <c r="F209" s="8" t="s">
        <v>878</v>
      </c>
      <c r="G209" s="8"/>
      <c r="H209" s="8" t="s">
        <v>879</v>
      </c>
      <c r="I209" s="8"/>
      <c r="J209" s="8" t="s">
        <v>24</v>
      </c>
      <c r="K209" s="8" t="s">
        <v>24</v>
      </c>
      <c r="L209" s="8" t="s">
        <v>3525</v>
      </c>
      <c r="M209" s="8" t="s">
        <v>3178</v>
      </c>
      <c r="N209" s="8" t="s">
        <v>3347</v>
      </c>
      <c r="O209" s="8"/>
      <c r="P209" s="8"/>
      <c r="Q209" s="8"/>
      <c r="R209" s="8"/>
    </row>
    <row r="210" spans="1:18" ht="37.950000000000003" customHeight="1">
      <c r="A210" s="8">
        <v>206</v>
      </c>
      <c r="B210" s="8" t="s">
        <v>3314</v>
      </c>
      <c r="C210" s="8" t="s">
        <v>514</v>
      </c>
      <c r="D210" s="8" t="s">
        <v>515</v>
      </c>
      <c r="E210" s="8"/>
      <c r="F210" s="8" t="s">
        <v>881</v>
      </c>
      <c r="G210" s="8"/>
      <c r="H210" s="8" t="s">
        <v>882</v>
      </c>
      <c r="I210" s="8"/>
      <c r="J210" s="8" t="s">
        <v>24</v>
      </c>
      <c r="K210" s="8" t="s">
        <v>24</v>
      </c>
      <c r="L210" s="8" t="s">
        <v>3526</v>
      </c>
      <c r="M210" s="8" t="s">
        <v>3136</v>
      </c>
      <c r="N210" s="8" t="s">
        <v>3347</v>
      </c>
      <c r="O210" s="8"/>
      <c r="P210" s="8"/>
      <c r="Q210" s="8"/>
      <c r="R210" s="8"/>
    </row>
    <row r="211" spans="1:18" ht="37.950000000000003" customHeight="1">
      <c r="A211" s="8">
        <v>207</v>
      </c>
      <c r="B211" s="8" t="s">
        <v>3314</v>
      </c>
      <c r="C211" s="8" t="s">
        <v>516</v>
      </c>
      <c r="D211" s="8" t="s">
        <v>517</v>
      </c>
      <c r="E211" s="8"/>
      <c r="F211" s="8" t="s">
        <v>884</v>
      </c>
      <c r="G211" s="8"/>
      <c r="H211" s="8" t="s">
        <v>885</v>
      </c>
      <c r="I211" s="8"/>
      <c r="J211" s="8" t="s">
        <v>24</v>
      </c>
      <c r="K211" s="8" t="s">
        <v>24</v>
      </c>
      <c r="L211" s="8" t="s">
        <v>3527</v>
      </c>
      <c r="M211" s="8" t="s">
        <v>3136</v>
      </c>
      <c r="N211" s="8" t="s">
        <v>3347</v>
      </c>
      <c r="O211" s="8"/>
      <c r="P211" s="8"/>
      <c r="Q211" s="8"/>
      <c r="R211" s="8"/>
    </row>
    <row r="212" spans="1:18" ht="37.950000000000003" customHeight="1">
      <c r="A212" s="8">
        <v>208</v>
      </c>
      <c r="B212" s="8" t="s">
        <v>3314</v>
      </c>
      <c r="C212" s="8" t="s">
        <v>518</v>
      </c>
      <c r="D212" s="8" t="s">
        <v>519</v>
      </c>
      <c r="E212" s="8"/>
      <c r="F212" s="8" t="s">
        <v>887</v>
      </c>
      <c r="G212" s="8"/>
      <c r="H212" s="8" t="s">
        <v>888</v>
      </c>
      <c r="I212" s="8"/>
      <c r="J212" s="8" t="s">
        <v>24</v>
      </c>
      <c r="K212" s="8" t="s">
        <v>24</v>
      </c>
      <c r="L212" s="8" t="s">
        <v>3528</v>
      </c>
      <c r="M212" s="8" t="s">
        <v>3178</v>
      </c>
      <c r="N212" s="8" t="s">
        <v>3347</v>
      </c>
      <c r="O212" s="8"/>
      <c r="P212" s="8"/>
      <c r="Q212" s="8"/>
      <c r="R212" s="8"/>
    </row>
    <row r="213" spans="1:18" ht="37.950000000000003" customHeight="1">
      <c r="A213" s="8">
        <v>209</v>
      </c>
      <c r="B213" s="8" t="s">
        <v>3114</v>
      </c>
      <c r="C213" s="8" t="s">
        <v>328</v>
      </c>
      <c r="D213" s="8" t="s">
        <v>329</v>
      </c>
      <c r="E213" s="8" t="s">
        <v>3529</v>
      </c>
      <c r="F213" s="8" t="s">
        <v>1124</v>
      </c>
      <c r="G213" s="8"/>
      <c r="H213" s="8" t="s">
        <v>1125</v>
      </c>
      <c r="I213" s="8"/>
      <c r="J213" s="8" t="s">
        <v>42</v>
      </c>
      <c r="K213" s="8" t="s">
        <v>24</v>
      </c>
      <c r="L213" s="8" t="s">
        <v>3530</v>
      </c>
      <c r="M213" s="8" t="s">
        <v>3178</v>
      </c>
      <c r="N213" s="8" t="s">
        <v>3267</v>
      </c>
      <c r="O213" s="8" t="s">
        <v>3531</v>
      </c>
      <c r="P213" s="8" t="s">
        <v>3392</v>
      </c>
      <c r="Q213" s="8" t="s">
        <v>3268</v>
      </c>
      <c r="R213" s="8" t="s">
        <v>3269</v>
      </c>
    </row>
    <row r="214" spans="1:18" ht="37.950000000000003" customHeight="1">
      <c r="A214" s="8">
        <v>210</v>
      </c>
      <c r="B214" s="8" t="s">
        <v>3114</v>
      </c>
      <c r="C214" s="8" t="s">
        <v>330</v>
      </c>
      <c r="D214" s="8" t="s">
        <v>331</v>
      </c>
      <c r="E214" s="8" t="s">
        <v>3532</v>
      </c>
      <c r="F214" s="8" t="s">
        <v>1127</v>
      </c>
      <c r="G214" s="8"/>
      <c r="H214" s="8" t="s">
        <v>1128</v>
      </c>
      <c r="I214" s="8"/>
      <c r="J214" s="8" t="s">
        <v>42</v>
      </c>
      <c r="K214" s="8" t="s">
        <v>24</v>
      </c>
      <c r="L214" s="8" t="s">
        <v>3533</v>
      </c>
      <c r="M214" s="8" t="s">
        <v>3136</v>
      </c>
      <c r="N214" s="8" t="s">
        <v>3267</v>
      </c>
      <c r="O214" s="8" t="s">
        <v>3534</v>
      </c>
      <c r="P214" s="8" t="s">
        <v>3535</v>
      </c>
      <c r="Q214" s="8" t="s">
        <v>3268</v>
      </c>
      <c r="R214" s="8" t="s">
        <v>3269</v>
      </c>
    </row>
    <row r="215" spans="1:18" ht="37.950000000000003" customHeight="1">
      <c r="A215" s="8">
        <v>211</v>
      </c>
      <c r="B215" s="8" t="s">
        <v>3114</v>
      </c>
      <c r="C215" s="8" t="s">
        <v>338</v>
      </c>
      <c r="D215" s="8" t="s">
        <v>339</v>
      </c>
      <c r="E215" s="8" t="s">
        <v>3536</v>
      </c>
      <c r="F215" s="8" t="s">
        <v>1133</v>
      </c>
      <c r="G215" s="8"/>
      <c r="H215" s="8" t="s">
        <v>1134</v>
      </c>
      <c r="I215" s="8"/>
      <c r="J215" s="8" t="s">
        <v>42</v>
      </c>
      <c r="K215" s="8" t="s">
        <v>24</v>
      </c>
      <c r="L215" s="8" t="s">
        <v>3537</v>
      </c>
      <c r="M215" s="8" t="s">
        <v>3178</v>
      </c>
      <c r="N215" s="8" t="s">
        <v>3271</v>
      </c>
      <c r="O215" s="8" t="s">
        <v>3538</v>
      </c>
      <c r="P215" s="8" t="s">
        <v>3539</v>
      </c>
      <c r="Q215" s="8" t="s">
        <v>3151</v>
      </c>
      <c r="R215" s="8" t="s">
        <v>3540</v>
      </c>
    </row>
    <row r="216" spans="1:18" ht="37.950000000000003" customHeight="1">
      <c r="A216" s="8">
        <v>212</v>
      </c>
      <c r="B216" s="8" t="s">
        <v>3114</v>
      </c>
      <c r="C216" s="8" t="s">
        <v>348</v>
      </c>
      <c r="D216" s="8" t="s">
        <v>349</v>
      </c>
      <c r="E216" s="8" t="s">
        <v>3541</v>
      </c>
      <c r="F216" s="8" t="s">
        <v>1323</v>
      </c>
      <c r="G216" s="8"/>
      <c r="H216" s="8" t="s">
        <v>1324</v>
      </c>
      <c r="I216" s="8"/>
      <c r="J216" s="8" t="s">
        <v>40</v>
      </c>
      <c r="K216" s="8" t="s">
        <v>24</v>
      </c>
      <c r="L216" s="8" t="s">
        <v>3117</v>
      </c>
      <c r="M216" s="8" t="s">
        <v>3178</v>
      </c>
      <c r="N216" s="8" t="s">
        <v>3409</v>
      </c>
      <c r="O216" s="8" t="s">
        <v>3542</v>
      </c>
      <c r="P216" s="8" t="s">
        <v>3138</v>
      </c>
      <c r="Q216" s="8" t="s">
        <v>3410</v>
      </c>
      <c r="R216" s="8" t="s">
        <v>3152</v>
      </c>
    </row>
    <row r="217" spans="1:18" ht="37.950000000000003" customHeight="1">
      <c r="A217" s="8">
        <v>213</v>
      </c>
      <c r="B217" s="8" t="s">
        <v>3314</v>
      </c>
      <c r="C217" s="8" t="s">
        <v>528</v>
      </c>
      <c r="D217" s="8" t="s">
        <v>529</v>
      </c>
      <c r="E217" s="8"/>
      <c r="F217" s="8" t="s">
        <v>896</v>
      </c>
      <c r="G217" s="8"/>
      <c r="H217" s="8" t="s">
        <v>897</v>
      </c>
      <c r="I217" s="8"/>
      <c r="J217" s="8" t="s">
        <v>24</v>
      </c>
      <c r="K217" s="8" t="s">
        <v>24</v>
      </c>
      <c r="L217" s="8" t="s">
        <v>3543</v>
      </c>
      <c r="M217" s="8" t="s">
        <v>3178</v>
      </c>
      <c r="N217" s="8" t="s">
        <v>3362</v>
      </c>
      <c r="O217" s="8"/>
      <c r="P217" s="8"/>
      <c r="Q217" s="8"/>
      <c r="R217" s="8"/>
    </row>
    <row r="218" spans="1:18" ht="37.950000000000003" customHeight="1">
      <c r="A218" s="8">
        <v>214</v>
      </c>
      <c r="B218" s="8" t="s">
        <v>3275</v>
      </c>
      <c r="C218" s="8" t="s">
        <v>369</v>
      </c>
      <c r="D218" s="8" t="s">
        <v>370</v>
      </c>
      <c r="E218" s="8" t="s">
        <v>3276</v>
      </c>
      <c r="F218" s="8" t="s">
        <v>712</v>
      </c>
      <c r="G218" s="8" t="s">
        <v>1439</v>
      </c>
      <c r="H218" s="8" t="s">
        <v>713</v>
      </c>
      <c r="I218" s="8" t="s">
        <v>1440</v>
      </c>
      <c r="J218" s="8" t="s">
        <v>40</v>
      </c>
      <c r="K218" s="8" t="s">
        <v>40</v>
      </c>
      <c r="L218" s="8" t="s">
        <v>3117</v>
      </c>
      <c r="M218" s="8" t="s">
        <v>3117</v>
      </c>
      <c r="N218" s="8" t="s">
        <v>3277</v>
      </c>
      <c r="O218" s="8"/>
      <c r="P218" s="8"/>
      <c r="Q218" s="8"/>
      <c r="R218" s="8"/>
    </row>
    <row r="219" spans="1:18" ht="37.950000000000003" customHeight="1">
      <c r="A219" s="8">
        <v>215</v>
      </c>
      <c r="B219" s="8" t="s">
        <v>3314</v>
      </c>
      <c r="C219" s="8" t="s">
        <v>532</v>
      </c>
      <c r="D219" s="8" t="s">
        <v>533</v>
      </c>
      <c r="E219" s="8"/>
      <c r="F219" s="8" t="s">
        <v>899</v>
      </c>
      <c r="G219" s="8"/>
      <c r="H219" s="8" t="s">
        <v>900</v>
      </c>
      <c r="I219" s="8"/>
      <c r="J219" s="8" t="s">
        <v>24</v>
      </c>
      <c r="K219" s="8" t="s">
        <v>24</v>
      </c>
      <c r="L219" s="8" t="s">
        <v>3544</v>
      </c>
      <c r="M219" s="8" t="s">
        <v>3136</v>
      </c>
      <c r="N219" s="8" t="s">
        <v>3379</v>
      </c>
      <c r="O219" s="8"/>
      <c r="P219" s="8"/>
      <c r="Q219" s="8"/>
      <c r="R219" s="8"/>
    </row>
    <row r="220" spans="1:18" ht="37.950000000000003" customHeight="1">
      <c r="A220" s="8">
        <v>216</v>
      </c>
      <c r="B220" s="8" t="s">
        <v>3275</v>
      </c>
      <c r="C220" s="8" t="s">
        <v>375</v>
      </c>
      <c r="D220" s="8" t="s">
        <v>376</v>
      </c>
      <c r="E220" s="8" t="s">
        <v>3545</v>
      </c>
      <c r="F220" s="8" t="s">
        <v>1145</v>
      </c>
      <c r="G220" s="8" t="s">
        <v>1796</v>
      </c>
      <c r="H220" s="8" t="s">
        <v>1146</v>
      </c>
      <c r="I220" s="8" t="s">
        <v>1797</v>
      </c>
      <c r="J220" s="8" t="s">
        <v>42</v>
      </c>
      <c r="K220" s="8" t="s">
        <v>40</v>
      </c>
      <c r="L220" s="8" t="s">
        <v>3546</v>
      </c>
      <c r="M220" s="8" t="s">
        <v>3117</v>
      </c>
      <c r="N220" s="8" t="s">
        <v>3547</v>
      </c>
      <c r="O220" s="8"/>
      <c r="P220" s="8"/>
      <c r="Q220" s="8"/>
      <c r="R220" s="8"/>
    </row>
    <row r="221" spans="1:18" ht="37.950000000000003" customHeight="1">
      <c r="A221" s="8">
        <v>217</v>
      </c>
      <c r="B221" s="8" t="s">
        <v>3275</v>
      </c>
      <c r="C221" s="8" t="s">
        <v>377</v>
      </c>
      <c r="D221" s="8" t="s">
        <v>378</v>
      </c>
      <c r="E221" s="8" t="s">
        <v>3545</v>
      </c>
      <c r="F221" s="8" t="s">
        <v>1344</v>
      </c>
      <c r="G221" s="8" t="s">
        <v>1799</v>
      </c>
      <c r="H221" s="8" t="s">
        <v>1345</v>
      </c>
      <c r="I221" s="8" t="s">
        <v>1800</v>
      </c>
      <c r="J221" s="8" t="s">
        <v>40</v>
      </c>
      <c r="K221" s="8" t="s">
        <v>40</v>
      </c>
      <c r="L221" s="8" t="s">
        <v>3117</v>
      </c>
      <c r="M221" s="8" t="s">
        <v>3117</v>
      </c>
      <c r="N221" s="8" t="s">
        <v>3547</v>
      </c>
      <c r="O221" s="8"/>
      <c r="P221" s="8"/>
      <c r="Q221" s="8"/>
      <c r="R221" s="8"/>
    </row>
    <row r="222" spans="1:18" ht="37.950000000000003" customHeight="1">
      <c r="A222" s="8">
        <v>218</v>
      </c>
      <c r="B222" s="8" t="s">
        <v>3275</v>
      </c>
      <c r="C222" s="8" t="s">
        <v>379</v>
      </c>
      <c r="D222" s="8" t="s">
        <v>380</v>
      </c>
      <c r="E222" s="8" t="s">
        <v>3545</v>
      </c>
      <c r="F222" s="8" t="s">
        <v>1347</v>
      </c>
      <c r="G222" s="8" t="s">
        <v>1801</v>
      </c>
      <c r="H222" s="8" t="s">
        <v>1348</v>
      </c>
      <c r="I222" s="8" t="s">
        <v>1802</v>
      </c>
      <c r="J222" s="8" t="s">
        <v>40</v>
      </c>
      <c r="K222" s="8" t="s">
        <v>40</v>
      </c>
      <c r="L222" s="8" t="s">
        <v>3117</v>
      </c>
      <c r="M222" s="8" t="s">
        <v>3117</v>
      </c>
      <c r="N222" s="8" t="s">
        <v>3547</v>
      </c>
      <c r="O222" s="8"/>
      <c r="P222" s="8"/>
      <c r="Q222" s="8"/>
      <c r="R222" s="8"/>
    </row>
    <row r="223" spans="1:18" ht="37.950000000000003" customHeight="1">
      <c r="A223" s="8">
        <v>219</v>
      </c>
      <c r="B223" s="8" t="s">
        <v>3275</v>
      </c>
      <c r="C223" s="8" t="s">
        <v>381</v>
      </c>
      <c r="D223" s="8" t="s">
        <v>382</v>
      </c>
      <c r="E223" s="8" t="s">
        <v>3545</v>
      </c>
      <c r="F223" s="8" t="s">
        <v>1148</v>
      </c>
      <c r="G223" s="8" t="s">
        <v>1803</v>
      </c>
      <c r="H223" s="8" t="s">
        <v>1149</v>
      </c>
      <c r="I223" s="8" t="s">
        <v>1804</v>
      </c>
      <c r="J223" s="8" t="s">
        <v>690</v>
      </c>
      <c r="K223" s="8" t="s">
        <v>40</v>
      </c>
      <c r="L223" s="8" t="s">
        <v>3548</v>
      </c>
      <c r="M223" s="8" t="s">
        <v>3117</v>
      </c>
      <c r="N223" s="8" t="s">
        <v>3547</v>
      </c>
      <c r="O223" s="8"/>
      <c r="P223" s="8"/>
      <c r="Q223" s="8"/>
      <c r="R223" s="8"/>
    </row>
    <row r="224" spans="1:18" ht="37.950000000000003" customHeight="1">
      <c r="A224" s="8">
        <v>220</v>
      </c>
      <c r="B224" s="8" t="s">
        <v>3275</v>
      </c>
      <c r="C224" s="8" t="s">
        <v>383</v>
      </c>
      <c r="D224" s="8" t="s">
        <v>384</v>
      </c>
      <c r="E224" s="8" t="s">
        <v>3549</v>
      </c>
      <c r="F224" s="8" t="s">
        <v>1350</v>
      </c>
      <c r="G224" s="8" t="s">
        <v>1806</v>
      </c>
      <c r="H224" s="8" t="s">
        <v>1351</v>
      </c>
      <c r="I224" s="8" t="s">
        <v>1807</v>
      </c>
      <c r="J224" s="8" t="s">
        <v>40</v>
      </c>
      <c r="K224" s="8" t="s">
        <v>40</v>
      </c>
      <c r="L224" s="8" t="s">
        <v>3117</v>
      </c>
      <c r="M224" s="8" t="s">
        <v>3117</v>
      </c>
      <c r="N224" s="8" t="s">
        <v>3547</v>
      </c>
      <c r="O224" s="8"/>
      <c r="P224" s="8"/>
      <c r="Q224" s="8"/>
      <c r="R224" s="8"/>
    </row>
    <row r="225" spans="1:18" ht="37.950000000000003" customHeight="1">
      <c r="A225" s="8">
        <v>221</v>
      </c>
      <c r="B225" s="8" t="s">
        <v>3380</v>
      </c>
      <c r="C225" s="8" t="s">
        <v>545</v>
      </c>
      <c r="D225" s="8" t="s">
        <v>442</v>
      </c>
      <c r="E225" s="8"/>
      <c r="F225" s="8" t="s">
        <v>817</v>
      </c>
      <c r="G225" s="8"/>
      <c r="H225" s="8" t="s">
        <v>818</v>
      </c>
      <c r="I225" s="8"/>
      <c r="J225" s="8" t="s">
        <v>42</v>
      </c>
      <c r="K225" s="8" t="s">
        <v>24</v>
      </c>
      <c r="L225" s="8" t="s">
        <v>3453</v>
      </c>
      <c r="M225" s="8" t="s">
        <v>3136</v>
      </c>
      <c r="N225" s="8" t="s">
        <v>3382</v>
      </c>
      <c r="O225" s="8"/>
      <c r="P225" s="8"/>
      <c r="Q225" s="8"/>
      <c r="R225" s="8"/>
    </row>
    <row r="226" spans="1:18" ht="37.950000000000003" customHeight="1">
      <c r="A226" s="8">
        <v>222</v>
      </c>
      <c r="B226" s="8" t="s">
        <v>3275</v>
      </c>
      <c r="C226" s="8" t="s">
        <v>385</v>
      </c>
      <c r="D226" s="8" t="s">
        <v>386</v>
      </c>
      <c r="E226" s="8" t="s">
        <v>3549</v>
      </c>
      <c r="F226" s="8" t="s">
        <v>1353</v>
      </c>
      <c r="G226" s="8" t="s">
        <v>1808</v>
      </c>
      <c r="H226" s="8" t="s">
        <v>1354</v>
      </c>
      <c r="I226" s="8" t="s">
        <v>1809</v>
      </c>
      <c r="J226" s="8" t="s">
        <v>40</v>
      </c>
      <c r="K226" s="8" t="s">
        <v>40</v>
      </c>
      <c r="L226" s="8" t="s">
        <v>3117</v>
      </c>
      <c r="M226" s="8" t="s">
        <v>3117</v>
      </c>
      <c r="N226" s="8" t="s">
        <v>3547</v>
      </c>
      <c r="O226" s="8"/>
      <c r="P226" s="8"/>
      <c r="Q226" s="8"/>
      <c r="R226" s="8"/>
    </row>
    <row r="227" spans="1:18" ht="37.950000000000003" customHeight="1">
      <c r="A227" s="8">
        <v>223</v>
      </c>
      <c r="B227" s="8" t="s">
        <v>3380</v>
      </c>
      <c r="C227" s="8" t="s">
        <v>548</v>
      </c>
      <c r="D227" s="8" t="s">
        <v>509</v>
      </c>
      <c r="E227" s="8"/>
      <c r="F227" s="8" t="s">
        <v>872</v>
      </c>
      <c r="G227" s="8"/>
      <c r="H227" s="8" t="s">
        <v>873</v>
      </c>
      <c r="I227" s="8"/>
      <c r="J227" s="8" t="s">
        <v>42</v>
      </c>
      <c r="K227" s="8" t="s">
        <v>24</v>
      </c>
      <c r="L227" s="8" t="s">
        <v>3131</v>
      </c>
      <c r="M227" s="8" t="s">
        <v>3136</v>
      </c>
      <c r="N227" s="8" t="s">
        <v>3382</v>
      </c>
      <c r="O227" s="8"/>
      <c r="P227" s="8"/>
      <c r="Q227" s="8"/>
      <c r="R227" s="8"/>
    </row>
    <row r="228" spans="1:18" ht="37.950000000000003" customHeight="1">
      <c r="A228" s="8">
        <v>224</v>
      </c>
      <c r="B228" s="8" t="s">
        <v>3275</v>
      </c>
      <c r="C228" s="8" t="s">
        <v>387</v>
      </c>
      <c r="D228" s="8" t="s">
        <v>388</v>
      </c>
      <c r="E228" s="8" t="s">
        <v>3549</v>
      </c>
      <c r="F228" s="8" t="s">
        <v>1356</v>
      </c>
      <c r="G228" s="8" t="s">
        <v>1810</v>
      </c>
      <c r="H228" s="8" t="s">
        <v>1357</v>
      </c>
      <c r="I228" s="8" t="s">
        <v>1811</v>
      </c>
      <c r="J228" s="8" t="s">
        <v>40</v>
      </c>
      <c r="K228" s="8" t="s">
        <v>40</v>
      </c>
      <c r="L228" s="8" t="s">
        <v>3117</v>
      </c>
      <c r="M228" s="8" t="s">
        <v>3117</v>
      </c>
      <c r="N228" s="8" t="s">
        <v>3547</v>
      </c>
      <c r="O228" s="8"/>
      <c r="P228" s="8"/>
      <c r="Q228" s="8"/>
      <c r="R228" s="8"/>
    </row>
    <row r="229" spans="1:18" ht="37.950000000000003" customHeight="1">
      <c r="A229" s="8">
        <v>225</v>
      </c>
      <c r="B229" s="8" t="s">
        <v>3275</v>
      </c>
      <c r="C229" s="8" t="s">
        <v>399</v>
      </c>
      <c r="D229" s="8" t="s">
        <v>400</v>
      </c>
      <c r="E229" s="8" t="s">
        <v>3550</v>
      </c>
      <c r="F229" s="8" t="s">
        <v>1359</v>
      </c>
      <c r="G229" s="8" t="s">
        <v>1815</v>
      </c>
      <c r="H229" s="8" t="s">
        <v>1360</v>
      </c>
      <c r="I229" s="8" t="s">
        <v>1816</v>
      </c>
      <c r="J229" s="8" t="s">
        <v>40</v>
      </c>
      <c r="K229" s="8" t="s">
        <v>40</v>
      </c>
      <c r="L229" s="8" t="s">
        <v>3117</v>
      </c>
      <c r="M229" s="8" t="s">
        <v>3117</v>
      </c>
      <c r="N229" s="8" t="s">
        <v>3280</v>
      </c>
      <c r="O229" s="8"/>
      <c r="P229" s="8"/>
      <c r="Q229" s="8"/>
      <c r="R229" s="8"/>
    </row>
    <row r="230" spans="1:18" ht="37.950000000000003" customHeight="1">
      <c r="A230" s="8">
        <v>226</v>
      </c>
      <c r="B230" s="8" t="s">
        <v>3275</v>
      </c>
      <c r="C230" s="8" t="s">
        <v>403</v>
      </c>
      <c r="D230" s="8" t="s">
        <v>404</v>
      </c>
      <c r="E230" s="8" t="s">
        <v>3551</v>
      </c>
      <c r="F230" s="8" t="s">
        <v>791</v>
      </c>
      <c r="G230" s="8"/>
      <c r="H230" s="8" t="s">
        <v>792</v>
      </c>
      <c r="I230" s="8"/>
      <c r="J230" s="8" t="s">
        <v>690</v>
      </c>
      <c r="K230" s="8" t="s">
        <v>24</v>
      </c>
      <c r="L230" s="8" t="s">
        <v>3552</v>
      </c>
      <c r="M230" s="8" t="s">
        <v>3136</v>
      </c>
      <c r="N230" s="8" t="s">
        <v>3280</v>
      </c>
      <c r="O230" s="8"/>
      <c r="P230" s="8"/>
      <c r="Q230" s="8"/>
      <c r="R230" s="8"/>
    </row>
    <row r="231" spans="1:18" ht="37.950000000000003" customHeight="1">
      <c r="A231" s="8">
        <v>227</v>
      </c>
      <c r="B231" s="8" t="s">
        <v>3380</v>
      </c>
      <c r="C231" s="8" t="s">
        <v>554</v>
      </c>
      <c r="D231" s="8" t="s">
        <v>555</v>
      </c>
      <c r="E231" s="8"/>
      <c r="F231" s="8" t="s">
        <v>719</v>
      </c>
      <c r="G231" s="8"/>
      <c r="H231" s="8" t="s">
        <v>720</v>
      </c>
      <c r="I231" s="8"/>
      <c r="J231" s="8" t="s">
        <v>42</v>
      </c>
      <c r="K231" s="8" t="s">
        <v>24</v>
      </c>
      <c r="L231" s="8" t="s">
        <v>3131</v>
      </c>
      <c r="M231" s="8" t="s">
        <v>3136</v>
      </c>
      <c r="N231" s="8" t="s">
        <v>3382</v>
      </c>
      <c r="O231" s="8"/>
      <c r="P231" s="8"/>
      <c r="Q231" s="8"/>
      <c r="R231" s="8"/>
    </row>
    <row r="232" spans="1:18" ht="37.950000000000003" customHeight="1">
      <c r="A232" s="8">
        <v>228</v>
      </c>
      <c r="B232" s="8" t="s">
        <v>3275</v>
      </c>
      <c r="C232" s="8" t="s">
        <v>413</v>
      </c>
      <c r="D232" s="8" t="s">
        <v>414</v>
      </c>
      <c r="E232" s="8" t="s">
        <v>3384</v>
      </c>
      <c r="F232" s="8" t="s">
        <v>1362</v>
      </c>
      <c r="G232" s="8"/>
      <c r="H232" s="8" t="s">
        <v>1363</v>
      </c>
      <c r="I232" s="8"/>
      <c r="J232" s="8" t="s">
        <v>40</v>
      </c>
      <c r="K232" s="8" t="s">
        <v>24</v>
      </c>
      <c r="L232" s="8" t="s">
        <v>3553</v>
      </c>
      <c r="M232" s="8" t="s">
        <v>3136</v>
      </c>
      <c r="N232" s="8" t="s">
        <v>3303</v>
      </c>
      <c r="O232" s="8"/>
      <c r="P232" s="8"/>
      <c r="Q232" s="8"/>
      <c r="R232" s="8"/>
    </row>
    <row r="233" spans="1:18" ht="37.950000000000003" customHeight="1">
      <c r="A233" s="8">
        <v>229</v>
      </c>
      <c r="B233" s="8" t="s">
        <v>3380</v>
      </c>
      <c r="C233" s="8" t="s">
        <v>558</v>
      </c>
      <c r="D233" s="8" t="s">
        <v>559</v>
      </c>
      <c r="E233" s="8"/>
      <c r="F233" s="8" t="s">
        <v>915</v>
      </c>
      <c r="G233" s="8"/>
      <c r="H233" s="8" t="s">
        <v>559</v>
      </c>
      <c r="I233" s="8"/>
      <c r="J233" s="8" t="s">
        <v>24</v>
      </c>
      <c r="K233" s="8" t="s">
        <v>24</v>
      </c>
      <c r="L233" s="8" t="s">
        <v>3554</v>
      </c>
      <c r="M233" s="8" t="s">
        <v>3136</v>
      </c>
      <c r="N233" s="8" t="s">
        <v>3382</v>
      </c>
      <c r="O233" s="8"/>
      <c r="P233" s="8"/>
      <c r="Q233" s="8"/>
      <c r="R233" s="8"/>
    </row>
    <row r="234" spans="1:18" ht="37.950000000000003" customHeight="1">
      <c r="A234" s="8">
        <v>230</v>
      </c>
      <c r="B234" s="8" t="s">
        <v>3275</v>
      </c>
      <c r="C234" s="8" t="s">
        <v>415</v>
      </c>
      <c r="D234" s="8" t="s">
        <v>416</v>
      </c>
      <c r="E234" s="8" t="s">
        <v>3384</v>
      </c>
      <c r="F234" s="8" t="s">
        <v>1365</v>
      </c>
      <c r="G234" s="8"/>
      <c r="H234" s="8" t="s">
        <v>1366</v>
      </c>
      <c r="I234" s="8"/>
      <c r="J234" s="8" t="s">
        <v>40</v>
      </c>
      <c r="K234" s="8" t="s">
        <v>24</v>
      </c>
      <c r="L234" s="8" t="s">
        <v>3555</v>
      </c>
      <c r="M234" s="8" t="s">
        <v>3136</v>
      </c>
      <c r="N234" s="8" t="s">
        <v>3303</v>
      </c>
      <c r="O234" s="8"/>
      <c r="P234" s="8"/>
      <c r="Q234" s="8"/>
      <c r="R234" s="8"/>
    </row>
    <row r="235" spans="1:18" ht="37.950000000000003" customHeight="1">
      <c r="A235" s="8">
        <v>231</v>
      </c>
      <c r="B235" s="8" t="s">
        <v>3380</v>
      </c>
      <c r="C235" s="8" t="s">
        <v>562</v>
      </c>
      <c r="D235" s="8" t="s">
        <v>563</v>
      </c>
      <c r="E235" s="8"/>
      <c r="F235" s="8" t="s">
        <v>917</v>
      </c>
      <c r="G235" s="8" t="s">
        <v>1651</v>
      </c>
      <c r="H235" s="8" t="s">
        <v>563</v>
      </c>
      <c r="I235" s="8" t="s">
        <v>1652</v>
      </c>
      <c r="J235" s="8" t="s">
        <v>24</v>
      </c>
      <c r="K235" s="8" t="s">
        <v>42</v>
      </c>
      <c r="L235" s="8" t="s">
        <v>3556</v>
      </c>
      <c r="M235" s="8" t="s">
        <v>3557</v>
      </c>
      <c r="N235" s="8" t="s">
        <v>3382</v>
      </c>
      <c r="O235" s="8"/>
      <c r="P235" s="8"/>
      <c r="Q235" s="8"/>
      <c r="R235" s="8"/>
    </row>
    <row r="236" spans="1:18" ht="37.950000000000003" customHeight="1">
      <c r="A236" s="8">
        <v>232</v>
      </c>
      <c r="B236" s="8" t="s">
        <v>3275</v>
      </c>
      <c r="C236" s="8" t="s">
        <v>425</v>
      </c>
      <c r="D236" s="8" t="s">
        <v>426</v>
      </c>
      <c r="E236" s="8" t="s">
        <v>3381</v>
      </c>
      <c r="F236" s="8" t="s">
        <v>802</v>
      </c>
      <c r="G236" s="8" t="s">
        <v>1475</v>
      </c>
      <c r="H236" s="8" t="s">
        <v>803</v>
      </c>
      <c r="I236" s="8" t="s">
        <v>1476</v>
      </c>
      <c r="J236" s="8" t="s">
        <v>40</v>
      </c>
      <c r="K236" s="8" t="s">
        <v>40</v>
      </c>
      <c r="L236" s="8" t="s">
        <v>3117</v>
      </c>
      <c r="M236" s="8" t="s">
        <v>3117</v>
      </c>
      <c r="N236" s="8" t="s">
        <v>3441</v>
      </c>
      <c r="O236" s="8"/>
      <c r="P236" s="8"/>
      <c r="Q236" s="8"/>
      <c r="R236" s="8"/>
    </row>
    <row r="237" spans="1:18" ht="37.950000000000003" customHeight="1">
      <c r="A237" s="8">
        <v>233</v>
      </c>
      <c r="B237" s="8" t="s">
        <v>3275</v>
      </c>
      <c r="C237" s="8" t="s">
        <v>427</v>
      </c>
      <c r="D237" s="8" t="s">
        <v>428</v>
      </c>
      <c r="E237" s="8" t="s">
        <v>3558</v>
      </c>
      <c r="F237" s="8" t="s">
        <v>805</v>
      </c>
      <c r="G237" s="8" t="s">
        <v>1477</v>
      </c>
      <c r="H237" s="8" t="s">
        <v>806</v>
      </c>
      <c r="I237" s="8" t="s">
        <v>1478</v>
      </c>
      <c r="J237" s="8" t="s">
        <v>40</v>
      </c>
      <c r="K237" s="8" t="s">
        <v>40</v>
      </c>
      <c r="L237" s="8" t="s">
        <v>3117</v>
      </c>
      <c r="M237" s="8" t="s">
        <v>3117</v>
      </c>
      <c r="N237" s="8" t="s">
        <v>3441</v>
      </c>
      <c r="O237" s="8"/>
      <c r="P237" s="8"/>
      <c r="Q237" s="8"/>
      <c r="R237" s="8"/>
    </row>
    <row r="238" spans="1:18" ht="37.950000000000003" customHeight="1">
      <c r="A238" s="8">
        <v>234</v>
      </c>
      <c r="B238" s="8" t="s">
        <v>3275</v>
      </c>
      <c r="C238" s="8" t="s">
        <v>431</v>
      </c>
      <c r="D238" s="8" t="s">
        <v>432</v>
      </c>
      <c r="E238" s="8" t="s">
        <v>3387</v>
      </c>
      <c r="F238" s="8" t="s">
        <v>1368</v>
      </c>
      <c r="G238" s="8" t="s">
        <v>1482</v>
      </c>
      <c r="H238" s="8" t="s">
        <v>1369</v>
      </c>
      <c r="I238" s="8" t="s">
        <v>1483</v>
      </c>
      <c r="J238" s="8" t="s">
        <v>40</v>
      </c>
      <c r="K238" s="8" t="s">
        <v>42</v>
      </c>
      <c r="L238" s="8" t="s">
        <v>3117</v>
      </c>
      <c r="M238" s="8" t="s">
        <v>3131</v>
      </c>
      <c r="N238" s="8" t="s">
        <v>3441</v>
      </c>
      <c r="O238" s="8"/>
      <c r="P238" s="8"/>
      <c r="Q238" s="8"/>
      <c r="R238" s="8"/>
    </row>
    <row r="239" spans="1:18" ht="37.950000000000003" customHeight="1">
      <c r="A239" s="8">
        <v>235</v>
      </c>
      <c r="B239" s="8" t="s">
        <v>3275</v>
      </c>
      <c r="C239" s="8" t="s">
        <v>433</v>
      </c>
      <c r="D239" s="8" t="s">
        <v>434</v>
      </c>
      <c r="E239" s="8" t="s">
        <v>3559</v>
      </c>
      <c r="F239" s="8" t="s">
        <v>811</v>
      </c>
      <c r="G239" s="8" t="s">
        <v>1825</v>
      </c>
      <c r="H239" s="8" t="s">
        <v>812</v>
      </c>
      <c r="I239" s="8" t="s">
        <v>1826</v>
      </c>
      <c r="J239" s="8" t="s">
        <v>40</v>
      </c>
      <c r="K239" s="8" t="s">
        <v>40</v>
      </c>
      <c r="L239" s="8" t="s">
        <v>3117</v>
      </c>
      <c r="M239" s="8" t="s">
        <v>3117</v>
      </c>
      <c r="N239" s="8" t="s">
        <v>3441</v>
      </c>
      <c r="O239" s="8"/>
      <c r="P239" s="8"/>
      <c r="Q239" s="8"/>
      <c r="R239" s="8"/>
    </row>
    <row r="240" spans="1:18" ht="37.950000000000003" customHeight="1">
      <c r="A240" s="8">
        <v>236</v>
      </c>
      <c r="B240" s="8" t="s">
        <v>3380</v>
      </c>
      <c r="C240" s="8" t="s">
        <v>572</v>
      </c>
      <c r="D240" s="8" t="s">
        <v>573</v>
      </c>
      <c r="E240" s="8"/>
      <c r="F240" s="8" t="s">
        <v>925</v>
      </c>
      <c r="G240" s="8"/>
      <c r="H240" s="8" t="s">
        <v>926</v>
      </c>
      <c r="I240" s="8"/>
      <c r="J240" s="8" t="s">
        <v>24</v>
      </c>
      <c r="K240" s="8" t="s">
        <v>24</v>
      </c>
      <c r="L240" s="8" t="s">
        <v>3560</v>
      </c>
      <c r="M240" s="8" t="s">
        <v>3136</v>
      </c>
      <c r="N240" s="8" t="s">
        <v>3399</v>
      </c>
      <c r="O240" s="8"/>
      <c r="P240" s="8"/>
      <c r="Q240" s="8"/>
      <c r="R240" s="8"/>
    </row>
    <row r="241" spans="1:18" ht="37.950000000000003" customHeight="1">
      <c r="A241" s="8">
        <v>237</v>
      </c>
      <c r="B241" s="8" t="s">
        <v>3275</v>
      </c>
      <c r="C241" s="8" t="s">
        <v>435</v>
      </c>
      <c r="D241" s="8" t="s">
        <v>436</v>
      </c>
      <c r="E241" s="8" t="s">
        <v>3561</v>
      </c>
      <c r="F241" s="8" t="s">
        <v>1166</v>
      </c>
      <c r="G241" s="8"/>
      <c r="H241" s="8" t="s">
        <v>1167</v>
      </c>
      <c r="I241" s="8"/>
      <c r="J241" s="8" t="s">
        <v>42</v>
      </c>
      <c r="K241" s="8" t="s">
        <v>24</v>
      </c>
      <c r="L241" s="8" t="s">
        <v>3562</v>
      </c>
      <c r="M241" s="8" t="s">
        <v>3136</v>
      </c>
      <c r="N241" s="8" t="s">
        <v>3441</v>
      </c>
      <c r="O241" s="8"/>
      <c r="P241" s="8"/>
      <c r="Q241" s="8"/>
      <c r="R241" s="8"/>
    </row>
    <row r="242" spans="1:18" ht="37.950000000000003" customHeight="1">
      <c r="A242" s="8">
        <v>238</v>
      </c>
      <c r="B242" s="8" t="s">
        <v>3380</v>
      </c>
      <c r="C242" s="8" t="s">
        <v>576</v>
      </c>
      <c r="D242" s="8" t="s">
        <v>577</v>
      </c>
      <c r="E242" s="8"/>
      <c r="F242" s="8" t="s">
        <v>817</v>
      </c>
      <c r="G242" s="8"/>
      <c r="H242" s="8" t="s">
        <v>818</v>
      </c>
      <c r="I242" s="8"/>
      <c r="J242" s="8" t="s">
        <v>42</v>
      </c>
      <c r="K242" s="8" t="s">
        <v>24</v>
      </c>
      <c r="L242" s="8" t="s">
        <v>3563</v>
      </c>
      <c r="M242" s="8" t="s">
        <v>3136</v>
      </c>
      <c r="N242" s="8" t="s">
        <v>3399</v>
      </c>
      <c r="O242" s="8"/>
      <c r="P242" s="8"/>
      <c r="Q242" s="8"/>
      <c r="R242" s="8"/>
    </row>
    <row r="243" spans="1:18" ht="37.950000000000003" customHeight="1">
      <c r="A243" s="8">
        <v>239</v>
      </c>
      <c r="B243" s="8" t="s">
        <v>3275</v>
      </c>
      <c r="C243" s="8" t="s">
        <v>437</v>
      </c>
      <c r="D243" s="8" t="s">
        <v>438</v>
      </c>
      <c r="E243" s="8" t="s">
        <v>3308</v>
      </c>
      <c r="F243" s="8" t="s">
        <v>1371</v>
      </c>
      <c r="G243" s="8"/>
      <c r="H243" s="8" t="s">
        <v>1372</v>
      </c>
      <c r="I243" s="8"/>
      <c r="J243" s="8" t="s">
        <v>40</v>
      </c>
      <c r="K243" s="8" t="s">
        <v>24</v>
      </c>
      <c r="L243" s="8" t="s">
        <v>3117</v>
      </c>
      <c r="M243" s="8" t="s">
        <v>3136</v>
      </c>
      <c r="N243" s="8" t="s">
        <v>3441</v>
      </c>
      <c r="O243" s="8"/>
      <c r="P243" s="8"/>
      <c r="Q243" s="8"/>
      <c r="R243" s="8"/>
    </row>
    <row r="244" spans="1:18" ht="37.950000000000003" customHeight="1">
      <c r="A244" s="8">
        <v>240</v>
      </c>
      <c r="B244" s="8" t="s">
        <v>3275</v>
      </c>
      <c r="C244" s="8" t="s">
        <v>439</v>
      </c>
      <c r="D244" s="8" t="s">
        <v>440</v>
      </c>
      <c r="E244" s="8" t="s">
        <v>3564</v>
      </c>
      <c r="F244" s="8" t="s">
        <v>814</v>
      </c>
      <c r="G244" s="8" t="s">
        <v>1485</v>
      </c>
      <c r="H244" s="8" t="s">
        <v>815</v>
      </c>
      <c r="I244" s="8" t="s">
        <v>1486</v>
      </c>
      <c r="J244" s="8" t="s">
        <v>42</v>
      </c>
      <c r="K244" s="8" t="s">
        <v>42</v>
      </c>
      <c r="L244" s="8" t="s">
        <v>3565</v>
      </c>
      <c r="M244" s="8" t="s">
        <v>3566</v>
      </c>
      <c r="N244" s="8" t="s">
        <v>3441</v>
      </c>
      <c r="O244" s="8"/>
      <c r="P244" s="8"/>
      <c r="Q244" s="8"/>
      <c r="R244" s="8"/>
    </row>
    <row r="245" spans="1:18" ht="37.950000000000003" customHeight="1">
      <c r="A245" s="8">
        <v>241</v>
      </c>
      <c r="B245" s="8" t="s">
        <v>3275</v>
      </c>
      <c r="C245" s="8" t="s">
        <v>443</v>
      </c>
      <c r="D245" s="8" t="s">
        <v>444</v>
      </c>
      <c r="E245" s="8" t="s">
        <v>3567</v>
      </c>
      <c r="F245" s="8" t="s">
        <v>820</v>
      </c>
      <c r="G245" s="8"/>
      <c r="H245" s="8" t="s">
        <v>821</v>
      </c>
      <c r="I245" s="8"/>
      <c r="J245" s="8" t="s">
        <v>42</v>
      </c>
      <c r="K245" s="8" t="s">
        <v>24</v>
      </c>
      <c r="L245" s="8" t="s">
        <v>3568</v>
      </c>
      <c r="M245" s="8" t="s">
        <v>3136</v>
      </c>
      <c r="N245" s="8" t="s">
        <v>3441</v>
      </c>
      <c r="O245" s="8"/>
      <c r="P245" s="8"/>
      <c r="Q245" s="8"/>
      <c r="R245" s="8"/>
    </row>
    <row r="246" spans="1:18" ht="37.950000000000003" customHeight="1">
      <c r="A246" s="8">
        <v>242</v>
      </c>
      <c r="B246" s="8" t="s">
        <v>3275</v>
      </c>
      <c r="C246" s="8" t="s">
        <v>447</v>
      </c>
      <c r="D246" s="8" t="s">
        <v>448</v>
      </c>
      <c r="E246" s="8" t="s">
        <v>3569</v>
      </c>
      <c r="F246" s="8" t="s">
        <v>1374</v>
      </c>
      <c r="G246" s="8"/>
      <c r="H246" s="8" t="s">
        <v>1375</v>
      </c>
      <c r="I246" s="8"/>
      <c r="J246" s="8" t="s">
        <v>40</v>
      </c>
      <c r="K246" s="8" t="s">
        <v>24</v>
      </c>
      <c r="L246" s="8" t="s">
        <v>3117</v>
      </c>
      <c r="M246" s="8" t="s">
        <v>3136</v>
      </c>
      <c r="N246" s="8" t="s">
        <v>3311</v>
      </c>
      <c r="O246" s="8"/>
      <c r="P246" s="8"/>
      <c r="Q246" s="8"/>
      <c r="R246" s="8"/>
    </row>
    <row r="247" spans="1:18" ht="37.950000000000003" customHeight="1">
      <c r="A247" s="8">
        <v>243</v>
      </c>
      <c r="B247" s="8" t="s">
        <v>3380</v>
      </c>
      <c r="C247" s="8" t="s">
        <v>583</v>
      </c>
      <c r="D247" s="8" t="s">
        <v>584</v>
      </c>
      <c r="E247" s="8"/>
      <c r="F247" s="8" t="s">
        <v>858</v>
      </c>
      <c r="G247" s="8"/>
      <c r="H247" s="8" t="s">
        <v>859</v>
      </c>
      <c r="I247" s="8"/>
      <c r="J247" s="8" t="s">
        <v>42</v>
      </c>
      <c r="K247" s="8" t="s">
        <v>24</v>
      </c>
      <c r="L247" s="8" t="s">
        <v>3570</v>
      </c>
      <c r="M247" s="8" t="s">
        <v>3178</v>
      </c>
      <c r="N247" s="8" t="s">
        <v>3399</v>
      </c>
      <c r="O247" s="8"/>
      <c r="P247" s="8"/>
      <c r="Q247" s="8"/>
      <c r="R247" s="8"/>
    </row>
    <row r="248" spans="1:18" ht="37.950000000000003" customHeight="1">
      <c r="A248" s="8">
        <v>244</v>
      </c>
      <c r="B248" s="8" t="s">
        <v>3275</v>
      </c>
      <c r="C248" s="8" t="s">
        <v>457</v>
      </c>
      <c r="D248" s="8" t="s">
        <v>458</v>
      </c>
      <c r="E248" s="8" t="s">
        <v>3571</v>
      </c>
      <c r="F248" s="8" t="s">
        <v>1380</v>
      </c>
      <c r="G248" s="8" t="s">
        <v>1442</v>
      </c>
      <c r="H248" s="8" t="s">
        <v>1381</v>
      </c>
      <c r="I248" s="8" t="s">
        <v>1443</v>
      </c>
      <c r="J248" s="8" t="s">
        <v>40</v>
      </c>
      <c r="K248" s="8" t="s">
        <v>690</v>
      </c>
      <c r="L248" s="8" t="s">
        <v>3572</v>
      </c>
      <c r="M248" s="8" t="s">
        <v>3573</v>
      </c>
      <c r="N248" s="8" t="s">
        <v>3463</v>
      </c>
      <c r="O248" s="8"/>
      <c r="P248" s="8"/>
      <c r="Q248" s="8"/>
      <c r="R248" s="8"/>
    </row>
    <row r="249" spans="1:18" ht="37.950000000000003" customHeight="1">
      <c r="A249" s="8">
        <v>245</v>
      </c>
      <c r="B249" s="8" t="s">
        <v>3275</v>
      </c>
      <c r="C249" s="8" t="s">
        <v>459</v>
      </c>
      <c r="D249" s="8" t="s">
        <v>460</v>
      </c>
      <c r="E249" s="8" t="s">
        <v>3427</v>
      </c>
      <c r="F249" s="8" t="s">
        <v>1383</v>
      </c>
      <c r="G249" s="8" t="s">
        <v>1445</v>
      </c>
      <c r="H249" s="8" t="s">
        <v>1384</v>
      </c>
      <c r="I249" s="8" t="s">
        <v>1446</v>
      </c>
      <c r="J249" s="8" t="s">
        <v>40</v>
      </c>
      <c r="K249" s="8" t="s">
        <v>690</v>
      </c>
      <c r="L249" s="8" t="s">
        <v>3574</v>
      </c>
      <c r="M249" s="8" t="s">
        <v>3575</v>
      </c>
      <c r="N249" s="8" t="s">
        <v>3463</v>
      </c>
      <c r="O249" s="8"/>
      <c r="P249" s="8"/>
      <c r="Q249" s="8"/>
      <c r="R249" s="8"/>
    </row>
    <row r="250" spans="1:18" ht="37.950000000000003" customHeight="1">
      <c r="A250" s="8">
        <v>246</v>
      </c>
      <c r="B250" s="8" t="s">
        <v>3380</v>
      </c>
      <c r="C250" s="8" t="s">
        <v>589</v>
      </c>
      <c r="D250" s="8" t="s">
        <v>590</v>
      </c>
      <c r="E250" s="8"/>
      <c r="F250" s="8" t="s">
        <v>941</v>
      </c>
      <c r="G250" s="8"/>
      <c r="H250" s="8" t="s">
        <v>942</v>
      </c>
      <c r="I250" s="8"/>
      <c r="J250" s="8" t="s">
        <v>42</v>
      </c>
      <c r="K250" s="8" t="s">
        <v>24</v>
      </c>
      <c r="L250" s="8" t="s">
        <v>3131</v>
      </c>
      <c r="M250" s="8" t="s">
        <v>3136</v>
      </c>
      <c r="N250" s="8" t="s">
        <v>3399</v>
      </c>
      <c r="O250" s="8"/>
      <c r="P250" s="8"/>
      <c r="Q250" s="8"/>
      <c r="R250" s="8"/>
    </row>
    <row r="251" spans="1:18" ht="37.950000000000003" customHeight="1">
      <c r="A251" s="8">
        <v>247</v>
      </c>
      <c r="B251" s="8" t="s">
        <v>3275</v>
      </c>
      <c r="C251" s="8" t="s">
        <v>461</v>
      </c>
      <c r="D251" s="8" t="s">
        <v>462</v>
      </c>
      <c r="E251" s="8" t="s">
        <v>3517</v>
      </c>
      <c r="F251" s="8" t="s">
        <v>760</v>
      </c>
      <c r="G251" s="8" t="s">
        <v>1454</v>
      </c>
      <c r="H251" s="8" t="s">
        <v>761</v>
      </c>
      <c r="I251" s="8" t="s">
        <v>1455</v>
      </c>
      <c r="J251" s="8" t="s">
        <v>42</v>
      </c>
      <c r="K251" s="8" t="s">
        <v>40</v>
      </c>
      <c r="L251" s="8" t="s">
        <v>3576</v>
      </c>
      <c r="M251" s="8" t="s">
        <v>3117</v>
      </c>
      <c r="N251" s="8" t="s">
        <v>3463</v>
      </c>
      <c r="O251" s="8"/>
      <c r="P251" s="8"/>
      <c r="Q251" s="8"/>
      <c r="R251" s="8"/>
    </row>
    <row r="252" spans="1:18" ht="37.950000000000003" customHeight="1">
      <c r="A252" s="8">
        <v>248</v>
      </c>
      <c r="B252" s="8" t="s">
        <v>3314</v>
      </c>
      <c r="C252" s="8" t="s">
        <v>468</v>
      </c>
      <c r="D252" s="8" t="s">
        <v>469</v>
      </c>
      <c r="E252" s="8" t="s">
        <v>3577</v>
      </c>
      <c r="F252" s="8" t="s">
        <v>1386</v>
      </c>
      <c r="G252" s="8"/>
      <c r="H252" s="8" t="s">
        <v>1387</v>
      </c>
      <c r="I252" s="8"/>
      <c r="J252" s="8" t="s">
        <v>40</v>
      </c>
      <c r="K252" s="8" t="s">
        <v>24</v>
      </c>
      <c r="L252" s="8" t="s">
        <v>3117</v>
      </c>
      <c r="M252" s="8" t="s">
        <v>3136</v>
      </c>
      <c r="N252" s="8" t="s">
        <v>3317</v>
      </c>
      <c r="O252" s="8"/>
      <c r="P252" s="8"/>
      <c r="Q252" s="8"/>
      <c r="R252" s="8"/>
    </row>
    <row r="253" spans="1:18" ht="37.950000000000003" customHeight="1">
      <c r="A253" s="8">
        <v>249</v>
      </c>
      <c r="B253" s="8" t="s">
        <v>3380</v>
      </c>
      <c r="C253" s="8" t="s">
        <v>595</v>
      </c>
      <c r="D253" s="8" t="s">
        <v>596</v>
      </c>
      <c r="E253" s="8"/>
      <c r="F253" s="8" t="s">
        <v>896</v>
      </c>
      <c r="G253" s="8"/>
      <c r="H253" s="8" t="s">
        <v>897</v>
      </c>
      <c r="I253" s="8"/>
      <c r="J253" s="8" t="s">
        <v>24</v>
      </c>
      <c r="K253" s="8" t="s">
        <v>24</v>
      </c>
      <c r="L253" s="8" t="s">
        <v>3578</v>
      </c>
      <c r="M253" s="8" t="s">
        <v>3178</v>
      </c>
      <c r="N253" s="8" t="s">
        <v>3399</v>
      </c>
      <c r="O253" s="8"/>
      <c r="P253" s="8"/>
      <c r="Q253" s="8"/>
      <c r="R253" s="8"/>
    </row>
    <row r="254" spans="1:18" ht="37.950000000000003" customHeight="1">
      <c r="A254" s="8">
        <v>250</v>
      </c>
      <c r="B254" s="8" t="s">
        <v>3380</v>
      </c>
      <c r="C254" s="8" t="s">
        <v>597</v>
      </c>
      <c r="D254" s="8" t="s">
        <v>598</v>
      </c>
      <c r="E254" s="8"/>
      <c r="F254" s="8" t="s">
        <v>858</v>
      </c>
      <c r="G254" s="8"/>
      <c r="H254" s="8" t="s">
        <v>859</v>
      </c>
      <c r="I254" s="8"/>
      <c r="J254" s="8" t="s">
        <v>42</v>
      </c>
      <c r="K254" s="8" t="s">
        <v>24</v>
      </c>
      <c r="L254" s="8" t="s">
        <v>3579</v>
      </c>
      <c r="M254" s="8" t="s">
        <v>3136</v>
      </c>
      <c r="N254" s="8" t="s">
        <v>3420</v>
      </c>
      <c r="O254" s="8"/>
      <c r="P254" s="8"/>
      <c r="Q254" s="8"/>
      <c r="R254" s="8"/>
    </row>
    <row r="255" spans="1:18" ht="37.950000000000003" customHeight="1">
      <c r="A255" s="8">
        <v>251</v>
      </c>
      <c r="B255" s="8" t="s">
        <v>3314</v>
      </c>
      <c r="C255" s="8" t="s">
        <v>470</v>
      </c>
      <c r="D255" s="8" t="s">
        <v>471</v>
      </c>
      <c r="E255" s="8" t="s">
        <v>3577</v>
      </c>
      <c r="F255" s="8" t="s">
        <v>1169</v>
      </c>
      <c r="G255" s="8"/>
      <c r="H255" s="8" t="s">
        <v>1170</v>
      </c>
      <c r="I255" s="8"/>
      <c r="J255" s="8" t="s">
        <v>42</v>
      </c>
      <c r="K255" s="8" t="s">
        <v>24</v>
      </c>
      <c r="L255" s="8" t="s">
        <v>3131</v>
      </c>
      <c r="M255" s="8" t="s">
        <v>3178</v>
      </c>
      <c r="N255" s="8" t="s">
        <v>3317</v>
      </c>
      <c r="O255" s="8"/>
      <c r="P255" s="8"/>
      <c r="Q255" s="8"/>
      <c r="R255" s="8"/>
    </row>
    <row r="256" spans="1:18" ht="37.950000000000003" customHeight="1">
      <c r="A256" s="8">
        <v>252</v>
      </c>
      <c r="B256" s="8" t="s">
        <v>3314</v>
      </c>
      <c r="C256" s="8" t="s">
        <v>472</v>
      </c>
      <c r="D256" s="8" t="s">
        <v>473</v>
      </c>
      <c r="E256" s="8" t="s">
        <v>1390</v>
      </c>
      <c r="F256" s="8" t="s">
        <v>1389</v>
      </c>
      <c r="G256" s="8"/>
      <c r="H256" s="8" t="s">
        <v>1390</v>
      </c>
      <c r="I256" s="8"/>
      <c r="J256" s="8" t="s">
        <v>40</v>
      </c>
      <c r="K256" s="8" t="s">
        <v>24</v>
      </c>
      <c r="L256" s="8" t="s">
        <v>3117</v>
      </c>
      <c r="M256" s="8" t="s">
        <v>3136</v>
      </c>
      <c r="N256" s="8" t="s">
        <v>3317</v>
      </c>
      <c r="O256" s="8"/>
      <c r="P256" s="8"/>
      <c r="Q256" s="8"/>
      <c r="R256" s="8"/>
    </row>
    <row r="257" spans="1:18" ht="37.950000000000003" customHeight="1">
      <c r="A257" s="8">
        <v>253</v>
      </c>
      <c r="B257" s="8" t="s">
        <v>3314</v>
      </c>
      <c r="C257" s="8" t="s">
        <v>474</v>
      </c>
      <c r="D257" s="8" t="s">
        <v>475</v>
      </c>
      <c r="E257" s="8" t="s">
        <v>3580</v>
      </c>
      <c r="F257" s="8" t="s">
        <v>841</v>
      </c>
      <c r="G257" s="8" t="s">
        <v>1488</v>
      </c>
      <c r="H257" s="8" t="s">
        <v>842</v>
      </c>
      <c r="I257" s="8" t="s">
        <v>1489</v>
      </c>
      <c r="J257" s="8" t="s">
        <v>42</v>
      </c>
      <c r="K257" s="8" t="s">
        <v>40</v>
      </c>
      <c r="L257" s="8" t="s">
        <v>3131</v>
      </c>
      <c r="M257" s="8" t="s">
        <v>3117</v>
      </c>
      <c r="N257" s="8" t="s">
        <v>3317</v>
      </c>
      <c r="O257" s="8"/>
      <c r="P257" s="8"/>
      <c r="Q257" s="8"/>
      <c r="R257" s="8"/>
    </row>
    <row r="258" spans="1:18" ht="37.950000000000003" customHeight="1">
      <c r="A258" s="8">
        <v>254</v>
      </c>
      <c r="B258" s="8" t="s">
        <v>3314</v>
      </c>
      <c r="C258" s="8" t="s">
        <v>478</v>
      </c>
      <c r="D258" s="8" t="s">
        <v>479</v>
      </c>
      <c r="E258" s="8" t="s">
        <v>3581</v>
      </c>
      <c r="F258" s="8" t="s">
        <v>719</v>
      </c>
      <c r="G258" s="8"/>
      <c r="H258" s="8" t="s">
        <v>720</v>
      </c>
      <c r="I258" s="8"/>
      <c r="J258" s="8" t="s">
        <v>40</v>
      </c>
      <c r="K258" s="8" t="s">
        <v>24</v>
      </c>
      <c r="L258" s="8" t="s">
        <v>3117</v>
      </c>
      <c r="M258" s="8" t="s">
        <v>3136</v>
      </c>
      <c r="N258" s="8" t="s">
        <v>3317</v>
      </c>
      <c r="O258" s="8"/>
      <c r="P258" s="8"/>
      <c r="Q258" s="8"/>
      <c r="R258" s="8"/>
    </row>
    <row r="259" spans="1:18" ht="37.950000000000003" customHeight="1">
      <c r="A259" s="8">
        <v>255</v>
      </c>
      <c r="B259" s="8" t="s">
        <v>3314</v>
      </c>
      <c r="C259" s="8" t="s">
        <v>484</v>
      </c>
      <c r="D259" s="8" t="s">
        <v>485</v>
      </c>
      <c r="E259" s="8" t="s">
        <v>3582</v>
      </c>
      <c r="F259" s="8" t="s">
        <v>1175</v>
      </c>
      <c r="G259" s="8"/>
      <c r="H259" s="8" t="s">
        <v>1176</v>
      </c>
      <c r="I259" s="8"/>
      <c r="J259" s="8" t="s">
        <v>690</v>
      </c>
      <c r="K259" s="8" t="s">
        <v>24</v>
      </c>
      <c r="L259" s="8" t="s">
        <v>3583</v>
      </c>
      <c r="M259" s="8" t="s">
        <v>3136</v>
      </c>
      <c r="N259" s="8" t="s">
        <v>3317</v>
      </c>
      <c r="O259" s="8"/>
      <c r="P259" s="8"/>
      <c r="Q259" s="8"/>
      <c r="R259" s="8"/>
    </row>
    <row r="260" spans="1:18" ht="37.950000000000003" customHeight="1">
      <c r="A260" s="8">
        <v>256</v>
      </c>
      <c r="B260" s="8" t="s">
        <v>3314</v>
      </c>
      <c r="C260" s="8" t="s">
        <v>502</v>
      </c>
      <c r="D260" s="8" t="s">
        <v>503</v>
      </c>
      <c r="E260" s="8" t="s">
        <v>3378</v>
      </c>
      <c r="F260" s="8" t="s">
        <v>866</v>
      </c>
      <c r="G260" s="8"/>
      <c r="H260" s="8" t="s">
        <v>867</v>
      </c>
      <c r="I260" s="8"/>
      <c r="J260" s="8" t="s">
        <v>42</v>
      </c>
      <c r="K260" s="8" t="s">
        <v>24</v>
      </c>
      <c r="L260" s="8" t="s">
        <v>3584</v>
      </c>
      <c r="M260" s="8" t="s">
        <v>3178</v>
      </c>
      <c r="N260" s="8" t="s">
        <v>3329</v>
      </c>
      <c r="O260" s="8"/>
      <c r="P260" s="8"/>
      <c r="Q260" s="8"/>
      <c r="R260" s="8"/>
    </row>
    <row r="261" spans="1:18" ht="37.950000000000003" customHeight="1">
      <c r="A261" s="8">
        <v>257</v>
      </c>
      <c r="B261" s="8" t="s">
        <v>3314</v>
      </c>
      <c r="C261" s="8" t="s">
        <v>504</v>
      </c>
      <c r="D261" s="8" t="s">
        <v>505</v>
      </c>
      <c r="E261" s="8" t="s">
        <v>3585</v>
      </c>
      <c r="F261" s="8" t="s">
        <v>1395</v>
      </c>
      <c r="G261" s="8"/>
      <c r="H261" s="8" t="s">
        <v>1396</v>
      </c>
      <c r="I261" s="8"/>
      <c r="J261" s="8" t="s">
        <v>40</v>
      </c>
      <c r="K261" s="8" t="s">
        <v>24</v>
      </c>
      <c r="L261" s="8" t="s">
        <v>3117</v>
      </c>
      <c r="M261" s="8" t="s">
        <v>3136</v>
      </c>
      <c r="N261" s="8" t="s">
        <v>3329</v>
      </c>
      <c r="O261" s="8"/>
      <c r="P261" s="8"/>
      <c r="Q261" s="8"/>
      <c r="R261" s="8"/>
    </row>
    <row r="262" spans="1:18" ht="37.950000000000003" customHeight="1">
      <c r="A262" s="8">
        <v>258</v>
      </c>
      <c r="B262" s="8" t="s">
        <v>3314</v>
      </c>
      <c r="C262" s="8" t="s">
        <v>524</v>
      </c>
      <c r="D262" s="8" t="s">
        <v>525</v>
      </c>
      <c r="E262" s="8" t="s">
        <v>3023</v>
      </c>
      <c r="F262" s="8" t="s">
        <v>1398</v>
      </c>
      <c r="G262" s="8" t="s">
        <v>1835</v>
      </c>
      <c r="H262" s="8" t="s">
        <v>1399</v>
      </c>
      <c r="I262" s="8" t="s">
        <v>525</v>
      </c>
      <c r="J262" s="8" t="s">
        <v>40</v>
      </c>
      <c r="K262" s="8" t="s">
        <v>40</v>
      </c>
      <c r="L262" s="8" t="s">
        <v>3117</v>
      </c>
      <c r="M262" s="8" t="s">
        <v>3117</v>
      </c>
      <c r="N262" s="8" t="s">
        <v>3362</v>
      </c>
      <c r="O262" s="8"/>
      <c r="P262" s="8"/>
      <c r="Q262" s="8"/>
      <c r="R262" s="8"/>
    </row>
    <row r="263" spans="1:18" ht="37.950000000000003" customHeight="1">
      <c r="A263" s="8">
        <v>259</v>
      </c>
      <c r="B263" s="8" t="s">
        <v>3380</v>
      </c>
      <c r="C263" s="8" t="s">
        <v>615</v>
      </c>
      <c r="D263" s="8" t="s">
        <v>616</v>
      </c>
      <c r="E263" s="8"/>
      <c r="F263" s="8" t="s">
        <v>872</v>
      </c>
      <c r="G263" s="8"/>
      <c r="H263" s="8" t="s">
        <v>873</v>
      </c>
      <c r="I263" s="8"/>
      <c r="J263" s="8" t="s">
        <v>42</v>
      </c>
      <c r="K263" s="8" t="s">
        <v>24</v>
      </c>
      <c r="L263" s="8" t="s">
        <v>3131</v>
      </c>
      <c r="M263" s="8" t="s">
        <v>3136</v>
      </c>
      <c r="N263" s="8" t="s">
        <v>3420</v>
      </c>
      <c r="O263" s="8"/>
      <c r="P263" s="8"/>
      <c r="Q263" s="8"/>
      <c r="R263" s="8"/>
    </row>
    <row r="264" spans="1:18" ht="37.950000000000003" customHeight="1">
      <c r="A264" s="8">
        <v>260</v>
      </c>
      <c r="B264" s="8" t="s">
        <v>3314</v>
      </c>
      <c r="C264" s="8" t="s">
        <v>526</v>
      </c>
      <c r="D264" s="8" t="s">
        <v>527</v>
      </c>
      <c r="E264" s="8" t="s">
        <v>1402</v>
      </c>
      <c r="F264" s="8" t="s">
        <v>1401</v>
      </c>
      <c r="G264" s="8" t="s">
        <v>1836</v>
      </c>
      <c r="H264" s="8" t="s">
        <v>1402</v>
      </c>
      <c r="I264" s="8" t="s">
        <v>527</v>
      </c>
      <c r="J264" s="8" t="s">
        <v>40</v>
      </c>
      <c r="K264" s="8" t="s">
        <v>40</v>
      </c>
      <c r="L264" s="8" t="s">
        <v>3117</v>
      </c>
      <c r="M264" s="8" t="s">
        <v>3117</v>
      </c>
      <c r="N264" s="8" t="s">
        <v>3362</v>
      </c>
      <c r="O264" s="8"/>
      <c r="P264" s="8"/>
      <c r="Q264" s="8"/>
      <c r="R264" s="8"/>
    </row>
    <row r="265" spans="1:18" ht="37.950000000000003" customHeight="1">
      <c r="A265" s="8">
        <v>261</v>
      </c>
      <c r="B265" s="8" t="s">
        <v>3314</v>
      </c>
      <c r="C265" s="8" t="s">
        <v>530</v>
      </c>
      <c r="D265" s="8" t="s">
        <v>531</v>
      </c>
      <c r="E265" s="8" t="s">
        <v>3028</v>
      </c>
      <c r="F265" s="8" t="s">
        <v>1404</v>
      </c>
      <c r="G265" s="8"/>
      <c r="H265" s="8" t="s">
        <v>1405</v>
      </c>
      <c r="I265" s="8"/>
      <c r="J265" s="8" t="s">
        <v>40</v>
      </c>
      <c r="K265" s="8" t="s">
        <v>24</v>
      </c>
      <c r="L265" s="8" t="s">
        <v>3117</v>
      </c>
      <c r="M265" s="8" t="s">
        <v>3136</v>
      </c>
      <c r="N265" s="8" t="s">
        <v>3379</v>
      </c>
      <c r="O265" s="8"/>
      <c r="P265" s="8"/>
      <c r="Q265" s="8"/>
      <c r="R265" s="8"/>
    </row>
    <row r="266" spans="1:18" ht="37.950000000000003" customHeight="1">
      <c r="A266" s="8">
        <v>262</v>
      </c>
      <c r="B266" s="8" t="s">
        <v>3380</v>
      </c>
      <c r="C266" s="8" t="s">
        <v>539</v>
      </c>
      <c r="D266" s="8" t="s">
        <v>540</v>
      </c>
      <c r="E266" s="8" t="s">
        <v>3381</v>
      </c>
      <c r="F266" s="8" t="s">
        <v>802</v>
      </c>
      <c r="G266" s="8" t="s">
        <v>1475</v>
      </c>
      <c r="H266" s="8" t="s">
        <v>803</v>
      </c>
      <c r="I266" s="8" t="s">
        <v>1476</v>
      </c>
      <c r="J266" s="8" t="s">
        <v>40</v>
      </c>
      <c r="K266" s="8" t="s">
        <v>40</v>
      </c>
      <c r="L266" s="8" t="s">
        <v>3117</v>
      </c>
      <c r="M266" s="8" t="s">
        <v>3586</v>
      </c>
      <c r="N266" s="8" t="s">
        <v>3382</v>
      </c>
      <c r="O266" s="8"/>
      <c r="P266" s="8"/>
      <c r="Q266" s="8"/>
      <c r="R266" s="8"/>
    </row>
    <row r="267" spans="1:18" ht="37.950000000000003" customHeight="1">
      <c r="A267" s="8">
        <v>263</v>
      </c>
      <c r="B267" s="8" t="s">
        <v>3380</v>
      </c>
      <c r="C267" s="8" t="s">
        <v>623</v>
      </c>
      <c r="D267" s="8" t="s">
        <v>624</v>
      </c>
      <c r="E267" s="8"/>
      <c r="F267" s="8" t="s">
        <v>1407</v>
      </c>
      <c r="G267" s="8" t="s">
        <v>1458</v>
      </c>
      <c r="H267" s="8" t="s">
        <v>1408</v>
      </c>
      <c r="I267" s="8" t="s">
        <v>366</v>
      </c>
      <c r="J267" s="8" t="s">
        <v>40</v>
      </c>
      <c r="K267" s="8" t="s">
        <v>40</v>
      </c>
      <c r="L267" s="8" t="s">
        <v>3117</v>
      </c>
      <c r="M267" s="8" t="s">
        <v>3587</v>
      </c>
      <c r="N267" s="8" t="s">
        <v>3420</v>
      </c>
      <c r="O267" s="8"/>
      <c r="P267" s="8"/>
      <c r="Q267" s="8"/>
      <c r="R267" s="8"/>
    </row>
    <row r="268" spans="1:18" ht="37.950000000000003" customHeight="1">
      <c r="A268" s="8">
        <v>264</v>
      </c>
      <c r="B268" s="8" t="s">
        <v>3380</v>
      </c>
      <c r="C268" s="8" t="s">
        <v>541</v>
      </c>
      <c r="D268" s="8" t="s">
        <v>542</v>
      </c>
      <c r="E268" s="8" t="s">
        <v>3558</v>
      </c>
      <c r="F268" s="8" t="s">
        <v>805</v>
      </c>
      <c r="G268" s="8" t="s">
        <v>1477</v>
      </c>
      <c r="H268" s="8" t="s">
        <v>806</v>
      </c>
      <c r="I268" s="8" t="s">
        <v>1478</v>
      </c>
      <c r="J268" s="8" t="s">
        <v>42</v>
      </c>
      <c r="K268" s="8" t="s">
        <v>40</v>
      </c>
      <c r="L268" s="8" t="s">
        <v>3588</v>
      </c>
      <c r="M268" s="8" t="s">
        <v>3117</v>
      </c>
      <c r="N268" s="8" t="s">
        <v>3382</v>
      </c>
      <c r="O268" s="8"/>
      <c r="P268" s="8"/>
      <c r="Q268" s="8"/>
      <c r="R268" s="8"/>
    </row>
    <row r="269" spans="1:18" ht="37.950000000000003" customHeight="1">
      <c r="A269" s="8">
        <v>265</v>
      </c>
      <c r="B269" s="8" t="s">
        <v>3380</v>
      </c>
      <c r="C269" s="8" t="s">
        <v>543</v>
      </c>
      <c r="D269" s="8" t="s">
        <v>544</v>
      </c>
      <c r="E269" s="8" t="s">
        <v>3567</v>
      </c>
      <c r="F269" s="8" t="s">
        <v>820</v>
      </c>
      <c r="G269" s="8"/>
      <c r="H269" s="8" t="s">
        <v>821</v>
      </c>
      <c r="I269" s="8"/>
      <c r="J269" s="8" t="s">
        <v>42</v>
      </c>
      <c r="K269" s="8" t="s">
        <v>24</v>
      </c>
      <c r="L269" s="8" t="s">
        <v>3568</v>
      </c>
      <c r="M269" s="8" t="s">
        <v>3136</v>
      </c>
      <c r="N269" s="8" t="s">
        <v>3382</v>
      </c>
      <c r="O269" s="8"/>
      <c r="P269" s="8"/>
      <c r="Q269" s="8"/>
      <c r="R269" s="8"/>
    </row>
    <row r="270" spans="1:18" ht="37.950000000000003" customHeight="1">
      <c r="A270" s="8">
        <v>266</v>
      </c>
      <c r="B270" s="8" t="s">
        <v>3380</v>
      </c>
      <c r="C270" s="8" t="s">
        <v>546</v>
      </c>
      <c r="D270" s="8" t="s">
        <v>547</v>
      </c>
      <c r="E270" s="8" t="s">
        <v>3564</v>
      </c>
      <c r="F270" s="8" t="s">
        <v>814</v>
      </c>
      <c r="G270" s="8" t="s">
        <v>1485</v>
      </c>
      <c r="H270" s="8" t="s">
        <v>815</v>
      </c>
      <c r="I270" s="8" t="s">
        <v>1486</v>
      </c>
      <c r="J270" s="8" t="s">
        <v>42</v>
      </c>
      <c r="K270" s="8" t="s">
        <v>42</v>
      </c>
      <c r="L270" s="8" t="s">
        <v>3565</v>
      </c>
      <c r="M270" s="8" t="s">
        <v>3589</v>
      </c>
      <c r="N270" s="8" t="s">
        <v>3382</v>
      </c>
      <c r="O270" s="8"/>
      <c r="P270" s="8"/>
      <c r="Q270" s="8"/>
      <c r="R270" s="8"/>
    </row>
    <row r="271" spans="1:18" ht="37.950000000000003" customHeight="1">
      <c r="A271" s="8">
        <v>267</v>
      </c>
      <c r="B271" s="8" t="s">
        <v>3380</v>
      </c>
      <c r="C271" s="8" t="s">
        <v>564</v>
      </c>
      <c r="D271" s="8" t="s">
        <v>565</v>
      </c>
      <c r="E271" s="8" t="s">
        <v>3580</v>
      </c>
      <c r="F271" s="8" t="s">
        <v>841</v>
      </c>
      <c r="G271" s="8" t="s">
        <v>1488</v>
      </c>
      <c r="H271" s="8" t="s">
        <v>842</v>
      </c>
      <c r="I271" s="8" t="s">
        <v>1489</v>
      </c>
      <c r="J271" s="8" t="s">
        <v>40</v>
      </c>
      <c r="K271" s="8" t="s">
        <v>40</v>
      </c>
      <c r="L271" s="8" t="s">
        <v>3117</v>
      </c>
      <c r="M271" s="8" t="s">
        <v>3590</v>
      </c>
      <c r="N271" s="8" t="s">
        <v>3382</v>
      </c>
      <c r="O271" s="8"/>
      <c r="P271" s="8"/>
      <c r="Q271" s="8"/>
      <c r="R271" s="8"/>
    </row>
    <row r="272" spans="1:18" ht="37.950000000000003" customHeight="1">
      <c r="A272" s="8">
        <v>268</v>
      </c>
      <c r="B272" s="8" t="s">
        <v>3380</v>
      </c>
      <c r="C272" s="8" t="s">
        <v>632</v>
      </c>
      <c r="D272" s="8" t="s">
        <v>343</v>
      </c>
      <c r="E272" s="8"/>
      <c r="F272" s="8" t="s">
        <v>770</v>
      </c>
      <c r="G272" s="8"/>
      <c r="H272" s="8" t="s">
        <v>771</v>
      </c>
      <c r="I272" s="8"/>
      <c r="J272" s="8" t="s">
        <v>24</v>
      </c>
      <c r="K272" s="8" t="s">
        <v>24</v>
      </c>
      <c r="L272" s="8" t="s">
        <v>3403</v>
      </c>
      <c r="M272" s="8" t="s">
        <v>3136</v>
      </c>
      <c r="N272" s="8" t="s">
        <v>3424</v>
      </c>
      <c r="O272" s="8"/>
      <c r="P272" s="8"/>
      <c r="Q272" s="8"/>
      <c r="R272" s="8"/>
    </row>
    <row r="273" spans="1:18" ht="37.950000000000003" customHeight="1">
      <c r="A273" s="8">
        <v>269</v>
      </c>
      <c r="B273" s="8" t="s">
        <v>3380</v>
      </c>
      <c r="C273" s="8" t="s">
        <v>568</v>
      </c>
      <c r="D273" s="8" t="s">
        <v>569</v>
      </c>
      <c r="E273" s="8" t="s">
        <v>3384</v>
      </c>
      <c r="F273" s="8" t="s">
        <v>716</v>
      </c>
      <c r="G273" s="8"/>
      <c r="H273" s="8" t="s">
        <v>717</v>
      </c>
      <c r="I273" s="8"/>
      <c r="J273" s="8" t="s">
        <v>40</v>
      </c>
      <c r="K273" s="8" t="s">
        <v>24</v>
      </c>
      <c r="L273" s="8" t="s">
        <v>3117</v>
      </c>
      <c r="M273" s="8" t="s">
        <v>3136</v>
      </c>
      <c r="N273" s="8" t="s">
        <v>3399</v>
      </c>
      <c r="O273" s="8"/>
      <c r="P273" s="8"/>
      <c r="Q273" s="8"/>
      <c r="R273" s="8"/>
    </row>
    <row r="274" spans="1:18" ht="37.950000000000003" customHeight="1">
      <c r="A274" s="8">
        <v>270</v>
      </c>
      <c r="B274" s="8" t="s">
        <v>3380</v>
      </c>
      <c r="C274" s="8" t="s">
        <v>579</v>
      </c>
      <c r="D274" s="8" t="s">
        <v>580</v>
      </c>
      <c r="E274" s="8" t="s">
        <v>3551</v>
      </c>
      <c r="F274" s="8" t="s">
        <v>791</v>
      </c>
      <c r="G274" s="8"/>
      <c r="H274" s="8" t="s">
        <v>792</v>
      </c>
      <c r="I274" s="8"/>
      <c r="J274" s="8" t="s">
        <v>40</v>
      </c>
      <c r="K274" s="8" t="s">
        <v>24</v>
      </c>
      <c r="L274" s="8" t="s">
        <v>3117</v>
      </c>
      <c r="M274" s="8" t="s">
        <v>3178</v>
      </c>
      <c r="N274" s="8" t="s">
        <v>3399</v>
      </c>
      <c r="O274" s="8"/>
      <c r="P274" s="8"/>
      <c r="Q274" s="8"/>
      <c r="R274" s="8"/>
    </row>
    <row r="275" spans="1:18" ht="37.950000000000003" customHeight="1">
      <c r="A275" s="8">
        <v>271</v>
      </c>
      <c r="B275" s="8" t="s">
        <v>3380</v>
      </c>
      <c r="C275" s="8" t="s">
        <v>591</v>
      </c>
      <c r="D275" s="8" t="s">
        <v>592</v>
      </c>
      <c r="E275" s="8" t="s">
        <v>3591</v>
      </c>
      <c r="F275" s="8" t="s">
        <v>1184</v>
      </c>
      <c r="G275" s="8"/>
      <c r="H275" s="8" t="s">
        <v>1185</v>
      </c>
      <c r="I275" s="8"/>
      <c r="J275" s="8" t="s">
        <v>42</v>
      </c>
      <c r="K275" s="8" t="s">
        <v>24</v>
      </c>
      <c r="L275" s="8" t="s">
        <v>3131</v>
      </c>
      <c r="M275" s="8" t="s">
        <v>3136</v>
      </c>
      <c r="N275" s="8" t="s">
        <v>3399</v>
      </c>
      <c r="O275" s="8"/>
      <c r="P275" s="8"/>
      <c r="Q275" s="8"/>
      <c r="R275" s="8"/>
    </row>
    <row r="276" spans="1:18" ht="37.950000000000003" customHeight="1">
      <c r="A276" s="8">
        <v>272</v>
      </c>
      <c r="B276" s="8" t="s">
        <v>3380</v>
      </c>
      <c r="C276" s="8" t="s">
        <v>605</v>
      </c>
      <c r="D276" s="8" t="s">
        <v>606</v>
      </c>
      <c r="E276" s="8" t="s">
        <v>3115</v>
      </c>
      <c r="F276" s="8" t="s">
        <v>1187</v>
      </c>
      <c r="G276" s="8"/>
      <c r="H276" s="8" t="s">
        <v>1188</v>
      </c>
      <c r="I276" s="8"/>
      <c r="J276" s="8" t="s">
        <v>42</v>
      </c>
      <c r="K276" s="8" t="s">
        <v>24</v>
      </c>
      <c r="L276" s="8" t="s">
        <v>3592</v>
      </c>
      <c r="M276" s="8" t="s">
        <v>3136</v>
      </c>
      <c r="N276" s="8" t="s">
        <v>3420</v>
      </c>
      <c r="O276" s="8"/>
      <c r="P276" s="8"/>
      <c r="Q276" s="8"/>
      <c r="R276" s="8"/>
    </row>
    <row r="277" spans="1:18" ht="37.950000000000003" customHeight="1">
      <c r="A277" s="8">
        <v>273</v>
      </c>
      <c r="B277" s="8" t="s">
        <v>3380</v>
      </c>
      <c r="C277" s="8" t="s">
        <v>640</v>
      </c>
      <c r="D277" s="8" t="s">
        <v>641</v>
      </c>
      <c r="E277" s="8"/>
      <c r="F277" s="8" t="s">
        <v>817</v>
      </c>
      <c r="G277" s="8"/>
      <c r="H277" s="8" t="s">
        <v>818</v>
      </c>
      <c r="I277" s="8"/>
      <c r="J277" s="8" t="s">
        <v>42</v>
      </c>
      <c r="K277" s="8" t="s">
        <v>24</v>
      </c>
      <c r="L277" s="8" t="s">
        <v>3593</v>
      </c>
      <c r="M277" s="8" t="s">
        <v>3178</v>
      </c>
      <c r="N277" s="8" t="s">
        <v>3432</v>
      </c>
      <c r="O277" s="8"/>
      <c r="P277" s="8"/>
      <c r="Q277" s="8"/>
      <c r="R277" s="8"/>
    </row>
    <row r="278" spans="1:18" ht="37.950000000000003" customHeight="1">
      <c r="A278" s="8">
        <v>274</v>
      </c>
      <c r="B278" s="8" t="s">
        <v>3380</v>
      </c>
      <c r="C278" s="8" t="s">
        <v>607</v>
      </c>
      <c r="D278" s="8" t="s">
        <v>608</v>
      </c>
      <c r="E278" s="8" t="s">
        <v>3381</v>
      </c>
      <c r="F278" s="8" t="s">
        <v>802</v>
      </c>
      <c r="G278" s="8" t="s">
        <v>1475</v>
      </c>
      <c r="H278" s="8" t="s">
        <v>803</v>
      </c>
      <c r="I278" s="8" t="s">
        <v>1476</v>
      </c>
      <c r="J278" s="8" t="s">
        <v>42</v>
      </c>
      <c r="K278" s="8" t="s">
        <v>42</v>
      </c>
      <c r="L278" s="8" t="s">
        <v>3131</v>
      </c>
      <c r="M278" s="8" t="s">
        <v>3131</v>
      </c>
      <c r="N278" s="8" t="s">
        <v>3420</v>
      </c>
      <c r="O278" s="8"/>
      <c r="P278" s="8"/>
      <c r="Q278" s="8"/>
      <c r="R278" s="8"/>
    </row>
    <row r="279" spans="1:18" ht="37.950000000000003" customHeight="1">
      <c r="A279" s="8">
        <v>275</v>
      </c>
      <c r="B279" s="8" t="s">
        <v>3380</v>
      </c>
      <c r="C279" s="8" t="s">
        <v>609</v>
      </c>
      <c r="D279" s="8" t="s">
        <v>610</v>
      </c>
      <c r="E279" s="8" t="s">
        <v>3558</v>
      </c>
      <c r="F279" s="8" t="s">
        <v>805</v>
      </c>
      <c r="G279" s="8" t="s">
        <v>1477</v>
      </c>
      <c r="H279" s="8" t="s">
        <v>806</v>
      </c>
      <c r="I279" s="8" t="s">
        <v>1478</v>
      </c>
      <c r="J279" s="8" t="s">
        <v>40</v>
      </c>
      <c r="K279" s="8" t="s">
        <v>42</v>
      </c>
      <c r="L279" s="8" t="s">
        <v>3117</v>
      </c>
      <c r="M279" s="8" t="s">
        <v>3131</v>
      </c>
      <c r="N279" s="8" t="s">
        <v>3420</v>
      </c>
      <c r="O279" s="8"/>
      <c r="P279" s="8"/>
      <c r="Q279" s="8"/>
      <c r="R279" s="8"/>
    </row>
    <row r="280" spans="1:18" ht="37.950000000000003" customHeight="1">
      <c r="A280" s="8">
        <v>276</v>
      </c>
      <c r="B280" s="8" t="s">
        <v>3380</v>
      </c>
      <c r="C280" s="8" t="s">
        <v>611</v>
      </c>
      <c r="D280" s="8" t="s">
        <v>612</v>
      </c>
      <c r="E280" s="8" t="s">
        <v>3567</v>
      </c>
      <c r="F280" s="8" t="s">
        <v>820</v>
      </c>
      <c r="G280" s="8"/>
      <c r="H280" s="8" t="s">
        <v>821</v>
      </c>
      <c r="I280" s="8"/>
      <c r="J280" s="8" t="s">
        <v>690</v>
      </c>
      <c r="K280" s="8" t="s">
        <v>24</v>
      </c>
      <c r="L280" s="8" t="s">
        <v>3594</v>
      </c>
      <c r="M280" s="8" t="s">
        <v>3136</v>
      </c>
      <c r="N280" s="8" t="s">
        <v>3420</v>
      </c>
      <c r="O280" s="8"/>
      <c r="P280" s="8"/>
      <c r="Q280" s="8"/>
      <c r="R280" s="8"/>
    </row>
    <row r="281" spans="1:18" ht="37.950000000000003" customHeight="1">
      <c r="A281" s="8">
        <v>277</v>
      </c>
      <c r="B281" s="8" t="s">
        <v>3380</v>
      </c>
      <c r="C281" s="8" t="s">
        <v>613</v>
      </c>
      <c r="D281" s="8" t="s">
        <v>614</v>
      </c>
      <c r="E281" s="8" t="s">
        <v>3564</v>
      </c>
      <c r="F281" s="8" t="s">
        <v>953</v>
      </c>
      <c r="G281" s="8"/>
      <c r="H281" s="8" t="s">
        <v>954</v>
      </c>
      <c r="I281" s="8"/>
      <c r="J281" s="8" t="s">
        <v>24</v>
      </c>
      <c r="K281" s="8" t="s">
        <v>24</v>
      </c>
      <c r="L281" s="8" t="s">
        <v>3595</v>
      </c>
      <c r="M281" s="8" t="s">
        <v>3136</v>
      </c>
      <c r="N281" s="8" t="s">
        <v>3420</v>
      </c>
      <c r="O281" s="8"/>
      <c r="P281" s="8"/>
      <c r="Q281" s="8"/>
      <c r="R281" s="8"/>
    </row>
    <row r="282" spans="1:18" ht="37.950000000000003" customHeight="1">
      <c r="A282" s="8">
        <v>278</v>
      </c>
      <c r="B282" s="8" t="s">
        <v>3380</v>
      </c>
      <c r="C282" s="8" t="s">
        <v>625</v>
      </c>
      <c r="D282" s="8" t="s">
        <v>626</v>
      </c>
      <c r="E282" s="8" t="s">
        <v>3596</v>
      </c>
      <c r="F282" s="8" t="s">
        <v>941</v>
      </c>
      <c r="G282" s="8"/>
      <c r="H282" s="8" t="s">
        <v>942</v>
      </c>
      <c r="I282" s="8"/>
      <c r="J282" s="8" t="s">
        <v>42</v>
      </c>
      <c r="K282" s="8" t="s">
        <v>24</v>
      </c>
      <c r="L282" s="8" t="s">
        <v>3131</v>
      </c>
      <c r="M282" s="8" t="s">
        <v>3136</v>
      </c>
      <c r="N282" s="8" t="s">
        <v>3424</v>
      </c>
      <c r="O282" s="8"/>
      <c r="P282" s="8"/>
      <c r="Q282" s="8"/>
      <c r="R282" s="8"/>
    </row>
    <row r="283" spans="1:18" ht="37.950000000000003" customHeight="1">
      <c r="A283" s="8">
        <v>279</v>
      </c>
      <c r="B283" s="8" t="s">
        <v>3380</v>
      </c>
      <c r="C283" s="8" t="s">
        <v>627</v>
      </c>
      <c r="D283" s="8" t="s">
        <v>628</v>
      </c>
      <c r="E283" s="8" t="s">
        <v>3384</v>
      </c>
      <c r="F283" s="8" t="s">
        <v>716</v>
      </c>
      <c r="G283" s="8"/>
      <c r="H283" s="8" t="s">
        <v>717</v>
      </c>
      <c r="I283" s="8"/>
      <c r="J283" s="8" t="s">
        <v>42</v>
      </c>
      <c r="K283" s="8" t="s">
        <v>24</v>
      </c>
      <c r="L283" s="8" t="s">
        <v>3597</v>
      </c>
      <c r="M283" s="8" t="s">
        <v>3136</v>
      </c>
      <c r="N283" s="8" t="s">
        <v>3424</v>
      </c>
      <c r="O283" s="8"/>
      <c r="P283" s="8"/>
      <c r="Q283" s="8"/>
      <c r="R283" s="8"/>
    </row>
    <row r="284" spans="1:18" ht="37.950000000000003" customHeight="1">
      <c r="A284" s="8">
        <v>280</v>
      </c>
      <c r="B284" s="8" t="s">
        <v>3380</v>
      </c>
      <c r="C284" s="8" t="s">
        <v>654</v>
      </c>
      <c r="D284" s="8" t="s">
        <v>655</v>
      </c>
      <c r="E284" s="8"/>
      <c r="F284" s="8" t="s">
        <v>723</v>
      </c>
      <c r="G284" s="8"/>
      <c r="H284" s="8" t="s">
        <v>724</v>
      </c>
      <c r="I284" s="8"/>
      <c r="J284" s="8" t="s">
        <v>24</v>
      </c>
      <c r="K284" s="8" t="s">
        <v>24</v>
      </c>
      <c r="L284" s="8" t="s">
        <v>3598</v>
      </c>
      <c r="M284" s="8" t="s">
        <v>3136</v>
      </c>
      <c r="N284" s="8" t="s">
        <v>3432</v>
      </c>
      <c r="O284" s="8"/>
      <c r="P284" s="8"/>
      <c r="Q284" s="8"/>
      <c r="R284" s="8"/>
    </row>
    <row r="285" spans="1:18" ht="37.950000000000003" customHeight="1">
      <c r="A285" s="8">
        <v>281</v>
      </c>
      <c r="B285" s="8" t="s">
        <v>3380</v>
      </c>
      <c r="C285" s="8" t="s">
        <v>652</v>
      </c>
      <c r="D285" s="8" t="s">
        <v>653</v>
      </c>
      <c r="E285" s="8" t="s">
        <v>3384</v>
      </c>
      <c r="F285" s="8" t="s">
        <v>1193</v>
      </c>
      <c r="G285" s="8" t="s">
        <v>1469</v>
      </c>
      <c r="H285" s="8" t="s">
        <v>1194</v>
      </c>
      <c r="I285" s="8" t="s">
        <v>1470</v>
      </c>
      <c r="J285" s="8" t="s">
        <v>42</v>
      </c>
      <c r="K285" s="8" t="s">
        <v>690</v>
      </c>
      <c r="L285" s="8" t="s">
        <v>3599</v>
      </c>
      <c r="M285" s="8" t="s">
        <v>3600</v>
      </c>
      <c r="N285" s="8" t="s">
        <v>3432</v>
      </c>
      <c r="O285" s="8"/>
      <c r="P285" s="8"/>
      <c r="Q285" s="8"/>
      <c r="R285" s="8"/>
    </row>
    <row r="286" spans="1:18" ht="37.950000000000003" customHeight="1">
      <c r="A286" s="8">
        <v>282</v>
      </c>
      <c r="B286" s="8" t="s">
        <v>3380</v>
      </c>
      <c r="C286" s="8" t="s">
        <v>658</v>
      </c>
      <c r="D286" s="8" t="s">
        <v>659</v>
      </c>
      <c r="E286" s="8"/>
      <c r="F286" s="8" t="s">
        <v>798</v>
      </c>
      <c r="G286" s="8" t="s">
        <v>1472</v>
      </c>
      <c r="H286" s="8" t="s">
        <v>799</v>
      </c>
      <c r="I286" s="8" t="s">
        <v>1473</v>
      </c>
      <c r="J286" s="8" t="s">
        <v>40</v>
      </c>
      <c r="K286" s="8" t="s">
        <v>42</v>
      </c>
      <c r="L286" s="8" t="s">
        <v>3117</v>
      </c>
      <c r="M286" s="8" t="s">
        <v>3601</v>
      </c>
      <c r="N286" s="8" t="s">
        <v>3443</v>
      </c>
      <c r="O286" s="8"/>
      <c r="P286" s="8"/>
      <c r="Q286" s="8"/>
      <c r="R286" s="8"/>
    </row>
    <row r="287" spans="1:18" ht="37.950000000000003" customHeight="1">
      <c r="A287" s="8">
        <v>283</v>
      </c>
      <c r="B287" s="8" t="s">
        <v>3380</v>
      </c>
      <c r="C287" s="8" t="s">
        <v>660</v>
      </c>
      <c r="D287" s="8" t="s">
        <v>661</v>
      </c>
      <c r="E287" s="8"/>
      <c r="F287" s="8" t="s">
        <v>1410</v>
      </c>
      <c r="G287" s="8"/>
      <c r="H287" s="8" t="s">
        <v>1411</v>
      </c>
      <c r="I287" s="8"/>
      <c r="J287" s="8" t="s">
        <v>40</v>
      </c>
      <c r="K287" s="8" t="s">
        <v>24</v>
      </c>
      <c r="L287" s="8" t="s">
        <v>3117</v>
      </c>
      <c r="M287" s="8" t="s">
        <v>3136</v>
      </c>
      <c r="N287" s="8" t="s">
        <v>3443</v>
      </c>
      <c r="O287" s="8"/>
      <c r="P287" s="8"/>
      <c r="Q287" s="8"/>
      <c r="R287" s="8"/>
    </row>
    <row r="288" spans="1:18" ht="37.950000000000003" customHeight="1">
      <c r="A288" s="8">
        <v>284</v>
      </c>
      <c r="B288" s="8" t="s">
        <v>3380</v>
      </c>
      <c r="C288" s="8" t="s">
        <v>662</v>
      </c>
      <c r="D288" s="8" t="s">
        <v>663</v>
      </c>
      <c r="E288" s="8"/>
      <c r="F288" s="8" t="s">
        <v>978</v>
      </c>
      <c r="G288" s="8"/>
      <c r="H288" s="8" t="s">
        <v>979</v>
      </c>
      <c r="I288" s="8"/>
      <c r="J288" s="8" t="s">
        <v>24</v>
      </c>
      <c r="K288" s="8" t="s">
        <v>24</v>
      </c>
      <c r="L288" s="8" t="s">
        <v>3602</v>
      </c>
      <c r="M288" s="8" t="s">
        <v>3136</v>
      </c>
      <c r="N288" s="8" t="s">
        <v>3443</v>
      </c>
      <c r="O288" s="8"/>
      <c r="P288" s="8"/>
      <c r="Q288" s="8"/>
      <c r="R288" s="8"/>
    </row>
    <row r="289" spans="1:18" ht="37.950000000000003" customHeight="1">
      <c r="A289" s="8">
        <v>285</v>
      </c>
      <c r="B289" s="8" t="s">
        <v>3380</v>
      </c>
      <c r="C289" s="8" t="s">
        <v>656</v>
      </c>
      <c r="D289" s="8" t="s">
        <v>657</v>
      </c>
      <c r="E289" s="8" t="s">
        <v>3406</v>
      </c>
      <c r="F289" s="8" t="s">
        <v>922</v>
      </c>
      <c r="G289" s="8" t="s">
        <v>1498</v>
      </c>
      <c r="H289" s="8" t="s">
        <v>923</v>
      </c>
      <c r="I289" s="8" t="s">
        <v>1499</v>
      </c>
      <c r="J289" s="8" t="s">
        <v>42</v>
      </c>
      <c r="K289" s="8" t="s">
        <v>42</v>
      </c>
      <c r="L289" s="8" t="s">
        <v>3407</v>
      </c>
      <c r="M289" s="8" t="s">
        <v>3408</v>
      </c>
      <c r="N289" s="8" t="s">
        <v>3443</v>
      </c>
      <c r="O289" s="8"/>
      <c r="P289" s="8"/>
      <c r="Q289" s="8"/>
      <c r="R289" s="8"/>
    </row>
    <row r="290" spans="1:18" ht="37.950000000000003" customHeight="1">
      <c r="A290" s="8">
        <v>286</v>
      </c>
      <c r="B290" s="8" t="s">
        <v>3380</v>
      </c>
      <c r="C290" s="8" t="s">
        <v>666</v>
      </c>
      <c r="D290" s="8" t="s">
        <v>667</v>
      </c>
      <c r="E290" s="8" t="s">
        <v>3278</v>
      </c>
      <c r="F290" s="8" t="s">
        <v>935</v>
      </c>
      <c r="G290" s="8" t="s">
        <v>1460</v>
      </c>
      <c r="H290" s="8" t="s">
        <v>936</v>
      </c>
      <c r="I290" s="8" t="s">
        <v>1461</v>
      </c>
      <c r="J290" s="8" t="s">
        <v>42</v>
      </c>
      <c r="K290" s="8" t="s">
        <v>42</v>
      </c>
      <c r="L290" s="8" t="s">
        <v>3131</v>
      </c>
      <c r="M290" s="8" t="s">
        <v>3131</v>
      </c>
      <c r="N290" s="8" t="s">
        <v>3443</v>
      </c>
      <c r="O290" s="8"/>
      <c r="P290" s="8"/>
      <c r="Q290" s="8"/>
      <c r="R290" s="8"/>
    </row>
    <row r="291" spans="1:18" ht="37.950000000000003" customHeight="1">
      <c r="A291" s="8">
        <v>287</v>
      </c>
      <c r="B291" s="8" t="s">
        <v>3380</v>
      </c>
      <c r="C291" s="8" t="s">
        <v>668</v>
      </c>
      <c r="D291" s="8" t="s">
        <v>573</v>
      </c>
      <c r="E291" s="8"/>
      <c r="F291" s="8" t="s">
        <v>925</v>
      </c>
      <c r="G291" s="8"/>
      <c r="H291" s="8" t="s">
        <v>926</v>
      </c>
      <c r="I291" s="8"/>
      <c r="J291" s="8" t="s">
        <v>24</v>
      </c>
      <c r="K291" s="8" t="s">
        <v>24</v>
      </c>
      <c r="L291" s="8" t="s">
        <v>3560</v>
      </c>
      <c r="M291" s="8" t="s">
        <v>3136</v>
      </c>
      <c r="N291" s="8" t="s">
        <v>3443</v>
      </c>
      <c r="O291" s="8"/>
      <c r="P291" s="8"/>
      <c r="Q291" s="8"/>
      <c r="R291" s="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A6D39"/>
  </sheetPr>
  <dimension ref="A2:F288"/>
  <sheetViews>
    <sheetView showGridLines="0" workbookViewId="0">
      <pane xSplit="2" ySplit="6" topLeftCell="C7" activePane="bottomRight" state="frozen"/>
      <selection activeCell="D7" sqref="D7"/>
      <selection pane="topRight" activeCell="D7" sqref="D7"/>
      <selection pane="bottomLeft" activeCell="D7" sqref="D7"/>
      <selection pane="bottomRight" activeCell="D7" sqref="D7"/>
    </sheetView>
  </sheetViews>
  <sheetFormatPr baseColWidth="10" defaultColWidth="8.796875" defaultRowHeight="13.8"/>
  <cols>
    <col min="1" max="1" width="16" customWidth="1"/>
    <col min="2" max="2" width="17" customWidth="1"/>
    <col min="3" max="3" width="65" customWidth="1"/>
    <col min="4" max="4" width="38" customWidth="1"/>
    <col min="5" max="5" width="32" customWidth="1"/>
    <col min="6" max="6" width="42" customWidth="1"/>
  </cols>
  <sheetData>
    <row r="2" spans="1:6" ht="31.05" customHeight="1">
      <c r="A2" s="2" t="s">
        <v>3603</v>
      </c>
      <c r="B2" s="1"/>
      <c r="C2" s="1"/>
      <c r="D2" s="1"/>
      <c r="E2" s="1"/>
      <c r="F2" s="1"/>
    </row>
    <row r="3" spans="1:6" ht="22.05" customHeight="1">
      <c r="A3" s="3" t="s">
        <v>3604</v>
      </c>
      <c r="B3" s="1"/>
      <c r="C3" s="1"/>
      <c r="D3" s="1"/>
      <c r="E3" s="1"/>
      <c r="F3" s="1"/>
    </row>
    <row r="4" spans="1:6" ht="22.05" customHeight="1">
      <c r="A4" s="3" t="s">
        <v>3605</v>
      </c>
      <c r="B4" s="1"/>
      <c r="C4" s="1"/>
      <c r="D4" s="1"/>
      <c r="E4" s="1"/>
      <c r="F4" s="1"/>
    </row>
    <row r="5" spans="1:6" ht="22.05" customHeight="1">
      <c r="A5" s="3" t="s">
        <v>3606</v>
      </c>
      <c r="B5" s="1"/>
      <c r="C5" s="1"/>
      <c r="D5" s="1"/>
      <c r="E5" s="1"/>
      <c r="F5" s="1"/>
    </row>
    <row r="6" spans="1:6" ht="43.05" customHeight="1">
      <c r="A6" s="7" t="s">
        <v>3096</v>
      </c>
      <c r="B6" s="7" t="s">
        <v>3607</v>
      </c>
      <c r="C6" s="7" t="s">
        <v>3608</v>
      </c>
      <c r="D6" s="7" t="s">
        <v>3609</v>
      </c>
      <c r="E6" s="7" t="s">
        <v>3610</v>
      </c>
      <c r="F6" s="7" t="s">
        <v>3611</v>
      </c>
    </row>
    <row r="7" spans="1:6" ht="40.049999999999997" customHeight="1">
      <c r="A7" s="26">
        <v>6</v>
      </c>
      <c r="B7" s="25" t="s">
        <v>706</v>
      </c>
      <c r="C7" s="8" t="s">
        <v>2225</v>
      </c>
      <c r="D7" s="8"/>
      <c r="E7" s="8"/>
      <c r="F7" s="8" t="s">
        <v>3612</v>
      </c>
    </row>
    <row r="8" spans="1:6" ht="40.049999999999997" customHeight="1">
      <c r="A8" s="26">
        <v>7</v>
      </c>
      <c r="B8" s="25" t="s">
        <v>1019</v>
      </c>
      <c r="C8" s="8" t="s">
        <v>2227</v>
      </c>
      <c r="D8" s="8"/>
      <c r="E8" s="8"/>
      <c r="F8" s="8" t="s">
        <v>3612</v>
      </c>
    </row>
    <row r="9" spans="1:6" ht="40.049999999999997" customHeight="1">
      <c r="A9" s="26">
        <v>8</v>
      </c>
      <c r="B9" s="25" t="s">
        <v>2229</v>
      </c>
      <c r="C9" s="8" t="s">
        <v>2230</v>
      </c>
      <c r="D9" s="8"/>
      <c r="E9" s="8"/>
      <c r="F9" s="8" t="s">
        <v>3612</v>
      </c>
    </row>
    <row r="10" spans="1:6" ht="40.049999999999997" customHeight="1">
      <c r="A10" s="26">
        <v>9</v>
      </c>
      <c r="B10" s="25" t="s">
        <v>2232</v>
      </c>
      <c r="C10" s="8" t="s">
        <v>2233</v>
      </c>
      <c r="D10" s="8"/>
      <c r="E10" s="8"/>
      <c r="F10" s="8" t="s">
        <v>3612</v>
      </c>
    </row>
    <row r="11" spans="1:6" ht="40.049999999999997" customHeight="1">
      <c r="A11" s="26">
        <v>10</v>
      </c>
      <c r="B11" s="25" t="s">
        <v>1121</v>
      </c>
      <c r="C11" s="8" t="s">
        <v>2235</v>
      </c>
      <c r="D11" s="8"/>
      <c r="E11" s="8"/>
      <c r="F11" s="8" t="s">
        <v>3612</v>
      </c>
    </row>
    <row r="12" spans="1:6" ht="40.049999999999997" customHeight="1">
      <c r="A12" s="26">
        <v>11</v>
      </c>
      <c r="B12" s="25" t="s">
        <v>3613</v>
      </c>
      <c r="C12" s="8" t="s">
        <v>3614</v>
      </c>
      <c r="D12" s="8"/>
      <c r="E12" s="8"/>
      <c r="F12" s="8" t="s">
        <v>3612</v>
      </c>
    </row>
    <row r="13" spans="1:6" ht="40.049999999999997" customHeight="1">
      <c r="A13" s="26">
        <v>12</v>
      </c>
      <c r="B13" s="25" t="s">
        <v>2199</v>
      </c>
      <c r="C13" s="8" t="s">
        <v>2200</v>
      </c>
      <c r="D13" s="8"/>
      <c r="E13" s="8"/>
      <c r="F13" s="8" t="s">
        <v>3615</v>
      </c>
    </row>
    <row r="14" spans="1:6" ht="40.049999999999997" customHeight="1">
      <c r="A14" s="26">
        <v>13</v>
      </c>
      <c r="B14" s="25" t="s">
        <v>3616</v>
      </c>
      <c r="C14" s="8" t="s">
        <v>3617</v>
      </c>
      <c r="D14" s="8"/>
      <c r="E14" s="8"/>
      <c r="F14" s="8" t="s">
        <v>3409</v>
      </c>
    </row>
    <row r="15" spans="1:6" ht="40.049999999999997" customHeight="1">
      <c r="A15" s="26">
        <v>14</v>
      </c>
      <c r="B15" s="25" t="s">
        <v>2193</v>
      </c>
      <c r="C15" s="8" t="s">
        <v>2194</v>
      </c>
      <c r="D15" s="8"/>
      <c r="E15" s="8" t="s">
        <v>3618</v>
      </c>
      <c r="F15" s="8" t="s">
        <v>3409</v>
      </c>
    </row>
    <row r="16" spans="1:6" ht="40.049999999999997" customHeight="1">
      <c r="A16" s="26">
        <v>15</v>
      </c>
      <c r="B16" s="25" t="s">
        <v>1154</v>
      </c>
      <c r="C16" s="8" t="s">
        <v>2115</v>
      </c>
      <c r="D16" s="8"/>
      <c r="E16" s="8" t="s">
        <v>3619</v>
      </c>
      <c r="F16" s="8" t="s">
        <v>3409</v>
      </c>
    </row>
    <row r="17" spans="1:6" ht="40.049999999999997" customHeight="1">
      <c r="A17" s="26">
        <v>16</v>
      </c>
      <c r="B17" s="25" t="s">
        <v>2087</v>
      </c>
      <c r="C17" s="8" t="s">
        <v>2088</v>
      </c>
      <c r="D17" s="8"/>
      <c r="E17" s="8"/>
      <c r="F17" s="8" t="s">
        <v>3620</v>
      </c>
    </row>
    <row r="18" spans="1:6" ht="40.049999999999997" customHeight="1">
      <c r="A18" s="26">
        <v>17</v>
      </c>
      <c r="B18" s="25" t="s">
        <v>1233</v>
      </c>
      <c r="C18" s="8" t="s">
        <v>1867</v>
      </c>
      <c r="D18" s="8"/>
      <c r="E18" s="8"/>
      <c r="F18" s="8" t="s">
        <v>3620</v>
      </c>
    </row>
    <row r="19" spans="1:6" ht="40.049999999999997" customHeight="1">
      <c r="A19" s="26">
        <v>18</v>
      </c>
      <c r="B19" s="25" t="s">
        <v>1190</v>
      </c>
      <c r="C19" s="8" t="s">
        <v>2313</v>
      </c>
      <c r="D19" s="8"/>
      <c r="E19" s="8"/>
      <c r="F19" s="8" t="s">
        <v>3621</v>
      </c>
    </row>
    <row r="20" spans="1:6" ht="40.049999999999997" customHeight="1">
      <c r="A20" s="26">
        <v>19</v>
      </c>
      <c r="B20" s="25" t="s">
        <v>2290</v>
      </c>
      <c r="C20" s="8" t="s">
        <v>2291</v>
      </c>
      <c r="D20" s="8"/>
      <c r="E20" s="8"/>
      <c r="F20" s="8" t="s">
        <v>3622</v>
      </c>
    </row>
    <row r="21" spans="1:6" ht="40.049999999999997" customHeight="1">
      <c r="A21" s="26">
        <v>20</v>
      </c>
      <c r="B21" s="25" t="s">
        <v>1287</v>
      </c>
      <c r="C21" s="8" t="s">
        <v>3623</v>
      </c>
      <c r="D21" s="8"/>
      <c r="E21" s="8"/>
      <c r="F21" s="8" t="s">
        <v>3622</v>
      </c>
    </row>
    <row r="22" spans="1:6" ht="40.049999999999997" customHeight="1">
      <c r="A22" s="26">
        <v>21</v>
      </c>
      <c r="B22" s="25" t="s">
        <v>1856</v>
      </c>
      <c r="C22" s="8" t="s">
        <v>1857</v>
      </c>
      <c r="D22" s="8"/>
      <c r="E22" s="8"/>
      <c r="F22" s="8" t="s">
        <v>3622</v>
      </c>
    </row>
    <row r="23" spans="1:6" ht="40.049999999999997" customHeight="1">
      <c r="A23" s="26">
        <v>22</v>
      </c>
      <c r="B23" s="25" t="s">
        <v>2256</v>
      </c>
      <c r="C23" s="8" t="s">
        <v>1811</v>
      </c>
      <c r="D23" s="8"/>
      <c r="E23" s="8"/>
      <c r="F23" s="8" t="s">
        <v>3612</v>
      </c>
    </row>
    <row r="24" spans="1:6" ht="40.049999999999997" customHeight="1">
      <c r="A24" s="26">
        <v>23</v>
      </c>
      <c r="B24" s="25" t="s">
        <v>2252</v>
      </c>
      <c r="C24" s="8" t="s">
        <v>1807</v>
      </c>
      <c r="D24" s="8"/>
      <c r="E24" s="8"/>
      <c r="F24" s="8" t="s">
        <v>3612</v>
      </c>
    </row>
    <row r="25" spans="1:6" ht="40.049999999999997" customHeight="1">
      <c r="A25" s="26">
        <v>24</v>
      </c>
      <c r="B25" s="25" t="s">
        <v>3624</v>
      </c>
      <c r="C25" s="8" t="s">
        <v>3625</v>
      </c>
      <c r="D25" s="8"/>
      <c r="E25" s="8"/>
      <c r="F25" s="8" t="s">
        <v>3612</v>
      </c>
    </row>
    <row r="26" spans="1:6" ht="40.049999999999997" customHeight="1">
      <c r="A26" s="26">
        <v>25</v>
      </c>
      <c r="B26" s="25" t="s">
        <v>2254</v>
      </c>
      <c r="C26" s="8" t="s">
        <v>1809</v>
      </c>
      <c r="D26" s="8"/>
      <c r="E26" s="8"/>
      <c r="F26" s="8" t="s">
        <v>3612</v>
      </c>
    </row>
    <row r="27" spans="1:6" ht="40.049999999999997" customHeight="1">
      <c r="A27" s="26">
        <v>26</v>
      </c>
      <c r="B27" s="25" t="s">
        <v>1353</v>
      </c>
      <c r="C27" s="8" t="s">
        <v>1859</v>
      </c>
      <c r="D27" s="8"/>
      <c r="E27" s="8"/>
      <c r="F27" s="8" t="s">
        <v>3612</v>
      </c>
    </row>
    <row r="28" spans="1:6" ht="40.049999999999997" customHeight="1">
      <c r="A28" s="26">
        <v>27</v>
      </c>
      <c r="B28" s="25" t="s">
        <v>1196</v>
      </c>
      <c r="C28" s="8" t="s">
        <v>3626</v>
      </c>
      <c r="D28" s="8"/>
      <c r="E28" s="8"/>
      <c r="F28" s="8" t="s">
        <v>3622</v>
      </c>
    </row>
    <row r="29" spans="1:6" ht="40.049999999999997" customHeight="1">
      <c r="A29" s="26">
        <v>28</v>
      </c>
      <c r="B29" s="25" t="s">
        <v>2287</v>
      </c>
      <c r="C29" s="8" t="s">
        <v>2288</v>
      </c>
      <c r="D29" s="8"/>
      <c r="E29" s="8"/>
      <c r="F29" s="8" t="s">
        <v>3622</v>
      </c>
    </row>
    <row r="30" spans="1:6" ht="40.049999999999997" customHeight="1">
      <c r="A30" s="26">
        <v>29</v>
      </c>
      <c r="B30" s="25" t="s">
        <v>1022</v>
      </c>
      <c r="C30" s="8" t="s">
        <v>3627</v>
      </c>
      <c r="D30" s="8"/>
      <c r="E30" s="8"/>
      <c r="F30" s="8" t="s">
        <v>3622</v>
      </c>
    </row>
    <row r="31" spans="1:6" ht="40.049999999999997" customHeight="1">
      <c r="A31" s="26">
        <v>30</v>
      </c>
      <c r="B31" s="25" t="s">
        <v>802</v>
      </c>
      <c r="C31" s="8" t="s">
        <v>3628</v>
      </c>
      <c r="D31" s="8"/>
      <c r="E31" s="8"/>
      <c r="F31" s="8" t="s">
        <v>3622</v>
      </c>
    </row>
    <row r="32" spans="1:6" ht="40.049999999999997" customHeight="1">
      <c r="A32" s="26">
        <v>31</v>
      </c>
      <c r="B32" s="25" t="s">
        <v>3629</v>
      </c>
      <c r="C32" s="8" t="s">
        <v>3630</v>
      </c>
      <c r="D32" s="8"/>
      <c r="E32" s="8"/>
      <c r="F32" s="8" t="s">
        <v>3622</v>
      </c>
    </row>
    <row r="33" spans="1:6" ht="40.049999999999997" customHeight="1">
      <c r="A33" s="26">
        <v>32</v>
      </c>
      <c r="B33" s="25" t="s">
        <v>1293</v>
      </c>
      <c r="C33" s="8" t="s">
        <v>3631</v>
      </c>
      <c r="D33" s="8"/>
      <c r="E33" s="8"/>
      <c r="F33" s="8" t="s">
        <v>3622</v>
      </c>
    </row>
    <row r="34" spans="1:6" ht="40.049999999999997" customHeight="1">
      <c r="A34" s="26">
        <v>33</v>
      </c>
      <c r="B34" s="25" t="s">
        <v>1010</v>
      </c>
      <c r="C34" s="8" t="s">
        <v>3632</v>
      </c>
      <c r="D34" s="8"/>
      <c r="E34" s="8"/>
      <c r="F34" s="8" t="s">
        <v>3622</v>
      </c>
    </row>
    <row r="35" spans="1:6" ht="40.049999999999997" customHeight="1">
      <c r="A35" s="26">
        <v>34</v>
      </c>
      <c r="B35" s="25" t="s">
        <v>2266</v>
      </c>
      <c r="C35" s="8" t="s">
        <v>406</v>
      </c>
      <c r="D35" s="8"/>
      <c r="E35" s="8"/>
      <c r="F35" s="8" t="s">
        <v>3612</v>
      </c>
    </row>
    <row r="36" spans="1:6" ht="40.049999999999997" customHeight="1">
      <c r="A36" s="26">
        <v>35</v>
      </c>
      <c r="B36" s="25" t="s">
        <v>3633</v>
      </c>
      <c r="C36" s="8" t="s">
        <v>3634</v>
      </c>
      <c r="D36" s="8"/>
      <c r="E36" s="8"/>
      <c r="F36" s="8" t="s">
        <v>3635</v>
      </c>
    </row>
    <row r="37" spans="1:6" ht="40.049999999999997" customHeight="1">
      <c r="A37" s="26">
        <v>36</v>
      </c>
      <c r="B37" s="25" t="s">
        <v>1040</v>
      </c>
      <c r="C37" s="8" t="s">
        <v>3636</v>
      </c>
      <c r="D37" s="8" t="s">
        <v>3637</v>
      </c>
      <c r="E37" s="8"/>
      <c r="F37" s="8" t="s">
        <v>3638</v>
      </c>
    </row>
    <row r="38" spans="1:6" ht="40.049999999999997" customHeight="1">
      <c r="A38" s="26">
        <v>37</v>
      </c>
      <c r="B38" s="25" t="s">
        <v>3639</v>
      </c>
      <c r="C38" s="8" t="s">
        <v>3640</v>
      </c>
      <c r="D38" s="8"/>
      <c r="E38" s="8"/>
      <c r="F38" s="8" t="s">
        <v>3638</v>
      </c>
    </row>
    <row r="39" spans="1:6" ht="40.049999999999997" customHeight="1">
      <c r="A39" s="26">
        <v>38</v>
      </c>
      <c r="B39" s="25" t="s">
        <v>1469</v>
      </c>
      <c r="C39" s="8" t="s">
        <v>2085</v>
      </c>
      <c r="D39" s="8"/>
      <c r="E39" s="8"/>
      <c r="F39" s="8" t="s">
        <v>3620</v>
      </c>
    </row>
    <row r="40" spans="1:6" ht="40.049999999999997" customHeight="1">
      <c r="A40" s="26">
        <v>39</v>
      </c>
      <c r="B40" s="25" t="s">
        <v>2105</v>
      </c>
      <c r="C40" s="8" t="s">
        <v>2106</v>
      </c>
      <c r="D40" s="8"/>
      <c r="E40" s="8"/>
      <c r="F40" s="8" t="s">
        <v>3230</v>
      </c>
    </row>
    <row r="41" spans="1:6" ht="40.049999999999997" customHeight="1">
      <c r="A41" s="26">
        <v>40</v>
      </c>
      <c r="B41" s="25" t="s">
        <v>1067</v>
      </c>
      <c r="C41" s="8" t="s">
        <v>3641</v>
      </c>
      <c r="D41" s="8"/>
      <c r="E41" s="8"/>
      <c r="F41" s="8" t="s">
        <v>3230</v>
      </c>
    </row>
    <row r="42" spans="1:6" ht="40.049999999999997" customHeight="1">
      <c r="A42" s="26">
        <v>41</v>
      </c>
      <c r="B42" s="25" t="s">
        <v>2178</v>
      </c>
      <c r="C42" s="8" t="s">
        <v>2179</v>
      </c>
      <c r="D42" s="8"/>
      <c r="E42" s="8"/>
      <c r="F42" s="8" t="s">
        <v>3642</v>
      </c>
    </row>
    <row r="43" spans="1:6" ht="40.049999999999997" customHeight="1">
      <c r="A43" s="26">
        <v>42</v>
      </c>
      <c r="B43" s="25" t="s">
        <v>3643</v>
      </c>
      <c r="C43" s="8" t="s">
        <v>3644</v>
      </c>
      <c r="D43" s="8" t="s">
        <v>3645</v>
      </c>
      <c r="E43" s="8"/>
      <c r="F43" s="8" t="s">
        <v>3642</v>
      </c>
    </row>
    <row r="44" spans="1:6" ht="40.049999999999997" customHeight="1">
      <c r="A44" s="26">
        <v>43</v>
      </c>
      <c r="B44" s="25" t="s">
        <v>1070</v>
      </c>
      <c r="C44" s="8" t="s">
        <v>3646</v>
      </c>
      <c r="D44" s="8"/>
      <c r="E44" s="8"/>
      <c r="F44" s="8" t="s">
        <v>3642</v>
      </c>
    </row>
    <row r="45" spans="1:6" ht="40.049999999999997" customHeight="1">
      <c r="A45" s="26">
        <v>44</v>
      </c>
      <c r="B45" s="25" t="s">
        <v>1350</v>
      </c>
      <c r="C45" s="8" t="s">
        <v>2307</v>
      </c>
      <c r="D45" s="8"/>
      <c r="E45" s="8"/>
      <c r="F45" s="8" t="s">
        <v>3409</v>
      </c>
    </row>
    <row r="46" spans="1:6" ht="40.049999999999997" customHeight="1">
      <c r="A46" s="26">
        <v>45</v>
      </c>
      <c r="B46" s="25" t="s">
        <v>745</v>
      </c>
      <c r="C46" s="8" t="s">
        <v>575</v>
      </c>
      <c r="D46" s="8"/>
      <c r="E46" s="8"/>
      <c r="F46" s="8" t="s">
        <v>3612</v>
      </c>
    </row>
    <row r="47" spans="1:6" ht="40.049999999999997" customHeight="1">
      <c r="A47" s="26">
        <v>46</v>
      </c>
      <c r="B47" s="25" t="s">
        <v>2045</v>
      </c>
      <c r="C47" s="8" t="s">
        <v>2046</v>
      </c>
      <c r="D47" s="8"/>
      <c r="E47" s="8"/>
      <c r="F47" s="8" t="s">
        <v>3230</v>
      </c>
    </row>
    <row r="48" spans="1:6" ht="40.049999999999997" customHeight="1">
      <c r="A48" s="26">
        <v>47</v>
      </c>
      <c r="B48" s="25" t="s">
        <v>3647</v>
      </c>
      <c r="C48" s="8" t="s">
        <v>3648</v>
      </c>
      <c r="D48" s="8"/>
      <c r="E48" s="8"/>
      <c r="F48" s="8" t="s">
        <v>3230</v>
      </c>
    </row>
    <row r="49" spans="1:6" ht="40.049999999999997" customHeight="1">
      <c r="A49" s="26">
        <v>48</v>
      </c>
      <c r="B49" s="25" t="s">
        <v>1848</v>
      </c>
      <c r="C49" s="8" t="s">
        <v>1849</v>
      </c>
      <c r="D49" s="8"/>
      <c r="E49" s="8"/>
      <c r="F49" s="8" t="s">
        <v>3230</v>
      </c>
    </row>
    <row r="50" spans="1:6" ht="40.049999999999997" customHeight="1">
      <c r="A50" s="26">
        <v>49</v>
      </c>
      <c r="B50" s="25" t="s">
        <v>2181</v>
      </c>
      <c r="C50" s="8" t="s">
        <v>2182</v>
      </c>
      <c r="D50" s="8"/>
      <c r="E50" s="8"/>
      <c r="F50" s="8" t="s">
        <v>3642</v>
      </c>
    </row>
    <row r="51" spans="1:6" ht="40.049999999999997" customHeight="1">
      <c r="A51" s="26">
        <v>50</v>
      </c>
      <c r="B51" s="25" t="s">
        <v>3649</v>
      </c>
      <c r="C51" s="8" t="s">
        <v>3650</v>
      </c>
      <c r="D51" s="8"/>
      <c r="E51" s="8"/>
      <c r="F51" s="8" t="s">
        <v>3612</v>
      </c>
    </row>
    <row r="52" spans="1:6" ht="40.049999999999997" customHeight="1">
      <c r="A52" s="26">
        <v>51</v>
      </c>
      <c r="B52" s="25" t="s">
        <v>2271</v>
      </c>
      <c r="C52" s="8" t="s">
        <v>420</v>
      </c>
      <c r="D52" s="8"/>
      <c r="E52" s="8"/>
      <c r="F52" s="8" t="s">
        <v>3409</v>
      </c>
    </row>
    <row r="53" spans="1:6" ht="40.049999999999997" customHeight="1">
      <c r="A53" s="26">
        <v>52</v>
      </c>
      <c r="B53" s="25" t="s">
        <v>2268</v>
      </c>
      <c r="C53" s="8" t="s">
        <v>2269</v>
      </c>
      <c r="D53" s="8"/>
      <c r="E53" s="8"/>
      <c r="F53" s="8" t="s">
        <v>3612</v>
      </c>
    </row>
    <row r="54" spans="1:6" ht="40.049999999999997" customHeight="1">
      <c r="A54" s="26">
        <v>53</v>
      </c>
      <c r="B54" s="25" t="s">
        <v>3651</v>
      </c>
      <c r="C54" s="8" t="s">
        <v>3652</v>
      </c>
      <c r="D54" s="8"/>
      <c r="E54" s="8"/>
      <c r="F54" s="8" t="s">
        <v>3148</v>
      </c>
    </row>
    <row r="55" spans="1:6" ht="40.049999999999997" customHeight="1">
      <c r="A55" s="26">
        <v>54</v>
      </c>
      <c r="B55" s="25" t="s">
        <v>3653</v>
      </c>
      <c r="C55" s="8" t="s">
        <v>3654</v>
      </c>
      <c r="D55" s="8"/>
      <c r="E55" s="8"/>
      <c r="F55" s="8" t="s">
        <v>3148</v>
      </c>
    </row>
    <row r="56" spans="1:6" ht="40.049999999999997" customHeight="1">
      <c r="A56" s="26">
        <v>55</v>
      </c>
      <c r="B56" s="25" t="s">
        <v>2090</v>
      </c>
      <c r="C56" s="8" t="s">
        <v>2091</v>
      </c>
      <c r="D56" s="8"/>
      <c r="E56" s="8"/>
      <c r="F56" s="8" t="s">
        <v>3620</v>
      </c>
    </row>
    <row r="57" spans="1:6" ht="40.049999999999997" customHeight="1">
      <c r="A57" s="26">
        <v>56</v>
      </c>
      <c r="B57" s="25" t="s">
        <v>1100</v>
      </c>
      <c r="C57" s="8" t="s">
        <v>1920</v>
      </c>
      <c r="D57" s="8"/>
      <c r="E57" s="8"/>
      <c r="F57" s="8" t="s">
        <v>3612</v>
      </c>
    </row>
    <row r="58" spans="1:6" ht="40.049999999999997" customHeight="1">
      <c r="A58" s="26">
        <v>57</v>
      </c>
      <c r="B58" s="25" t="s">
        <v>2279</v>
      </c>
      <c r="C58" s="8" t="s">
        <v>2280</v>
      </c>
      <c r="D58" s="8"/>
      <c r="E58" s="8"/>
      <c r="F58" s="8" t="s">
        <v>3612</v>
      </c>
    </row>
    <row r="59" spans="1:6" ht="40.049999999999997" customHeight="1">
      <c r="A59" s="26">
        <v>58</v>
      </c>
      <c r="B59" s="25" t="s">
        <v>3655</v>
      </c>
      <c r="C59" s="8" t="s">
        <v>3656</v>
      </c>
      <c r="D59" s="8"/>
      <c r="E59" s="8"/>
      <c r="F59" s="8" t="s">
        <v>3638</v>
      </c>
    </row>
    <row r="60" spans="1:6" ht="40.049999999999997" customHeight="1">
      <c r="A60" s="26">
        <v>59</v>
      </c>
      <c r="B60" s="25" t="s">
        <v>1389</v>
      </c>
      <c r="C60" s="8" t="s">
        <v>3657</v>
      </c>
      <c r="D60" s="8"/>
      <c r="E60" s="8"/>
      <c r="F60" s="8" t="s">
        <v>3658</v>
      </c>
    </row>
    <row r="61" spans="1:6" ht="40.049999999999997" customHeight="1">
      <c r="A61" s="26">
        <v>60</v>
      </c>
      <c r="B61" s="25" t="s">
        <v>866</v>
      </c>
      <c r="C61" s="8" t="s">
        <v>2126</v>
      </c>
      <c r="D61" s="8" t="s">
        <v>3659</v>
      </c>
      <c r="E61" s="8"/>
      <c r="F61" s="8" t="s">
        <v>3658</v>
      </c>
    </row>
    <row r="62" spans="1:6" ht="40.049999999999997" customHeight="1">
      <c r="A62" s="26">
        <v>61</v>
      </c>
      <c r="B62" s="25" t="s">
        <v>1103</v>
      </c>
      <c r="C62" s="8" t="s">
        <v>2324</v>
      </c>
      <c r="D62" s="8"/>
      <c r="E62" s="8"/>
      <c r="F62" s="8" t="s">
        <v>3612</v>
      </c>
    </row>
    <row r="63" spans="1:6" ht="40.049999999999997" customHeight="1">
      <c r="A63" s="26">
        <v>62</v>
      </c>
      <c r="B63" s="25" t="s">
        <v>890</v>
      </c>
      <c r="C63" s="8" t="s">
        <v>3660</v>
      </c>
      <c r="D63" s="8"/>
      <c r="E63" s="8"/>
      <c r="F63" s="8" t="s">
        <v>3409</v>
      </c>
    </row>
    <row r="64" spans="1:6" ht="40.049999999999997" customHeight="1">
      <c r="A64" s="26">
        <v>63</v>
      </c>
      <c r="B64" s="25" t="s">
        <v>1169</v>
      </c>
      <c r="C64" s="8" t="s">
        <v>3661</v>
      </c>
      <c r="D64" s="8"/>
      <c r="E64" s="8"/>
      <c r="F64" s="8" t="s">
        <v>3409</v>
      </c>
    </row>
    <row r="65" spans="1:6" ht="40.049999999999997" customHeight="1">
      <c r="A65" s="26">
        <v>64</v>
      </c>
      <c r="B65" s="25" t="s">
        <v>3662</v>
      </c>
      <c r="C65" s="8" t="s">
        <v>3663</v>
      </c>
      <c r="D65" s="8"/>
      <c r="E65" s="8"/>
      <c r="F65" s="8" t="s">
        <v>3612</v>
      </c>
    </row>
    <row r="66" spans="1:6" ht="40.049999999999997" customHeight="1">
      <c r="A66" s="26">
        <v>65</v>
      </c>
      <c r="B66" s="25" t="s">
        <v>1163</v>
      </c>
      <c r="C66" s="8" t="s">
        <v>3664</v>
      </c>
      <c r="D66" s="8"/>
      <c r="E66" s="8"/>
      <c r="F66" s="8" t="s">
        <v>3612</v>
      </c>
    </row>
    <row r="67" spans="1:6" ht="40.049999999999997" customHeight="1">
      <c r="A67" s="26">
        <v>66</v>
      </c>
      <c r="B67" s="25" t="s">
        <v>2275</v>
      </c>
      <c r="C67" s="8" t="s">
        <v>2276</v>
      </c>
      <c r="D67" s="8"/>
      <c r="E67" s="8"/>
      <c r="F67" s="8" t="s">
        <v>3612</v>
      </c>
    </row>
    <row r="68" spans="1:6" ht="40.049999999999997" customHeight="1">
      <c r="A68" s="26">
        <v>67</v>
      </c>
      <c r="B68" s="25" t="s">
        <v>3665</v>
      </c>
      <c r="C68" s="8" t="s">
        <v>3666</v>
      </c>
      <c r="D68" s="8"/>
      <c r="E68" s="8"/>
      <c r="F68" s="8" t="s">
        <v>3612</v>
      </c>
    </row>
    <row r="69" spans="1:6" ht="40.049999999999997" customHeight="1">
      <c r="A69" s="26">
        <v>68</v>
      </c>
      <c r="B69" s="25" t="s">
        <v>858</v>
      </c>
      <c r="C69" s="8" t="s">
        <v>3667</v>
      </c>
      <c r="D69" s="8"/>
      <c r="E69" s="8"/>
      <c r="F69" s="8" t="s">
        <v>3612</v>
      </c>
    </row>
    <row r="70" spans="1:6" ht="40.049999999999997" customHeight="1">
      <c r="A70" s="26">
        <v>69</v>
      </c>
      <c r="B70" s="25" t="s">
        <v>3668</v>
      </c>
      <c r="C70" s="8" t="s">
        <v>3669</v>
      </c>
      <c r="D70" s="8"/>
      <c r="E70" s="8"/>
      <c r="F70" s="8" t="s">
        <v>3612</v>
      </c>
    </row>
    <row r="71" spans="1:6" ht="40.049999999999997" customHeight="1">
      <c r="A71" s="26">
        <v>70</v>
      </c>
      <c r="B71" s="25" t="s">
        <v>872</v>
      </c>
      <c r="C71" s="8" t="s">
        <v>3670</v>
      </c>
      <c r="D71" s="8"/>
      <c r="E71" s="8"/>
      <c r="F71" s="8" t="s">
        <v>3612</v>
      </c>
    </row>
    <row r="72" spans="1:6" ht="40.049999999999997" customHeight="1">
      <c r="A72" s="26">
        <v>71</v>
      </c>
      <c r="B72" s="25" t="s">
        <v>3671</v>
      </c>
      <c r="C72" s="8" t="s">
        <v>3672</v>
      </c>
      <c r="D72" s="8"/>
      <c r="E72" s="8"/>
      <c r="F72" s="8" t="s">
        <v>3612</v>
      </c>
    </row>
    <row r="73" spans="1:6" ht="40.049999999999997" customHeight="1">
      <c r="A73" s="26">
        <v>72</v>
      </c>
      <c r="B73" s="25" t="s">
        <v>2077</v>
      </c>
      <c r="C73" s="8" t="s">
        <v>2078</v>
      </c>
      <c r="D73" s="8"/>
      <c r="E73" s="8"/>
      <c r="F73" s="8" t="s">
        <v>3621</v>
      </c>
    </row>
    <row r="74" spans="1:6" ht="40.049999999999997" customHeight="1">
      <c r="A74" s="26">
        <v>73</v>
      </c>
      <c r="B74" s="25" t="s">
        <v>1392</v>
      </c>
      <c r="C74" s="8" t="s">
        <v>2176</v>
      </c>
      <c r="D74" s="8"/>
      <c r="E74" s="8"/>
      <c r="F74" s="8" t="s">
        <v>3673</v>
      </c>
    </row>
    <row r="75" spans="1:6" ht="40.049999999999997" customHeight="1">
      <c r="A75" s="26">
        <v>74</v>
      </c>
      <c r="B75" s="25" t="s">
        <v>1906</v>
      </c>
      <c r="C75" s="8" t="s">
        <v>1907</v>
      </c>
      <c r="D75" s="8"/>
      <c r="E75" s="8"/>
      <c r="F75" s="8" t="s">
        <v>3642</v>
      </c>
    </row>
    <row r="76" spans="1:6" ht="40.049999999999997" customHeight="1">
      <c r="A76" s="26">
        <v>75</v>
      </c>
      <c r="B76" s="25" t="s">
        <v>3674</v>
      </c>
      <c r="C76" s="8" t="s">
        <v>3675</v>
      </c>
      <c r="D76" s="8"/>
      <c r="E76" s="8"/>
      <c r="F76" s="8" t="s">
        <v>3612</v>
      </c>
    </row>
    <row r="77" spans="1:6" ht="40.049999999999997" customHeight="1">
      <c r="A77" s="26">
        <v>76</v>
      </c>
      <c r="B77" s="25" t="s">
        <v>3676</v>
      </c>
      <c r="C77" s="8" t="s">
        <v>3677</v>
      </c>
      <c r="D77" s="8"/>
      <c r="E77" s="8"/>
      <c r="F77" s="8" t="s">
        <v>3612</v>
      </c>
    </row>
    <row r="78" spans="1:6" ht="40.049999999999997" customHeight="1">
      <c r="A78" s="26">
        <v>77</v>
      </c>
      <c r="B78" s="25" t="s">
        <v>2258</v>
      </c>
      <c r="C78" s="8" t="s">
        <v>2259</v>
      </c>
      <c r="D78" s="8"/>
      <c r="E78" s="8"/>
      <c r="F78" s="8" t="s">
        <v>3612</v>
      </c>
    </row>
    <row r="79" spans="1:6" ht="40.049999999999997" customHeight="1">
      <c r="A79" s="26">
        <v>78</v>
      </c>
      <c r="B79" s="25" t="s">
        <v>2209</v>
      </c>
      <c r="C79" s="8" t="s">
        <v>2210</v>
      </c>
      <c r="D79" s="8"/>
      <c r="E79" s="8"/>
      <c r="F79" s="8" t="s">
        <v>3678</v>
      </c>
    </row>
    <row r="80" spans="1:6" ht="40.049999999999997" customHeight="1">
      <c r="A80" s="26">
        <v>79</v>
      </c>
      <c r="B80" s="25" t="s">
        <v>2184</v>
      </c>
      <c r="C80" s="8" t="s">
        <v>2185</v>
      </c>
      <c r="D80" s="8"/>
      <c r="E80" s="8"/>
      <c r="F80" s="8" t="s">
        <v>3642</v>
      </c>
    </row>
    <row r="81" spans="1:6" ht="40.049999999999997" customHeight="1">
      <c r="A81" s="26">
        <v>80</v>
      </c>
      <c r="B81" s="25" t="s">
        <v>3679</v>
      </c>
      <c r="C81" s="8" t="s">
        <v>3680</v>
      </c>
      <c r="D81" s="8" t="s">
        <v>3681</v>
      </c>
      <c r="E81" s="8"/>
      <c r="F81" s="8" t="s">
        <v>3678</v>
      </c>
    </row>
    <row r="82" spans="1:6" ht="40.049999999999997" customHeight="1">
      <c r="A82" s="26">
        <v>81</v>
      </c>
      <c r="B82" s="25" t="s">
        <v>3682</v>
      </c>
      <c r="C82" s="8" t="s">
        <v>3683</v>
      </c>
      <c r="D82" s="8"/>
      <c r="E82" s="8"/>
      <c r="F82" s="8" t="s">
        <v>3684</v>
      </c>
    </row>
    <row r="83" spans="1:6" ht="40.049999999999997" customHeight="1">
      <c r="A83" s="26">
        <v>82</v>
      </c>
      <c r="B83" s="25" t="s">
        <v>2187</v>
      </c>
      <c r="C83" s="8" t="s">
        <v>2188</v>
      </c>
      <c r="D83" s="8"/>
      <c r="E83" s="8"/>
      <c r="F83" s="8" t="s">
        <v>3642</v>
      </c>
    </row>
    <row r="84" spans="1:6" ht="40.049999999999997" customHeight="1">
      <c r="A84" s="26">
        <v>83</v>
      </c>
      <c r="B84" s="25" t="s">
        <v>3685</v>
      </c>
      <c r="C84" s="8" t="s">
        <v>3686</v>
      </c>
      <c r="D84" s="8"/>
      <c r="E84" s="8"/>
      <c r="F84" s="8" t="s">
        <v>3642</v>
      </c>
    </row>
    <row r="85" spans="1:6" ht="40.049999999999997" customHeight="1">
      <c r="A85" s="26">
        <v>84</v>
      </c>
      <c r="B85" s="25" t="s">
        <v>1251</v>
      </c>
      <c r="C85" s="8" t="s">
        <v>1901</v>
      </c>
      <c r="D85" s="8"/>
      <c r="E85" s="8"/>
      <c r="F85" s="8" t="s">
        <v>3642</v>
      </c>
    </row>
    <row r="86" spans="1:6" ht="40.049999999999997" customHeight="1">
      <c r="A86" s="26">
        <v>85</v>
      </c>
      <c r="B86" s="25" t="s">
        <v>2170</v>
      </c>
      <c r="C86" s="8" t="s">
        <v>2171</v>
      </c>
      <c r="D86" s="8"/>
      <c r="E86" s="8"/>
      <c r="F86" s="8" t="s">
        <v>3635</v>
      </c>
    </row>
    <row r="87" spans="1:6" ht="40.049999999999997" customHeight="1">
      <c r="A87" s="26">
        <v>86</v>
      </c>
      <c r="B87" s="25" t="s">
        <v>1371</v>
      </c>
      <c r="C87" s="8" t="s">
        <v>3687</v>
      </c>
      <c r="D87" s="8"/>
      <c r="E87" s="8"/>
      <c r="F87" s="8" t="s">
        <v>3688</v>
      </c>
    </row>
    <row r="88" spans="1:6" ht="40.049999999999997" customHeight="1">
      <c r="A88" s="26">
        <v>87</v>
      </c>
      <c r="B88" s="25" t="s">
        <v>2099</v>
      </c>
      <c r="C88" s="8" t="s">
        <v>2100</v>
      </c>
      <c r="D88" s="8"/>
      <c r="E88" s="8"/>
      <c r="F88" s="8" t="s">
        <v>3230</v>
      </c>
    </row>
    <row r="89" spans="1:6" ht="40.049999999999997" customHeight="1">
      <c r="A89" s="26">
        <v>88</v>
      </c>
      <c r="B89" s="25" t="s">
        <v>1877</v>
      </c>
      <c r="C89" s="8" t="s">
        <v>1878</v>
      </c>
      <c r="D89" s="8"/>
      <c r="E89" s="8"/>
      <c r="F89" s="8" t="s">
        <v>3230</v>
      </c>
    </row>
    <row r="90" spans="1:6" ht="40.049999999999997" customHeight="1">
      <c r="A90" s="26">
        <v>89</v>
      </c>
      <c r="B90" s="25" t="s">
        <v>2217</v>
      </c>
      <c r="C90" s="8" t="s">
        <v>1788</v>
      </c>
      <c r="D90" s="8"/>
      <c r="E90" s="8"/>
      <c r="F90" s="8" t="s">
        <v>3689</v>
      </c>
    </row>
    <row r="91" spans="1:6" ht="40.049999999999997" customHeight="1">
      <c r="A91" s="26">
        <v>90</v>
      </c>
      <c r="B91" s="25" t="s">
        <v>2321</v>
      </c>
      <c r="C91" s="8" t="s">
        <v>2322</v>
      </c>
      <c r="D91" s="8"/>
      <c r="E91" s="8"/>
      <c r="F91" s="8" t="s">
        <v>3612</v>
      </c>
    </row>
    <row r="92" spans="1:6" ht="40.049999999999997" customHeight="1">
      <c r="A92" s="26">
        <v>91</v>
      </c>
      <c r="B92" s="25" t="s">
        <v>3690</v>
      </c>
      <c r="C92" s="8" t="s">
        <v>3691</v>
      </c>
      <c r="D92" s="8"/>
      <c r="E92" s="8"/>
      <c r="F92" s="8" t="s">
        <v>3678</v>
      </c>
    </row>
    <row r="93" spans="1:6" ht="40.049999999999997" customHeight="1">
      <c r="A93" s="26">
        <v>92</v>
      </c>
      <c r="B93" s="25" t="s">
        <v>703</v>
      </c>
      <c r="C93" s="8" t="s">
        <v>1943</v>
      </c>
      <c r="D93" s="8"/>
      <c r="E93" s="8"/>
      <c r="F93" s="8" t="s">
        <v>3612</v>
      </c>
    </row>
    <row r="94" spans="1:6" ht="40.049999999999997" customHeight="1">
      <c r="A94" s="26">
        <v>93</v>
      </c>
      <c r="B94" s="25" t="s">
        <v>3692</v>
      </c>
      <c r="C94" s="8" t="s">
        <v>3693</v>
      </c>
      <c r="D94" s="8"/>
      <c r="E94" s="8"/>
      <c r="F94" s="8" t="s">
        <v>3684</v>
      </c>
    </row>
    <row r="95" spans="1:6" ht="40.049999999999997" customHeight="1">
      <c r="A95" s="26">
        <v>94</v>
      </c>
      <c r="B95" s="25" t="s">
        <v>1203</v>
      </c>
      <c r="C95" s="8" t="s">
        <v>3694</v>
      </c>
      <c r="D95" s="8"/>
      <c r="E95" s="8"/>
      <c r="F95" s="8" t="s">
        <v>3684</v>
      </c>
    </row>
    <row r="96" spans="1:6" ht="40.049999999999997" customHeight="1">
      <c r="A96" s="26">
        <v>95</v>
      </c>
      <c r="B96" s="25" t="s">
        <v>1200</v>
      </c>
      <c r="C96" s="8" t="s">
        <v>3695</v>
      </c>
      <c r="D96" s="8"/>
      <c r="E96" s="8"/>
      <c r="F96" s="8" t="s">
        <v>3684</v>
      </c>
    </row>
    <row r="97" spans="1:6" ht="40.049999999999997" customHeight="1">
      <c r="A97" s="26">
        <v>96</v>
      </c>
      <c r="B97" s="25" t="s">
        <v>3696</v>
      </c>
      <c r="C97" s="8" t="s">
        <v>3697</v>
      </c>
      <c r="D97" s="8"/>
      <c r="E97" s="8"/>
      <c r="F97" s="8" t="s">
        <v>3409</v>
      </c>
    </row>
    <row r="98" spans="1:6" ht="40.049999999999997" customHeight="1">
      <c r="A98" s="26">
        <v>97</v>
      </c>
      <c r="B98" s="25" t="s">
        <v>3698</v>
      </c>
      <c r="C98" s="8" t="s">
        <v>3699</v>
      </c>
      <c r="D98" s="8"/>
      <c r="E98" s="8"/>
      <c r="F98" s="8" t="s">
        <v>3409</v>
      </c>
    </row>
    <row r="99" spans="1:6" ht="40.049999999999997" customHeight="1">
      <c r="A99" s="26">
        <v>98</v>
      </c>
      <c r="B99" s="25" t="s">
        <v>875</v>
      </c>
      <c r="C99" s="8" t="s">
        <v>1883</v>
      </c>
      <c r="D99" s="8"/>
      <c r="E99" s="8"/>
      <c r="F99" s="8" t="s">
        <v>3148</v>
      </c>
    </row>
    <row r="100" spans="1:6" ht="40.049999999999997" customHeight="1">
      <c r="A100" s="26">
        <v>99</v>
      </c>
      <c r="B100" s="25" t="s">
        <v>3700</v>
      </c>
      <c r="C100" s="8" t="s">
        <v>3701</v>
      </c>
      <c r="D100" s="8"/>
      <c r="E100" s="8"/>
      <c r="F100" s="8" t="s">
        <v>3409</v>
      </c>
    </row>
    <row r="101" spans="1:6" ht="40.049999999999997" customHeight="1">
      <c r="A101" s="26">
        <v>100</v>
      </c>
      <c r="B101" s="25" t="s">
        <v>3702</v>
      </c>
      <c r="C101" s="8" t="s">
        <v>3703</v>
      </c>
      <c r="D101" s="8"/>
      <c r="E101" s="8"/>
      <c r="F101" s="8" t="s">
        <v>3689</v>
      </c>
    </row>
    <row r="102" spans="1:6" ht="40.049999999999997" customHeight="1">
      <c r="A102" s="26">
        <v>101</v>
      </c>
      <c r="B102" s="25" t="s">
        <v>2261</v>
      </c>
      <c r="C102" s="8" t="s">
        <v>400</v>
      </c>
      <c r="D102" s="8"/>
      <c r="E102" s="8"/>
      <c r="F102" s="8" t="s">
        <v>3612</v>
      </c>
    </row>
    <row r="103" spans="1:6" ht="40.049999999999997" customHeight="1">
      <c r="A103" s="26">
        <v>102</v>
      </c>
      <c r="B103" s="25" t="s">
        <v>983</v>
      </c>
      <c r="C103" s="8" t="s">
        <v>3704</v>
      </c>
      <c r="D103" s="8"/>
      <c r="E103" s="8"/>
      <c r="F103" s="8" t="s">
        <v>3678</v>
      </c>
    </row>
    <row r="104" spans="1:6" ht="40.049999999999997" customHeight="1">
      <c r="A104" s="26">
        <v>103</v>
      </c>
      <c r="B104" s="25" t="s">
        <v>709</v>
      </c>
      <c r="C104" s="8" t="s">
        <v>2130</v>
      </c>
      <c r="D104" s="8"/>
      <c r="E104" s="8"/>
      <c r="F104" s="8" t="s">
        <v>3621</v>
      </c>
    </row>
    <row r="105" spans="1:6" ht="40.049999999999997" customHeight="1">
      <c r="A105" s="26">
        <v>104</v>
      </c>
      <c r="B105" s="25" t="s">
        <v>3705</v>
      </c>
      <c r="C105" s="8" t="s">
        <v>3706</v>
      </c>
      <c r="D105" s="8"/>
      <c r="E105" s="8"/>
      <c r="F105" s="8" t="s">
        <v>3148</v>
      </c>
    </row>
    <row r="106" spans="1:6" ht="40.049999999999997" customHeight="1">
      <c r="A106" s="26">
        <v>105</v>
      </c>
      <c r="B106" s="25" t="s">
        <v>1046</v>
      </c>
      <c r="C106" s="8" t="s">
        <v>2128</v>
      </c>
      <c r="D106" s="8"/>
      <c r="E106" s="8"/>
      <c r="F106" s="8" t="s">
        <v>3148</v>
      </c>
    </row>
    <row r="107" spans="1:6" ht="40.049999999999997" customHeight="1">
      <c r="A107" s="26">
        <v>106</v>
      </c>
      <c r="B107" s="25" t="s">
        <v>990</v>
      </c>
      <c r="C107" s="8" t="s">
        <v>2203</v>
      </c>
      <c r="D107" s="8"/>
      <c r="E107" s="8"/>
      <c r="F107" s="8" t="s">
        <v>3622</v>
      </c>
    </row>
    <row r="108" spans="1:6" ht="40.049999999999997" customHeight="1">
      <c r="A108" s="26">
        <v>107</v>
      </c>
      <c r="B108" s="25" t="s">
        <v>2161</v>
      </c>
      <c r="C108" s="8" t="s">
        <v>2162</v>
      </c>
      <c r="D108" s="8"/>
      <c r="E108" s="8"/>
      <c r="F108" s="8" t="s">
        <v>3688</v>
      </c>
    </row>
    <row r="109" spans="1:6" ht="40.049999999999997" customHeight="1">
      <c r="A109" s="26">
        <v>108</v>
      </c>
      <c r="B109" s="25" t="s">
        <v>3707</v>
      </c>
      <c r="C109" s="8" t="s">
        <v>3708</v>
      </c>
      <c r="D109" s="8" t="s">
        <v>3709</v>
      </c>
      <c r="E109" s="8"/>
      <c r="F109" s="8" t="s">
        <v>3621</v>
      </c>
    </row>
    <row r="110" spans="1:6" ht="40.049999999999997" customHeight="1">
      <c r="A110" s="26">
        <v>109</v>
      </c>
      <c r="B110" s="25" t="s">
        <v>2054</v>
      </c>
      <c r="C110" s="8" t="s">
        <v>2055</v>
      </c>
      <c r="D110" s="8"/>
      <c r="E110" s="8"/>
      <c r="F110" s="8" t="s">
        <v>3621</v>
      </c>
    </row>
    <row r="111" spans="1:6" ht="40.049999999999997" customHeight="1">
      <c r="A111" s="26">
        <v>110</v>
      </c>
      <c r="B111" s="25" t="s">
        <v>1187</v>
      </c>
      <c r="C111" s="8" t="s">
        <v>3710</v>
      </c>
      <c r="D111" s="8" t="s">
        <v>3711</v>
      </c>
      <c r="E111" s="8"/>
      <c r="F111" s="8" t="s">
        <v>3621</v>
      </c>
    </row>
    <row r="112" spans="1:6" ht="40.049999999999997" customHeight="1">
      <c r="A112" s="26">
        <v>111</v>
      </c>
      <c r="B112" s="25" t="s">
        <v>2051</v>
      </c>
      <c r="C112" s="8" t="s">
        <v>2052</v>
      </c>
      <c r="D112" s="8"/>
      <c r="E112" s="8"/>
      <c r="F112" s="8" t="s">
        <v>3621</v>
      </c>
    </row>
    <row r="113" spans="1:6" ht="40.049999999999997" customHeight="1">
      <c r="A113" s="26">
        <v>112</v>
      </c>
      <c r="B113" s="25" t="s">
        <v>3712</v>
      </c>
      <c r="C113" s="8" t="s">
        <v>3713</v>
      </c>
      <c r="D113" s="8"/>
      <c r="E113" s="8"/>
      <c r="F113" s="8" t="s">
        <v>3621</v>
      </c>
    </row>
    <row r="114" spans="1:6" ht="40.049999999999997" customHeight="1">
      <c r="A114" s="26">
        <v>113</v>
      </c>
      <c r="B114" s="25" t="s">
        <v>2048</v>
      </c>
      <c r="C114" s="8" t="s">
        <v>2049</v>
      </c>
      <c r="D114" s="8"/>
      <c r="E114" s="8"/>
      <c r="F114" s="8" t="s">
        <v>3621</v>
      </c>
    </row>
    <row r="115" spans="1:6" ht="40.049999999999997" customHeight="1">
      <c r="A115" s="26">
        <v>114</v>
      </c>
      <c r="B115" s="25" t="s">
        <v>1230</v>
      </c>
      <c r="C115" s="8" t="s">
        <v>1885</v>
      </c>
      <c r="D115" s="8"/>
      <c r="E115" s="8"/>
      <c r="F115" s="8" t="s">
        <v>3714</v>
      </c>
    </row>
    <row r="116" spans="1:6" ht="40.049999999999997" customHeight="1">
      <c r="A116" s="26">
        <v>115</v>
      </c>
      <c r="B116" s="25" t="s">
        <v>3715</v>
      </c>
      <c r="C116" s="8" t="s">
        <v>3716</v>
      </c>
      <c r="D116" s="8"/>
      <c r="E116" s="8"/>
      <c r="F116" s="8" t="s">
        <v>3714</v>
      </c>
    </row>
    <row r="117" spans="1:6" ht="40.049999999999997" customHeight="1">
      <c r="A117" s="26">
        <v>116</v>
      </c>
      <c r="B117" s="25" t="s">
        <v>1341</v>
      </c>
      <c r="C117" s="8" t="s">
        <v>1875</v>
      </c>
      <c r="D117" s="8"/>
      <c r="E117" s="8"/>
      <c r="F117" s="8" t="s">
        <v>3230</v>
      </c>
    </row>
    <row r="118" spans="1:6" ht="40.049999999999997" customHeight="1">
      <c r="A118" s="26">
        <v>117</v>
      </c>
      <c r="B118" s="25" t="s">
        <v>2138</v>
      </c>
      <c r="C118" s="8" t="s">
        <v>2139</v>
      </c>
      <c r="D118" s="8"/>
      <c r="E118" s="8"/>
      <c r="F118" s="8" t="s">
        <v>3714</v>
      </c>
    </row>
    <row r="119" spans="1:6" ht="40.049999999999997" customHeight="1">
      <c r="A119" s="26">
        <v>118</v>
      </c>
      <c r="B119" s="25" t="s">
        <v>811</v>
      </c>
      <c r="C119" s="8" t="s">
        <v>2111</v>
      </c>
      <c r="D119" s="8"/>
      <c r="E119" s="8"/>
      <c r="F119" s="8" t="s">
        <v>3230</v>
      </c>
    </row>
    <row r="120" spans="1:6" ht="40.049999999999997" customHeight="1">
      <c r="A120" s="26">
        <v>119</v>
      </c>
      <c r="B120" s="25" t="s">
        <v>2066</v>
      </c>
      <c r="C120" s="8" t="s">
        <v>2067</v>
      </c>
      <c r="D120" s="8"/>
      <c r="E120" s="8"/>
      <c r="F120" s="8" t="s">
        <v>3717</v>
      </c>
    </row>
    <row r="121" spans="1:6" ht="40.049999999999997" customHeight="1">
      <c r="A121" s="26">
        <v>120</v>
      </c>
      <c r="B121" s="25" t="s">
        <v>2069</v>
      </c>
      <c r="C121" s="8" t="s">
        <v>2070</v>
      </c>
      <c r="D121" s="8"/>
      <c r="E121" s="8"/>
      <c r="F121" s="8" t="s">
        <v>3717</v>
      </c>
    </row>
    <row r="122" spans="1:6" ht="40.049999999999997" customHeight="1">
      <c r="A122" s="26">
        <v>121</v>
      </c>
      <c r="B122" s="25" t="s">
        <v>2093</v>
      </c>
      <c r="C122" s="8" t="s">
        <v>2094</v>
      </c>
      <c r="D122" s="8"/>
      <c r="E122" s="8"/>
      <c r="F122" s="8" t="s">
        <v>3620</v>
      </c>
    </row>
    <row r="123" spans="1:6" ht="40.049999999999997" customHeight="1">
      <c r="A123" s="26">
        <v>122</v>
      </c>
      <c r="B123" s="25" t="s">
        <v>1395</v>
      </c>
      <c r="C123" s="8" t="s">
        <v>824</v>
      </c>
      <c r="D123" s="8"/>
      <c r="E123" s="8"/>
      <c r="F123" s="8" t="s">
        <v>3612</v>
      </c>
    </row>
    <row r="124" spans="1:6" ht="40.049999999999997" customHeight="1">
      <c r="A124" s="26">
        <v>123</v>
      </c>
      <c r="B124" s="25" t="s">
        <v>2102</v>
      </c>
      <c r="C124" s="8" t="s">
        <v>2103</v>
      </c>
      <c r="D124" s="8"/>
      <c r="E124" s="8"/>
      <c r="F124" s="8" t="s">
        <v>3230</v>
      </c>
    </row>
    <row r="125" spans="1:6" ht="40.049999999999997" customHeight="1">
      <c r="A125" s="26">
        <v>124</v>
      </c>
      <c r="B125" s="25" t="s">
        <v>3718</v>
      </c>
      <c r="C125" s="8" t="s">
        <v>3719</v>
      </c>
      <c r="D125" s="8"/>
      <c r="E125" s="8"/>
      <c r="F125" s="8" t="s">
        <v>3409</v>
      </c>
    </row>
    <row r="126" spans="1:6" ht="40.049999999999997" customHeight="1">
      <c r="A126" s="26">
        <v>125</v>
      </c>
      <c r="B126" s="25" t="s">
        <v>2164</v>
      </c>
      <c r="C126" s="8" t="s">
        <v>2165</v>
      </c>
      <c r="D126" s="8"/>
      <c r="E126" s="8"/>
      <c r="F126" s="8" t="s">
        <v>3688</v>
      </c>
    </row>
    <row r="127" spans="1:6" ht="40.049999999999997" customHeight="1">
      <c r="A127" s="26">
        <v>126</v>
      </c>
      <c r="B127" s="25" t="s">
        <v>1031</v>
      </c>
      <c r="C127" s="8" t="s">
        <v>3720</v>
      </c>
      <c r="D127" s="8"/>
      <c r="E127" s="8"/>
      <c r="F127" s="8" t="s">
        <v>3612</v>
      </c>
    </row>
    <row r="128" spans="1:6" ht="40.049999999999997" customHeight="1">
      <c r="A128" s="26">
        <v>127</v>
      </c>
      <c r="B128" s="25" t="s">
        <v>696</v>
      </c>
      <c r="C128" s="8" t="s">
        <v>1899</v>
      </c>
      <c r="D128" s="8"/>
      <c r="E128" s="8"/>
      <c r="F128" s="8" t="s">
        <v>3673</v>
      </c>
    </row>
    <row r="129" spans="1:6" ht="40.049999999999997" customHeight="1">
      <c r="A129" s="26">
        <v>128</v>
      </c>
      <c r="B129" s="25" t="s">
        <v>851</v>
      </c>
      <c r="C129" s="8" t="s">
        <v>3721</v>
      </c>
      <c r="D129" s="8"/>
      <c r="E129" s="8"/>
      <c r="F129" s="8" t="s">
        <v>3612</v>
      </c>
    </row>
    <row r="130" spans="1:6" ht="40.049999999999997" customHeight="1">
      <c r="A130" s="26">
        <v>129</v>
      </c>
      <c r="B130" s="25" t="s">
        <v>2196</v>
      </c>
      <c r="C130" s="8" t="s">
        <v>2197</v>
      </c>
      <c r="D130" s="8"/>
      <c r="E130" s="8"/>
      <c r="F130" s="8" t="s">
        <v>3615</v>
      </c>
    </row>
    <row r="131" spans="1:6" ht="40.049999999999997" customHeight="1">
      <c r="A131" s="26">
        <v>130</v>
      </c>
      <c r="B131" s="25" t="s">
        <v>922</v>
      </c>
      <c r="C131" s="8" t="s">
        <v>3722</v>
      </c>
      <c r="D131" s="8"/>
      <c r="E131" s="8"/>
      <c r="F131" s="8" t="s">
        <v>3409</v>
      </c>
    </row>
    <row r="132" spans="1:6" ht="40.049999999999997" customHeight="1">
      <c r="A132" s="26">
        <v>131</v>
      </c>
      <c r="B132" s="25" t="s">
        <v>1982</v>
      </c>
      <c r="C132" s="8" t="s">
        <v>1983</v>
      </c>
      <c r="D132" s="8"/>
      <c r="E132" s="8"/>
      <c r="F132" s="8" t="s">
        <v>3409</v>
      </c>
    </row>
    <row r="133" spans="1:6" ht="40.049999999999997" customHeight="1">
      <c r="A133" s="26">
        <v>132</v>
      </c>
      <c r="B133" s="25" t="s">
        <v>1911</v>
      </c>
      <c r="C133" s="8" t="s">
        <v>1912</v>
      </c>
      <c r="D133" s="8"/>
      <c r="E133" s="8"/>
      <c r="F133" s="8" t="s">
        <v>3612</v>
      </c>
    </row>
    <row r="134" spans="1:6" ht="40.049999999999997" customHeight="1">
      <c r="A134" s="26">
        <v>133</v>
      </c>
      <c r="B134" s="25" t="s">
        <v>1007</v>
      </c>
      <c r="C134" s="8" t="s">
        <v>2319</v>
      </c>
      <c r="D134" s="8"/>
      <c r="E134" s="8"/>
      <c r="F134" s="8" t="s">
        <v>3612</v>
      </c>
    </row>
    <row r="135" spans="1:6" ht="40.049999999999997" customHeight="1">
      <c r="A135" s="26">
        <v>134</v>
      </c>
      <c r="B135" s="25" t="s">
        <v>1398</v>
      </c>
      <c r="C135" s="8" t="s">
        <v>3723</v>
      </c>
      <c r="D135" s="8"/>
      <c r="E135" s="8"/>
      <c r="F135" s="8" t="s">
        <v>3622</v>
      </c>
    </row>
    <row r="136" spans="1:6" ht="40.049999999999997" customHeight="1">
      <c r="A136" s="26">
        <v>135</v>
      </c>
      <c r="B136" s="25" t="s">
        <v>2293</v>
      </c>
      <c r="C136" s="8" t="s">
        <v>2294</v>
      </c>
      <c r="D136" s="8"/>
      <c r="E136" s="8"/>
      <c r="F136" s="8" t="s">
        <v>3684</v>
      </c>
    </row>
    <row r="137" spans="1:6" ht="40.049999999999997" customHeight="1">
      <c r="A137" s="26">
        <v>136</v>
      </c>
      <c r="B137" s="25" t="s">
        <v>841</v>
      </c>
      <c r="C137" s="8" t="s">
        <v>1846</v>
      </c>
      <c r="D137" s="8"/>
      <c r="E137" s="8"/>
      <c r="F137" s="8" t="s">
        <v>3409</v>
      </c>
    </row>
    <row r="138" spans="1:6" ht="40.049999999999997" customHeight="1">
      <c r="A138" s="26">
        <v>137</v>
      </c>
      <c r="B138" s="25" t="s">
        <v>791</v>
      </c>
      <c r="C138" s="8" t="s">
        <v>1854</v>
      </c>
      <c r="D138" s="8"/>
      <c r="E138" s="8"/>
      <c r="F138" s="8" t="s">
        <v>3622</v>
      </c>
    </row>
    <row r="139" spans="1:6" ht="40.049999999999997" customHeight="1">
      <c r="A139" s="26">
        <v>138</v>
      </c>
      <c r="B139" s="25" t="s">
        <v>3724</v>
      </c>
      <c r="C139" s="8" t="s">
        <v>3725</v>
      </c>
      <c r="D139" s="8"/>
      <c r="E139" s="8"/>
      <c r="F139" s="8" t="s">
        <v>3612</v>
      </c>
    </row>
    <row r="140" spans="1:6" ht="40.049999999999997" customHeight="1">
      <c r="A140" s="26">
        <v>139</v>
      </c>
      <c r="B140" s="25" t="s">
        <v>3726</v>
      </c>
      <c r="C140" s="8" t="s">
        <v>3727</v>
      </c>
      <c r="D140" s="8"/>
      <c r="E140" s="8"/>
      <c r="F140" s="8" t="s">
        <v>3612</v>
      </c>
    </row>
    <row r="141" spans="1:6" ht="40.049999999999997" customHeight="1">
      <c r="A141" s="26">
        <v>140</v>
      </c>
      <c r="B141" s="25" t="s">
        <v>3728</v>
      </c>
      <c r="C141" s="8" t="s">
        <v>3729</v>
      </c>
      <c r="D141" s="8"/>
      <c r="E141" s="8"/>
      <c r="F141" s="8" t="s">
        <v>3612</v>
      </c>
    </row>
    <row r="142" spans="1:6" ht="40.049999999999997" customHeight="1">
      <c r="A142" s="26">
        <v>141</v>
      </c>
      <c r="B142" s="25" t="s">
        <v>3730</v>
      </c>
      <c r="C142" s="8" t="s">
        <v>3731</v>
      </c>
      <c r="D142" s="8"/>
      <c r="E142" s="8"/>
      <c r="F142" s="8" t="s">
        <v>3612</v>
      </c>
    </row>
    <row r="143" spans="1:6" ht="40.049999999999997" customHeight="1">
      <c r="A143" s="26">
        <v>142</v>
      </c>
      <c r="B143" s="25" t="s">
        <v>1380</v>
      </c>
      <c r="C143" s="8" t="s">
        <v>1925</v>
      </c>
      <c r="D143" s="8"/>
      <c r="E143" s="8"/>
      <c r="F143" s="8" t="s">
        <v>3612</v>
      </c>
    </row>
    <row r="144" spans="1:6" ht="40.049999999999997" customHeight="1">
      <c r="A144" s="26">
        <v>143</v>
      </c>
      <c r="B144" s="25" t="s">
        <v>1927</v>
      </c>
      <c r="C144" s="8" t="s">
        <v>1928</v>
      </c>
      <c r="D144" s="8"/>
      <c r="E144" s="8"/>
      <c r="F144" s="8" t="s">
        <v>3612</v>
      </c>
    </row>
    <row r="145" spans="1:6" ht="40.049999999999997" customHeight="1">
      <c r="A145" s="26">
        <v>144</v>
      </c>
      <c r="B145" s="25" t="s">
        <v>1950</v>
      </c>
      <c r="C145" s="8" t="s">
        <v>1951</v>
      </c>
      <c r="D145" s="8"/>
      <c r="E145" s="8"/>
      <c r="F145" s="8" t="s">
        <v>3684</v>
      </c>
    </row>
    <row r="146" spans="1:6" ht="40.049999999999997" customHeight="1">
      <c r="A146" s="26">
        <v>145</v>
      </c>
      <c r="B146" s="25" t="s">
        <v>2240</v>
      </c>
      <c r="C146" s="8" t="s">
        <v>1440</v>
      </c>
      <c r="D146" s="8"/>
      <c r="E146" s="8"/>
      <c r="F146" s="8" t="s">
        <v>3612</v>
      </c>
    </row>
    <row r="147" spans="1:6" ht="40.049999999999997" customHeight="1">
      <c r="A147" s="26">
        <v>146</v>
      </c>
      <c r="B147" s="25" t="s">
        <v>2242</v>
      </c>
      <c r="C147" s="8" t="s">
        <v>2243</v>
      </c>
      <c r="D147" s="8"/>
      <c r="E147" s="8"/>
      <c r="F147" s="8" t="s">
        <v>3612</v>
      </c>
    </row>
    <row r="148" spans="1:6" ht="40.049999999999997" customHeight="1">
      <c r="A148" s="26">
        <v>147</v>
      </c>
      <c r="B148" s="25" t="s">
        <v>1896</v>
      </c>
      <c r="C148" s="8" t="s">
        <v>1897</v>
      </c>
      <c r="D148" s="8"/>
      <c r="E148" s="8"/>
      <c r="F148" s="8" t="s">
        <v>3409</v>
      </c>
    </row>
    <row r="149" spans="1:6" ht="40.049999999999997" customHeight="1">
      <c r="A149" s="26">
        <v>148</v>
      </c>
      <c r="B149" s="25" t="s">
        <v>3732</v>
      </c>
      <c r="C149" s="8" t="s">
        <v>3733</v>
      </c>
      <c r="D149" s="8"/>
      <c r="E149" s="8"/>
      <c r="F149" s="8" t="s">
        <v>3230</v>
      </c>
    </row>
    <row r="150" spans="1:6" ht="40.049999999999997" customHeight="1">
      <c r="A150" s="26">
        <v>149</v>
      </c>
      <c r="B150" s="25" t="s">
        <v>1851</v>
      </c>
      <c r="C150" s="8" t="s">
        <v>1852</v>
      </c>
      <c r="D150" s="8"/>
      <c r="E150" s="8"/>
      <c r="F150" s="8" t="s">
        <v>3615</v>
      </c>
    </row>
    <row r="151" spans="1:6" ht="40.049999999999997" customHeight="1">
      <c r="A151" s="26">
        <v>150</v>
      </c>
      <c r="B151" s="25" t="s">
        <v>3734</v>
      </c>
      <c r="C151" s="8" t="s">
        <v>3735</v>
      </c>
      <c r="D151" s="8"/>
      <c r="E151" s="8"/>
      <c r="F151" s="8" t="s">
        <v>3148</v>
      </c>
    </row>
    <row r="152" spans="1:6" ht="40.049999999999997" customHeight="1">
      <c r="A152" s="26">
        <v>151</v>
      </c>
      <c r="B152" s="25" t="s">
        <v>2132</v>
      </c>
      <c r="C152" s="8" t="s">
        <v>2133</v>
      </c>
      <c r="D152" s="8"/>
      <c r="E152" s="8"/>
      <c r="F152" s="8" t="s">
        <v>3148</v>
      </c>
    </row>
    <row r="153" spans="1:6" ht="40.049999999999997" customHeight="1">
      <c r="A153" s="26">
        <v>152</v>
      </c>
      <c r="B153" s="25" t="s">
        <v>726</v>
      </c>
      <c r="C153" s="8" t="s">
        <v>1922</v>
      </c>
      <c r="D153" s="8"/>
      <c r="E153" s="8"/>
      <c r="F153" s="8" t="s">
        <v>3612</v>
      </c>
    </row>
    <row r="154" spans="1:6" ht="40.049999999999997" customHeight="1">
      <c r="A154" s="26">
        <v>153</v>
      </c>
      <c r="B154" s="25" t="s">
        <v>1887</v>
      </c>
      <c r="C154" s="8" t="s">
        <v>1888</v>
      </c>
      <c r="D154" s="8"/>
      <c r="E154" s="8"/>
      <c r="F154" s="8" t="s">
        <v>3621</v>
      </c>
    </row>
    <row r="155" spans="1:6" ht="40.049999999999997" customHeight="1">
      <c r="A155" s="26">
        <v>154</v>
      </c>
      <c r="B155" s="25" t="s">
        <v>1290</v>
      </c>
      <c r="C155" s="8" t="s">
        <v>2144</v>
      </c>
      <c r="D155" s="8"/>
      <c r="E155" s="8"/>
      <c r="F155" s="8" t="s">
        <v>3621</v>
      </c>
    </row>
    <row r="156" spans="1:6" ht="40.049999999999997" customHeight="1">
      <c r="A156" s="26">
        <v>155</v>
      </c>
      <c r="B156" s="25" t="s">
        <v>1890</v>
      </c>
      <c r="C156" s="8" t="s">
        <v>1891</v>
      </c>
      <c r="D156" s="8"/>
      <c r="E156" s="8"/>
      <c r="F156" s="8" t="s">
        <v>3621</v>
      </c>
    </row>
    <row r="157" spans="1:6" ht="40.049999999999997" customHeight="1">
      <c r="A157" s="26">
        <v>156</v>
      </c>
      <c r="B157" s="25" t="s">
        <v>3736</v>
      </c>
      <c r="C157" s="8" t="s">
        <v>3737</v>
      </c>
      <c r="D157" s="8"/>
      <c r="E157" s="8"/>
      <c r="F157" s="8" t="s">
        <v>3621</v>
      </c>
    </row>
    <row r="158" spans="1:6" ht="40.049999999999997" customHeight="1">
      <c r="A158" s="26">
        <v>157</v>
      </c>
      <c r="B158" s="25" t="s">
        <v>1314</v>
      </c>
      <c r="C158" s="8" t="s">
        <v>2057</v>
      </c>
      <c r="D158" s="8"/>
      <c r="E158" s="8"/>
      <c r="F158" s="8" t="s">
        <v>3621</v>
      </c>
    </row>
    <row r="159" spans="1:6" ht="40.049999999999997" customHeight="1">
      <c r="A159" s="26">
        <v>158</v>
      </c>
      <c r="B159" s="25" t="s">
        <v>1880</v>
      </c>
      <c r="C159" s="8" t="s">
        <v>1881</v>
      </c>
      <c r="D159" s="8"/>
      <c r="E159" s="8"/>
      <c r="F159" s="8" t="s">
        <v>3658</v>
      </c>
    </row>
    <row r="160" spans="1:6" ht="40.049999999999997" customHeight="1">
      <c r="A160" s="26">
        <v>159</v>
      </c>
      <c r="B160" s="25" t="s">
        <v>1260</v>
      </c>
      <c r="C160" s="8" t="s">
        <v>1797</v>
      </c>
      <c r="D160" s="8"/>
      <c r="E160" s="8"/>
      <c r="F160" s="8" t="s">
        <v>3612</v>
      </c>
    </row>
    <row r="161" spans="1:6" ht="40.049999999999997" customHeight="1">
      <c r="A161" s="26">
        <v>160</v>
      </c>
      <c r="B161" s="25" t="s">
        <v>2248</v>
      </c>
      <c r="C161" s="8" t="s">
        <v>1802</v>
      </c>
      <c r="D161" s="8"/>
      <c r="E161" s="8"/>
      <c r="F161" s="8" t="s">
        <v>3612</v>
      </c>
    </row>
    <row r="162" spans="1:6" ht="40.049999999999997" customHeight="1">
      <c r="A162" s="26">
        <v>161</v>
      </c>
      <c r="B162" s="25" t="s">
        <v>2250</v>
      </c>
      <c r="C162" s="8" t="s">
        <v>1804</v>
      </c>
      <c r="D162" s="8"/>
      <c r="E162" s="8"/>
      <c r="F162" s="8" t="s">
        <v>3612</v>
      </c>
    </row>
    <row r="163" spans="1:6" ht="40.049999999999997" customHeight="1">
      <c r="A163" s="26">
        <v>162</v>
      </c>
      <c r="B163" s="25" t="s">
        <v>2246</v>
      </c>
      <c r="C163" s="8" t="s">
        <v>1800</v>
      </c>
      <c r="D163" s="8"/>
      <c r="E163" s="8"/>
      <c r="F163" s="8" t="s">
        <v>3612</v>
      </c>
    </row>
    <row r="164" spans="1:6" ht="40.049999999999997" customHeight="1">
      <c r="A164" s="26">
        <v>163</v>
      </c>
      <c r="B164" s="25" t="s">
        <v>3738</v>
      </c>
      <c r="C164" s="8" t="s">
        <v>3739</v>
      </c>
      <c r="D164" s="8"/>
      <c r="E164" s="8"/>
      <c r="F164" s="8" t="s">
        <v>3612</v>
      </c>
    </row>
    <row r="165" spans="1:6" ht="40.049999999999997" customHeight="1">
      <c r="A165" s="26">
        <v>164</v>
      </c>
      <c r="B165" s="25" t="s">
        <v>1365</v>
      </c>
      <c r="C165" s="8" t="s">
        <v>3740</v>
      </c>
      <c r="D165" s="8"/>
      <c r="E165" s="8"/>
      <c r="F165" s="8" t="s">
        <v>3612</v>
      </c>
    </row>
    <row r="166" spans="1:6" ht="40.049999999999997" customHeight="1">
      <c r="A166" s="26">
        <v>165</v>
      </c>
      <c r="B166" s="25" t="s">
        <v>2060</v>
      </c>
      <c r="C166" s="8" t="s">
        <v>2061</v>
      </c>
      <c r="D166" s="8"/>
      <c r="E166" s="8"/>
      <c r="F166" s="8" t="s">
        <v>3621</v>
      </c>
    </row>
    <row r="167" spans="1:6" ht="40.049999999999997" customHeight="1">
      <c r="A167" s="26">
        <v>166</v>
      </c>
      <c r="B167" s="25" t="s">
        <v>1843</v>
      </c>
      <c r="C167" s="8" t="s">
        <v>1844</v>
      </c>
      <c r="D167" s="8"/>
      <c r="E167" s="8"/>
      <c r="F167" s="8" t="s">
        <v>3621</v>
      </c>
    </row>
    <row r="168" spans="1:6" ht="40.049999999999997" customHeight="1">
      <c r="A168" s="26">
        <v>167</v>
      </c>
      <c r="B168" s="25" t="s">
        <v>3741</v>
      </c>
      <c r="C168" s="8" t="s">
        <v>3742</v>
      </c>
      <c r="D168" s="8"/>
      <c r="E168" s="8"/>
      <c r="F168" s="8" t="s">
        <v>3409</v>
      </c>
    </row>
    <row r="169" spans="1:6" ht="40.049999999999997" customHeight="1">
      <c r="A169" s="26">
        <v>168</v>
      </c>
      <c r="B169" s="25" t="s">
        <v>723</v>
      </c>
      <c r="C169" s="8" t="s">
        <v>2315</v>
      </c>
      <c r="D169" s="8"/>
      <c r="E169" s="8"/>
      <c r="F169" s="8" t="s">
        <v>3684</v>
      </c>
    </row>
    <row r="170" spans="1:6" ht="40.049999999999997" customHeight="1">
      <c r="A170" s="26">
        <v>169</v>
      </c>
      <c r="B170" s="25" t="s">
        <v>2212</v>
      </c>
      <c r="C170" s="8" t="s">
        <v>2213</v>
      </c>
      <c r="D170" s="8"/>
      <c r="E170" s="8"/>
      <c r="F170" s="8" t="s">
        <v>3678</v>
      </c>
    </row>
    <row r="171" spans="1:6" ht="40.049999999999997" customHeight="1">
      <c r="A171" s="26">
        <v>170</v>
      </c>
      <c r="B171" s="25" t="s">
        <v>2302</v>
      </c>
      <c r="C171" s="8" t="s">
        <v>2303</v>
      </c>
      <c r="D171" s="8"/>
      <c r="E171" s="8"/>
      <c r="F171" s="8" t="s">
        <v>3684</v>
      </c>
    </row>
    <row r="172" spans="1:6" ht="40.049999999999997" customHeight="1">
      <c r="A172" s="26">
        <v>171</v>
      </c>
      <c r="B172" s="25" t="s">
        <v>1184</v>
      </c>
      <c r="C172" s="8" t="s">
        <v>2215</v>
      </c>
      <c r="D172" s="8"/>
      <c r="E172" s="8"/>
      <c r="F172" s="8" t="s">
        <v>3743</v>
      </c>
    </row>
    <row r="173" spans="1:6" ht="40.049999999999997" customHeight="1">
      <c r="A173" s="26">
        <v>172</v>
      </c>
      <c r="B173" s="25" t="s">
        <v>3744</v>
      </c>
      <c r="C173" s="8" t="s">
        <v>3745</v>
      </c>
      <c r="D173" s="8"/>
      <c r="E173" s="8"/>
      <c r="F173" s="8" t="s">
        <v>3743</v>
      </c>
    </row>
    <row r="174" spans="1:6" ht="40.049999999999997" customHeight="1">
      <c r="A174" s="26">
        <v>173</v>
      </c>
      <c r="B174" s="25" t="s">
        <v>700</v>
      </c>
      <c r="C174" s="8" t="s">
        <v>1909</v>
      </c>
      <c r="D174" s="8"/>
      <c r="E174" s="8"/>
      <c r="F174" s="8" t="s">
        <v>3743</v>
      </c>
    </row>
    <row r="175" spans="1:6" ht="40.049999999999997" customHeight="1">
      <c r="A175" s="26">
        <v>174</v>
      </c>
      <c r="B175" s="25" t="s">
        <v>2006</v>
      </c>
      <c r="C175" s="8" t="s">
        <v>2007</v>
      </c>
      <c r="D175" s="8"/>
      <c r="E175" s="8"/>
      <c r="F175" s="8" t="s">
        <v>3684</v>
      </c>
    </row>
    <row r="176" spans="1:6" ht="40.049999999999997" customHeight="1">
      <c r="A176" s="26">
        <v>175</v>
      </c>
      <c r="B176" s="25" t="s">
        <v>2237</v>
      </c>
      <c r="C176" s="8" t="s">
        <v>2238</v>
      </c>
      <c r="D176" s="8"/>
      <c r="E176" s="8"/>
      <c r="F176" s="8" t="s">
        <v>3612</v>
      </c>
    </row>
    <row r="177" spans="1:6" ht="40.049999999999997" customHeight="1">
      <c r="A177" s="26">
        <v>176</v>
      </c>
      <c r="B177" s="25" t="s">
        <v>2152</v>
      </c>
      <c r="C177" s="8" t="s">
        <v>2153</v>
      </c>
      <c r="D177" s="8"/>
      <c r="E177" s="8"/>
      <c r="F177" s="8" t="s">
        <v>3409</v>
      </c>
    </row>
    <row r="178" spans="1:6" ht="40.049999999999997" customHeight="1">
      <c r="A178" s="26">
        <v>177</v>
      </c>
      <c r="B178" s="25" t="s">
        <v>2135</v>
      </c>
      <c r="C178" s="8" t="s">
        <v>2136</v>
      </c>
      <c r="D178" s="8"/>
      <c r="E178" s="8"/>
      <c r="F178" s="8" t="s">
        <v>3714</v>
      </c>
    </row>
    <row r="179" spans="1:6" ht="40.049999999999997" customHeight="1">
      <c r="A179" s="26">
        <v>178</v>
      </c>
      <c r="B179" s="25" t="s">
        <v>2167</v>
      </c>
      <c r="C179" s="8" t="s">
        <v>2168</v>
      </c>
      <c r="D179" s="8"/>
      <c r="E179" s="8"/>
      <c r="F179" s="8" t="s">
        <v>3635</v>
      </c>
    </row>
    <row r="180" spans="1:6" ht="40.049999999999997" customHeight="1">
      <c r="A180" s="26">
        <v>179</v>
      </c>
      <c r="B180" s="25" t="s">
        <v>2108</v>
      </c>
      <c r="C180" s="8" t="s">
        <v>2109</v>
      </c>
      <c r="D180" s="8"/>
      <c r="E180" s="8"/>
      <c r="F180" s="8" t="s">
        <v>3230</v>
      </c>
    </row>
    <row r="181" spans="1:6" ht="40.049999999999997" customHeight="1">
      <c r="A181" s="26">
        <v>180</v>
      </c>
      <c r="B181" s="25" t="s">
        <v>3746</v>
      </c>
      <c r="C181" s="8" t="s">
        <v>3747</v>
      </c>
      <c r="D181" s="8"/>
      <c r="E181" s="8"/>
      <c r="F181" s="8" t="s">
        <v>3684</v>
      </c>
    </row>
    <row r="182" spans="1:6" ht="40.049999999999997" customHeight="1">
      <c r="A182" s="26">
        <v>181</v>
      </c>
      <c r="B182" s="25" t="s">
        <v>1206</v>
      </c>
      <c r="C182" s="8" t="s">
        <v>3748</v>
      </c>
      <c r="D182" s="8"/>
      <c r="E182" s="8"/>
      <c r="F182" s="8" t="s">
        <v>3684</v>
      </c>
    </row>
    <row r="183" spans="1:6" ht="40.049999999999997" customHeight="1">
      <c r="A183" s="26">
        <v>182</v>
      </c>
      <c r="B183" s="25" t="s">
        <v>1979</v>
      </c>
      <c r="C183" s="8" t="s">
        <v>1980</v>
      </c>
      <c r="D183" s="8"/>
      <c r="E183" s="8"/>
      <c r="F183" s="8" t="s">
        <v>3612</v>
      </c>
    </row>
    <row r="184" spans="1:6" ht="40.049999999999997" customHeight="1">
      <c r="A184" s="26">
        <v>183</v>
      </c>
      <c r="B184" s="25" t="s">
        <v>716</v>
      </c>
      <c r="C184" s="8" t="s">
        <v>3749</v>
      </c>
      <c r="D184" s="8"/>
      <c r="E184" s="8"/>
      <c r="F184" s="8" t="s">
        <v>3409</v>
      </c>
    </row>
    <row r="185" spans="1:6" ht="40.049999999999997" customHeight="1">
      <c r="A185" s="26">
        <v>184</v>
      </c>
      <c r="B185" s="25" t="s">
        <v>719</v>
      </c>
      <c r="C185" s="8" t="s">
        <v>3750</v>
      </c>
      <c r="D185" s="8"/>
      <c r="E185" s="8"/>
      <c r="F185" s="8" t="s">
        <v>3409</v>
      </c>
    </row>
    <row r="186" spans="1:6" ht="40.049999999999997" customHeight="1">
      <c r="A186" s="26">
        <v>185</v>
      </c>
      <c r="B186" s="25" t="s">
        <v>1404</v>
      </c>
      <c r="C186" s="8" t="s">
        <v>3751</v>
      </c>
      <c r="D186" s="8"/>
      <c r="E186" s="8"/>
      <c r="F186" s="8" t="s">
        <v>3409</v>
      </c>
    </row>
    <row r="187" spans="1:6" ht="40.049999999999997" customHeight="1">
      <c r="A187" s="26">
        <v>186</v>
      </c>
      <c r="B187" s="25" t="s">
        <v>1962</v>
      </c>
      <c r="C187" s="8" t="s">
        <v>1963</v>
      </c>
      <c r="D187" s="8"/>
      <c r="E187" s="8"/>
      <c r="F187" s="8" t="s">
        <v>3612</v>
      </c>
    </row>
    <row r="188" spans="1:6" ht="40.049999999999997" customHeight="1">
      <c r="A188" s="26">
        <v>187</v>
      </c>
      <c r="B188" s="25" t="s">
        <v>1209</v>
      </c>
      <c r="C188" s="8" t="s">
        <v>3752</v>
      </c>
      <c r="D188" s="8"/>
      <c r="E188" s="8"/>
      <c r="F188" s="8" t="s">
        <v>3612</v>
      </c>
    </row>
    <row r="189" spans="1:6" ht="40.049999999999997" customHeight="1">
      <c r="A189" s="26">
        <v>188</v>
      </c>
      <c r="B189" s="25" t="s">
        <v>1959</v>
      </c>
      <c r="C189" s="8" t="s">
        <v>1960</v>
      </c>
      <c r="D189" s="8"/>
      <c r="E189" s="8"/>
      <c r="F189" s="8" t="s">
        <v>3612</v>
      </c>
    </row>
    <row r="190" spans="1:6" ht="40.049999999999997" customHeight="1">
      <c r="A190" s="26">
        <v>189</v>
      </c>
      <c r="B190" s="25" t="s">
        <v>3753</v>
      </c>
      <c r="C190" s="8" t="s">
        <v>3754</v>
      </c>
      <c r="D190" s="8" t="s">
        <v>3755</v>
      </c>
      <c r="E190" s="8"/>
      <c r="F190" s="8" t="s">
        <v>3635</v>
      </c>
    </row>
    <row r="191" spans="1:6" ht="40.049999999999997" customHeight="1">
      <c r="A191" s="26">
        <v>190</v>
      </c>
      <c r="B191" s="25" t="s">
        <v>2141</v>
      </c>
      <c r="C191" s="8" t="s">
        <v>2142</v>
      </c>
      <c r="D191" s="8"/>
      <c r="E191" s="8"/>
      <c r="F191" s="8" t="s">
        <v>3409</v>
      </c>
    </row>
    <row r="192" spans="1:6" ht="40.049999999999997" customHeight="1">
      <c r="A192" s="26">
        <v>191</v>
      </c>
      <c r="B192" s="25" t="s">
        <v>3756</v>
      </c>
      <c r="C192" s="8" t="s">
        <v>3757</v>
      </c>
      <c r="D192" s="8"/>
      <c r="E192" s="8"/>
      <c r="F192" s="8" t="s">
        <v>3409</v>
      </c>
    </row>
    <row r="193" spans="1:6" ht="40.049999999999997" customHeight="1">
      <c r="A193" s="26">
        <v>192</v>
      </c>
      <c r="B193" s="25" t="s">
        <v>3758</v>
      </c>
      <c r="C193" s="8" t="s">
        <v>3759</v>
      </c>
      <c r="D193" s="8"/>
      <c r="E193" s="8"/>
      <c r="F193" s="8" t="s">
        <v>3409</v>
      </c>
    </row>
    <row r="194" spans="1:6" ht="40.049999999999997" customHeight="1">
      <c r="A194" s="26">
        <v>193</v>
      </c>
      <c r="B194" s="25" t="s">
        <v>770</v>
      </c>
      <c r="C194" s="8" t="s">
        <v>2080</v>
      </c>
      <c r="D194" s="8"/>
      <c r="E194" s="8"/>
      <c r="F194" s="8" t="s">
        <v>3635</v>
      </c>
    </row>
    <row r="195" spans="1:6" ht="40.049999999999997" customHeight="1">
      <c r="A195" s="26">
        <v>194</v>
      </c>
      <c r="B195" s="25" t="s">
        <v>1864</v>
      </c>
      <c r="C195" s="8" t="s">
        <v>1865</v>
      </c>
      <c r="D195" s="8"/>
      <c r="E195" s="8"/>
      <c r="F195" s="8" t="s">
        <v>3621</v>
      </c>
    </row>
    <row r="196" spans="1:6" ht="40.049999999999997" customHeight="1">
      <c r="A196" s="26">
        <v>195</v>
      </c>
      <c r="B196" s="25" t="s">
        <v>941</v>
      </c>
      <c r="C196" s="8" t="s">
        <v>3760</v>
      </c>
      <c r="D196" s="8"/>
      <c r="E196" s="8"/>
      <c r="F196" s="8" t="s">
        <v>3230</v>
      </c>
    </row>
    <row r="197" spans="1:6" ht="40.049999999999997" customHeight="1">
      <c r="A197" s="26">
        <v>196</v>
      </c>
      <c r="B197" s="25" t="s">
        <v>2149</v>
      </c>
      <c r="C197" s="8" t="s">
        <v>2150</v>
      </c>
      <c r="D197" s="8"/>
      <c r="E197" s="8"/>
      <c r="F197" s="8" t="s">
        <v>3409</v>
      </c>
    </row>
    <row r="198" spans="1:6" ht="40.049999999999997" customHeight="1">
      <c r="A198" s="26">
        <v>197</v>
      </c>
      <c r="B198" s="25" t="s">
        <v>2082</v>
      </c>
      <c r="C198" s="8" t="s">
        <v>2083</v>
      </c>
      <c r="D198" s="8"/>
      <c r="E198" s="8"/>
      <c r="F198" s="8" t="s">
        <v>3635</v>
      </c>
    </row>
    <row r="199" spans="1:6" ht="40.049999999999997" customHeight="1">
      <c r="A199" s="26">
        <v>198</v>
      </c>
      <c r="B199" s="25" t="s">
        <v>2173</v>
      </c>
      <c r="C199" s="8" t="s">
        <v>2174</v>
      </c>
      <c r="D199" s="8"/>
      <c r="E199" s="8"/>
      <c r="F199" s="8" t="s">
        <v>3673</v>
      </c>
    </row>
    <row r="200" spans="1:6" ht="40.049999999999997" customHeight="1">
      <c r="A200" s="26">
        <v>199</v>
      </c>
      <c r="B200" s="25" t="s">
        <v>1872</v>
      </c>
      <c r="C200" s="8" t="s">
        <v>1873</v>
      </c>
      <c r="D200" s="8"/>
      <c r="E200" s="8"/>
      <c r="F200" s="8" t="s">
        <v>3230</v>
      </c>
    </row>
    <row r="201" spans="1:6" ht="40.049999999999997" customHeight="1">
      <c r="A201" s="26">
        <v>200</v>
      </c>
      <c r="B201" s="25" t="s">
        <v>987</v>
      </c>
      <c r="C201" s="8" t="s">
        <v>2113</v>
      </c>
      <c r="D201" s="8" t="s">
        <v>3761</v>
      </c>
      <c r="E201" s="8"/>
      <c r="F201" s="8" t="s">
        <v>3230</v>
      </c>
    </row>
    <row r="202" spans="1:6" ht="40.049999999999997" customHeight="1">
      <c r="A202" s="26">
        <v>201</v>
      </c>
      <c r="B202" s="25" t="s">
        <v>2096</v>
      </c>
      <c r="C202" s="8" t="s">
        <v>2097</v>
      </c>
      <c r="D202" s="8"/>
      <c r="E202" s="8"/>
      <c r="F202" s="8" t="s">
        <v>3620</v>
      </c>
    </row>
    <row r="203" spans="1:6" ht="40.049999999999997" customHeight="1">
      <c r="A203" s="26">
        <v>202</v>
      </c>
      <c r="B203" s="25" t="s">
        <v>1362</v>
      </c>
      <c r="C203" s="8" t="s">
        <v>3762</v>
      </c>
      <c r="D203" s="8"/>
      <c r="E203" s="8"/>
      <c r="F203" s="8" t="s">
        <v>3642</v>
      </c>
    </row>
    <row r="204" spans="1:6" ht="40.049999999999997" customHeight="1">
      <c r="A204" s="26">
        <v>203</v>
      </c>
      <c r="B204" s="25" t="s">
        <v>1893</v>
      </c>
      <c r="C204" s="8" t="s">
        <v>1894</v>
      </c>
      <c r="D204" s="8"/>
      <c r="E204" s="8"/>
      <c r="F204" s="8" t="s">
        <v>3409</v>
      </c>
    </row>
    <row r="205" spans="1:6" ht="40.049999999999997" customHeight="1">
      <c r="A205" s="26">
        <v>204</v>
      </c>
      <c r="B205" s="25" t="s">
        <v>2146</v>
      </c>
      <c r="C205" s="8" t="s">
        <v>2147</v>
      </c>
      <c r="D205" s="8"/>
      <c r="E205" s="8"/>
      <c r="F205" s="8" t="s">
        <v>3409</v>
      </c>
    </row>
    <row r="206" spans="1:6" ht="40.049999999999997" customHeight="1">
      <c r="A206" s="26">
        <v>205</v>
      </c>
      <c r="B206" s="25" t="s">
        <v>3763</v>
      </c>
      <c r="C206" s="8" t="s">
        <v>3764</v>
      </c>
      <c r="D206" s="8"/>
      <c r="E206" s="8"/>
      <c r="F206" s="8" t="s">
        <v>3409</v>
      </c>
    </row>
    <row r="207" spans="1:6" ht="40.049999999999997" customHeight="1">
      <c r="A207" s="26">
        <v>206</v>
      </c>
      <c r="B207" s="25" t="s">
        <v>1097</v>
      </c>
      <c r="C207" s="8" t="s">
        <v>2305</v>
      </c>
      <c r="D207" s="8"/>
      <c r="E207" s="8"/>
      <c r="F207" s="8" t="s">
        <v>3409</v>
      </c>
    </row>
    <row r="208" spans="1:6" ht="40.049999999999997" customHeight="1">
      <c r="A208" s="26">
        <v>207</v>
      </c>
      <c r="B208" s="25" t="s">
        <v>3765</v>
      </c>
      <c r="C208" s="8" t="s">
        <v>3766</v>
      </c>
      <c r="D208" s="8"/>
      <c r="E208" s="8"/>
      <c r="F208" s="8" t="s">
        <v>3684</v>
      </c>
    </row>
    <row r="209" spans="1:6" ht="40.049999999999997" customHeight="1">
      <c r="A209" s="26">
        <v>208</v>
      </c>
      <c r="B209" s="25" t="s">
        <v>2296</v>
      </c>
      <c r="C209" s="8" t="s">
        <v>2297</v>
      </c>
      <c r="D209" s="8"/>
      <c r="E209" s="8"/>
      <c r="F209" s="8" t="s">
        <v>3684</v>
      </c>
    </row>
    <row r="210" spans="1:6" ht="40.049999999999997" customHeight="1">
      <c r="A210" s="26">
        <v>209</v>
      </c>
      <c r="B210" s="25" t="s">
        <v>2285</v>
      </c>
      <c r="C210" s="8" t="s">
        <v>832</v>
      </c>
      <c r="D210" s="8"/>
      <c r="E210" s="8"/>
      <c r="F210" s="8" t="s">
        <v>3612</v>
      </c>
    </row>
    <row r="211" spans="1:6" ht="40.049999999999997" customHeight="1">
      <c r="A211" s="26">
        <v>210</v>
      </c>
      <c r="B211" s="25" t="s">
        <v>3767</v>
      </c>
      <c r="C211" s="8" t="s">
        <v>3768</v>
      </c>
      <c r="D211" s="8"/>
      <c r="E211" s="8"/>
      <c r="F211" s="8" t="s">
        <v>3621</v>
      </c>
    </row>
    <row r="212" spans="1:6" ht="40.049999999999997" customHeight="1">
      <c r="A212" s="26">
        <v>211</v>
      </c>
      <c r="B212" s="25" t="s">
        <v>2063</v>
      </c>
      <c r="C212" s="8" t="s">
        <v>2064</v>
      </c>
      <c r="D212" s="8"/>
      <c r="E212" s="8"/>
      <c r="F212" s="8" t="s">
        <v>3621</v>
      </c>
    </row>
    <row r="213" spans="1:6" ht="40.049999999999997" customHeight="1">
      <c r="A213" s="26">
        <v>212</v>
      </c>
      <c r="B213" s="25" t="s">
        <v>2190</v>
      </c>
      <c r="C213" s="8" t="s">
        <v>2191</v>
      </c>
      <c r="D213" s="8"/>
      <c r="E213" s="8"/>
      <c r="F213" s="8" t="s">
        <v>3642</v>
      </c>
    </row>
    <row r="214" spans="1:6" ht="40.049999999999997" customHeight="1">
      <c r="A214" s="26">
        <v>213</v>
      </c>
      <c r="B214" s="25" t="s">
        <v>1937</v>
      </c>
      <c r="C214" s="8" t="s">
        <v>1938</v>
      </c>
      <c r="D214" s="8"/>
      <c r="E214" s="8"/>
      <c r="F214" s="8" t="s">
        <v>3622</v>
      </c>
    </row>
    <row r="215" spans="1:6" ht="40.049999999999997" customHeight="1">
      <c r="A215" s="26">
        <v>214</v>
      </c>
      <c r="B215" s="25" t="s">
        <v>3769</v>
      </c>
      <c r="C215" s="8" t="s">
        <v>3770</v>
      </c>
      <c r="D215" s="8"/>
      <c r="E215" s="8"/>
      <c r="F215" s="8" t="s">
        <v>3622</v>
      </c>
    </row>
    <row r="216" spans="1:6" ht="40.049999999999997" customHeight="1">
      <c r="A216" s="26">
        <v>215</v>
      </c>
      <c r="B216" s="25" t="s">
        <v>3771</v>
      </c>
      <c r="C216" s="8" t="s">
        <v>3772</v>
      </c>
      <c r="D216" s="8"/>
      <c r="E216" s="8"/>
      <c r="F216" s="8" t="s">
        <v>3689</v>
      </c>
    </row>
    <row r="217" spans="1:6" ht="40.049999999999997" customHeight="1">
      <c r="A217" s="26">
        <v>216</v>
      </c>
      <c r="B217" s="25" t="s">
        <v>3773</v>
      </c>
      <c r="C217" s="8" t="s">
        <v>3774</v>
      </c>
      <c r="D217" s="8"/>
      <c r="E217" s="8"/>
      <c r="F217" s="8" t="s">
        <v>3612</v>
      </c>
    </row>
    <row r="218" spans="1:6" ht="40.049999999999997" customHeight="1">
      <c r="A218" s="26">
        <v>217</v>
      </c>
      <c r="B218" s="25" t="s">
        <v>3775</v>
      </c>
      <c r="C218" s="8" t="s">
        <v>3776</v>
      </c>
      <c r="D218" s="8"/>
      <c r="E218" s="8"/>
      <c r="F218" s="8" t="s">
        <v>3409</v>
      </c>
    </row>
    <row r="219" spans="1:6" ht="40.049999999999997" customHeight="1">
      <c r="A219" s="26">
        <v>218</v>
      </c>
      <c r="B219" s="25" t="s">
        <v>3777</v>
      </c>
      <c r="C219" s="8" t="s">
        <v>3778</v>
      </c>
      <c r="D219" s="8"/>
      <c r="E219" s="8"/>
      <c r="F219" s="8" t="s">
        <v>3714</v>
      </c>
    </row>
    <row r="220" spans="1:6" ht="40.049999999999997" customHeight="1">
      <c r="A220" s="26">
        <v>219</v>
      </c>
      <c r="B220" s="25" t="s">
        <v>3779</v>
      </c>
      <c r="C220" s="8" t="s">
        <v>3780</v>
      </c>
      <c r="D220" s="8"/>
      <c r="E220" s="8"/>
      <c r="F220" s="8" t="s">
        <v>3621</v>
      </c>
    </row>
    <row r="221" spans="1:6" ht="40.049999999999997" customHeight="1">
      <c r="A221" s="26">
        <v>220</v>
      </c>
      <c r="B221" s="25" t="s">
        <v>3781</v>
      </c>
      <c r="C221" s="8" t="s">
        <v>3782</v>
      </c>
      <c r="D221" s="8"/>
      <c r="E221" s="8"/>
      <c r="F221" s="8" t="s">
        <v>3612</v>
      </c>
    </row>
    <row r="222" spans="1:6" ht="40.049999999999997" customHeight="1">
      <c r="A222" s="26">
        <v>221</v>
      </c>
      <c r="B222" s="25" t="s">
        <v>1947</v>
      </c>
      <c r="C222" s="8" t="s">
        <v>1948</v>
      </c>
      <c r="D222" s="8"/>
      <c r="E222" s="8"/>
      <c r="F222" s="8" t="s">
        <v>3612</v>
      </c>
    </row>
    <row r="223" spans="1:6" ht="40.049999999999997" customHeight="1">
      <c r="A223" s="26">
        <v>222</v>
      </c>
      <c r="B223" s="25" t="s">
        <v>2222</v>
      </c>
      <c r="C223" s="8" t="s">
        <v>2223</v>
      </c>
      <c r="D223" s="8"/>
      <c r="E223" s="8"/>
      <c r="F223" s="8" t="s">
        <v>3409</v>
      </c>
    </row>
    <row r="224" spans="1:6" ht="40.049999999999997" customHeight="1">
      <c r="A224" s="26">
        <v>223</v>
      </c>
      <c r="B224" s="25" t="s">
        <v>3783</v>
      </c>
      <c r="C224" s="8" t="s">
        <v>3784</v>
      </c>
      <c r="D224" s="8"/>
      <c r="E224" s="8"/>
      <c r="F224" s="8" t="s">
        <v>3230</v>
      </c>
    </row>
    <row r="225" spans="1:6" ht="40.049999999999997" customHeight="1">
      <c r="A225" s="26">
        <v>224</v>
      </c>
      <c r="B225" s="25" t="s">
        <v>760</v>
      </c>
      <c r="C225" s="8" t="s">
        <v>1969</v>
      </c>
      <c r="D225" s="8"/>
      <c r="E225" s="8"/>
      <c r="F225" s="8" t="s">
        <v>3612</v>
      </c>
    </row>
    <row r="226" spans="1:6" ht="40.049999999999997" customHeight="1">
      <c r="A226" s="26">
        <v>225</v>
      </c>
      <c r="B226" s="25" t="s">
        <v>2120</v>
      </c>
      <c r="C226" s="8" t="s">
        <v>2121</v>
      </c>
      <c r="D226" s="8"/>
      <c r="E226" s="8"/>
      <c r="F226" s="8" t="s">
        <v>3658</v>
      </c>
    </row>
    <row r="227" spans="1:6" ht="40.049999999999997" customHeight="1">
      <c r="A227" s="26">
        <v>226</v>
      </c>
      <c r="B227" s="25" t="s">
        <v>2123</v>
      </c>
      <c r="C227" s="8" t="s">
        <v>2124</v>
      </c>
      <c r="D227" s="8"/>
      <c r="E227" s="8"/>
      <c r="F227" s="8" t="s">
        <v>3658</v>
      </c>
    </row>
    <row r="228" spans="1:6" ht="40.049999999999997" customHeight="1">
      <c r="A228" s="26">
        <v>227</v>
      </c>
      <c r="B228" s="25" t="s">
        <v>2158</v>
      </c>
      <c r="C228" s="8" t="s">
        <v>2159</v>
      </c>
      <c r="D228" s="8"/>
      <c r="E228" s="8"/>
      <c r="F228" s="8" t="s">
        <v>3785</v>
      </c>
    </row>
    <row r="229" spans="1:6" ht="40.049999999999997" customHeight="1">
      <c r="A229" s="26">
        <v>228</v>
      </c>
      <c r="B229" s="25" t="s">
        <v>1118</v>
      </c>
      <c r="C229" s="8" t="s">
        <v>3786</v>
      </c>
      <c r="D229" s="8"/>
      <c r="E229" s="8"/>
      <c r="F229" s="8" t="s">
        <v>3409</v>
      </c>
    </row>
    <row r="230" spans="1:6" ht="40.049999999999997" customHeight="1">
      <c r="A230" s="26">
        <v>229</v>
      </c>
      <c r="B230" s="25" t="s">
        <v>1284</v>
      </c>
      <c r="C230" s="8" t="s">
        <v>3787</v>
      </c>
      <c r="D230" s="8"/>
      <c r="E230" s="8"/>
      <c r="F230" s="8" t="s">
        <v>3409</v>
      </c>
    </row>
    <row r="231" spans="1:6" ht="40.049999999999997" customHeight="1">
      <c r="A231" s="26">
        <v>230</v>
      </c>
      <c r="B231" s="25" t="s">
        <v>3788</v>
      </c>
      <c r="C231" s="8" t="s">
        <v>3789</v>
      </c>
      <c r="D231" s="8"/>
      <c r="E231" s="8"/>
      <c r="F231" s="8" t="s">
        <v>3622</v>
      </c>
    </row>
    <row r="232" spans="1:6" ht="40.049999999999997" customHeight="1">
      <c r="A232" s="26">
        <v>231</v>
      </c>
      <c r="B232" s="25" t="s">
        <v>1985</v>
      </c>
      <c r="C232" s="8" t="s">
        <v>1986</v>
      </c>
      <c r="D232" s="8"/>
      <c r="E232" s="8"/>
      <c r="F232" s="8" t="s">
        <v>3622</v>
      </c>
    </row>
    <row r="233" spans="1:6" ht="40.049999999999997" customHeight="1">
      <c r="A233" s="26">
        <v>232</v>
      </c>
      <c r="B233" s="25" t="s">
        <v>3790</v>
      </c>
      <c r="C233" s="8" t="s">
        <v>3791</v>
      </c>
      <c r="D233" s="8"/>
      <c r="E233" s="8"/>
      <c r="F233" s="8" t="s">
        <v>3622</v>
      </c>
    </row>
    <row r="234" spans="1:6" ht="40.049999999999997" customHeight="1">
      <c r="A234" s="26">
        <v>233</v>
      </c>
      <c r="B234" s="25" t="s">
        <v>2205</v>
      </c>
      <c r="C234" s="8" t="s">
        <v>2206</v>
      </c>
      <c r="D234" s="8"/>
      <c r="E234" s="8"/>
      <c r="F234" s="8" t="s">
        <v>3622</v>
      </c>
    </row>
    <row r="235" spans="1:6" ht="40.049999999999997" customHeight="1">
      <c r="A235" s="26">
        <v>234</v>
      </c>
      <c r="B235" s="25" t="s">
        <v>3792</v>
      </c>
      <c r="C235" s="8" t="s">
        <v>3793</v>
      </c>
      <c r="D235" s="8"/>
      <c r="E235" s="8"/>
      <c r="F235" s="8" t="s">
        <v>3612</v>
      </c>
    </row>
    <row r="236" spans="1:6" ht="40.049999999999997" customHeight="1">
      <c r="A236" s="26">
        <v>235</v>
      </c>
      <c r="B236" s="25" t="s">
        <v>1965</v>
      </c>
      <c r="C236" s="8" t="s">
        <v>1966</v>
      </c>
      <c r="D236" s="8"/>
      <c r="E236" s="8"/>
      <c r="F236" s="8" t="s">
        <v>3612</v>
      </c>
    </row>
    <row r="237" spans="1:6" ht="40.049999999999997" customHeight="1">
      <c r="A237" s="26">
        <v>236</v>
      </c>
      <c r="B237" s="25" t="s">
        <v>3794</v>
      </c>
      <c r="C237" s="8" t="s">
        <v>3795</v>
      </c>
      <c r="D237" s="8"/>
      <c r="E237" s="8"/>
      <c r="F237" s="8" t="s">
        <v>3612</v>
      </c>
    </row>
    <row r="238" spans="1:6" ht="40.049999999999997" customHeight="1">
      <c r="A238" s="26">
        <v>237</v>
      </c>
      <c r="B238" s="25" t="s">
        <v>3796</v>
      </c>
      <c r="C238" s="8" t="s">
        <v>3797</v>
      </c>
      <c r="D238" s="8"/>
      <c r="E238" s="8"/>
      <c r="F238" s="8" t="s">
        <v>3612</v>
      </c>
    </row>
    <row r="239" spans="1:6" ht="40.049999999999997" customHeight="1">
      <c r="A239" s="26">
        <v>238</v>
      </c>
      <c r="B239" s="25" t="s">
        <v>3798</v>
      </c>
      <c r="C239" s="8" t="s">
        <v>3799</v>
      </c>
      <c r="D239" s="8"/>
      <c r="E239" s="8"/>
      <c r="F239" s="8" t="s">
        <v>3612</v>
      </c>
    </row>
    <row r="240" spans="1:6" ht="40.049999999999997" customHeight="1">
      <c r="A240" s="26">
        <v>239</v>
      </c>
      <c r="B240" s="25" t="s">
        <v>3800</v>
      </c>
      <c r="C240" s="8" t="s">
        <v>3801</v>
      </c>
      <c r="D240" s="8"/>
      <c r="E240" s="8"/>
      <c r="F240" s="8" t="s">
        <v>3612</v>
      </c>
    </row>
    <row r="241" spans="1:6" ht="40.049999999999997" customHeight="1">
      <c r="A241" s="26">
        <v>240</v>
      </c>
      <c r="B241" s="25" t="s">
        <v>3802</v>
      </c>
      <c r="C241" s="8" t="s">
        <v>3803</v>
      </c>
      <c r="D241" s="8"/>
      <c r="E241" s="8"/>
      <c r="F241" s="8" t="s">
        <v>3612</v>
      </c>
    </row>
    <row r="242" spans="1:6" ht="40.049999999999997" customHeight="1">
      <c r="A242" s="26">
        <v>241</v>
      </c>
      <c r="B242" s="25" t="s">
        <v>3804</v>
      </c>
      <c r="C242" s="8" t="s">
        <v>3805</v>
      </c>
      <c r="D242" s="8"/>
      <c r="E242" s="8"/>
      <c r="F242" s="8" t="s">
        <v>3612</v>
      </c>
    </row>
    <row r="243" spans="1:6" ht="40.049999999999997" customHeight="1">
      <c r="A243" s="26">
        <v>242</v>
      </c>
      <c r="B243" s="25" t="s">
        <v>3806</v>
      </c>
      <c r="C243" s="8" t="s">
        <v>3807</v>
      </c>
      <c r="D243" s="8"/>
      <c r="E243" s="8"/>
      <c r="F243" s="8" t="s">
        <v>3612</v>
      </c>
    </row>
    <row r="244" spans="1:6" ht="40.049999999999997" customHeight="1">
      <c r="A244" s="26">
        <v>243</v>
      </c>
      <c r="B244" s="25" t="s">
        <v>1094</v>
      </c>
      <c r="C244" s="8" t="s">
        <v>3808</v>
      </c>
      <c r="D244" s="8"/>
      <c r="E244" s="8"/>
      <c r="F244" s="8" t="s">
        <v>3612</v>
      </c>
    </row>
    <row r="245" spans="1:6" ht="40.049999999999997" customHeight="1">
      <c r="A245" s="26">
        <v>244</v>
      </c>
      <c r="B245" s="25" t="s">
        <v>2263</v>
      </c>
      <c r="C245" s="8" t="s">
        <v>2264</v>
      </c>
      <c r="D245" s="8"/>
      <c r="E245" s="8"/>
      <c r="F245" s="8" t="s">
        <v>3612</v>
      </c>
    </row>
    <row r="246" spans="1:6" ht="40.049999999999997" customHeight="1">
      <c r="A246" s="26">
        <v>245</v>
      </c>
      <c r="B246" s="25" t="s">
        <v>3809</v>
      </c>
      <c r="C246" s="8" t="s">
        <v>3810</v>
      </c>
      <c r="D246" s="8"/>
      <c r="E246" s="8"/>
      <c r="F246" s="8" t="s">
        <v>3811</v>
      </c>
    </row>
    <row r="247" spans="1:6" ht="40.049999999999997" customHeight="1">
      <c r="A247" s="26">
        <v>246</v>
      </c>
      <c r="B247" s="25" t="s">
        <v>3812</v>
      </c>
      <c r="C247" s="8" t="s">
        <v>3813</v>
      </c>
      <c r="D247" s="8"/>
      <c r="E247" s="8"/>
      <c r="F247" s="8" t="s">
        <v>3409</v>
      </c>
    </row>
    <row r="248" spans="1:6" ht="40.049999999999997" customHeight="1">
      <c r="A248" s="26">
        <v>247</v>
      </c>
      <c r="B248" s="25" t="s">
        <v>1869</v>
      </c>
      <c r="C248" s="8" t="s">
        <v>1870</v>
      </c>
      <c r="D248" s="8"/>
      <c r="E248" s="8"/>
      <c r="F248" s="8" t="s">
        <v>3620</v>
      </c>
    </row>
    <row r="249" spans="1:6" ht="40.049999999999997" customHeight="1">
      <c r="A249" s="26">
        <v>248</v>
      </c>
      <c r="B249" s="25" t="s">
        <v>2117</v>
      </c>
      <c r="C249" s="8" t="s">
        <v>2118</v>
      </c>
      <c r="D249" s="8"/>
      <c r="E249" s="8"/>
      <c r="F249" s="8" t="s">
        <v>3409</v>
      </c>
    </row>
    <row r="250" spans="1:6" ht="40.049999999999997" customHeight="1">
      <c r="A250" s="26">
        <v>249</v>
      </c>
      <c r="B250" s="25" t="s">
        <v>1323</v>
      </c>
      <c r="C250" s="8" t="s">
        <v>1953</v>
      </c>
      <c r="D250" s="8"/>
      <c r="E250" s="8"/>
      <c r="F250" s="8" t="s">
        <v>3684</v>
      </c>
    </row>
    <row r="251" spans="1:6" ht="40.049999999999997" customHeight="1">
      <c r="A251" s="26">
        <v>250</v>
      </c>
      <c r="B251" s="25" t="s">
        <v>1082</v>
      </c>
      <c r="C251" s="8" t="s">
        <v>3814</v>
      </c>
      <c r="D251" s="8"/>
      <c r="E251" s="8"/>
      <c r="F251" s="8" t="s">
        <v>3684</v>
      </c>
    </row>
    <row r="252" spans="1:6" ht="40.049999999999997" customHeight="1">
      <c r="A252" s="26">
        <v>251</v>
      </c>
      <c r="B252" s="25" t="s">
        <v>3815</v>
      </c>
      <c r="C252" s="8" t="s">
        <v>3816</v>
      </c>
      <c r="D252" s="8"/>
      <c r="E252" s="8"/>
      <c r="F252" s="8" t="s">
        <v>3684</v>
      </c>
    </row>
    <row r="253" spans="1:6" ht="40.049999999999997" customHeight="1">
      <c r="A253" s="26">
        <v>252</v>
      </c>
      <c r="B253" s="25" t="s">
        <v>3817</v>
      </c>
      <c r="C253" s="8" t="s">
        <v>3818</v>
      </c>
      <c r="D253" s="8"/>
      <c r="E253" s="8"/>
      <c r="F253" s="8" t="s">
        <v>3409</v>
      </c>
    </row>
    <row r="254" spans="1:6" ht="40.049999999999997" customHeight="1">
      <c r="A254" s="26">
        <v>253</v>
      </c>
      <c r="B254" s="25" t="s">
        <v>2299</v>
      </c>
      <c r="C254" s="8" t="s">
        <v>2300</v>
      </c>
      <c r="D254" s="8"/>
      <c r="E254" s="8"/>
      <c r="F254" s="8" t="s">
        <v>3684</v>
      </c>
    </row>
    <row r="255" spans="1:6" ht="40.049999999999997" customHeight="1">
      <c r="A255" s="26">
        <v>254</v>
      </c>
      <c r="B255" s="25" t="s">
        <v>3819</v>
      </c>
      <c r="C255" s="8" t="s">
        <v>3820</v>
      </c>
      <c r="D255" s="8"/>
      <c r="E255" s="8"/>
      <c r="F255" s="8" t="s">
        <v>3684</v>
      </c>
    </row>
    <row r="256" spans="1:6" ht="40.049999999999997" customHeight="1">
      <c r="A256" s="26">
        <v>255</v>
      </c>
      <c r="B256" s="25" t="s">
        <v>2282</v>
      </c>
      <c r="C256" s="8" t="s">
        <v>2283</v>
      </c>
      <c r="D256" s="8"/>
      <c r="E256" s="8"/>
      <c r="F256" s="8" t="s">
        <v>3612</v>
      </c>
    </row>
    <row r="257" spans="1:6" ht="40.049999999999997" customHeight="1">
      <c r="A257" s="26">
        <v>256</v>
      </c>
      <c r="B257" s="25" t="s">
        <v>1133</v>
      </c>
      <c r="C257" s="8" t="s">
        <v>3821</v>
      </c>
      <c r="D257" s="8"/>
      <c r="E257" s="8"/>
      <c r="F257" s="8" t="s">
        <v>3678</v>
      </c>
    </row>
    <row r="258" spans="1:6" ht="40.049999999999997" customHeight="1">
      <c r="A258" s="26">
        <v>257</v>
      </c>
      <c r="B258" s="25" t="s">
        <v>1281</v>
      </c>
      <c r="C258" s="8" t="s">
        <v>1945</v>
      </c>
      <c r="D258" s="8"/>
      <c r="E258" s="8"/>
      <c r="F258" s="8" t="s">
        <v>3409</v>
      </c>
    </row>
    <row r="259" spans="1:6" ht="40.049999999999997" customHeight="1">
      <c r="A259" s="26">
        <v>258</v>
      </c>
      <c r="B259" s="25" t="s">
        <v>2074</v>
      </c>
      <c r="C259" s="8" t="s">
        <v>2075</v>
      </c>
      <c r="D259" s="8"/>
      <c r="E259" s="8"/>
      <c r="F259" s="8" t="s">
        <v>3621</v>
      </c>
    </row>
    <row r="260" spans="1:6" ht="40.049999999999997" customHeight="1">
      <c r="A260" s="26">
        <v>259</v>
      </c>
      <c r="B260" s="25" t="s">
        <v>1317</v>
      </c>
      <c r="C260" s="8" t="s">
        <v>2072</v>
      </c>
      <c r="D260" s="8"/>
      <c r="E260" s="8"/>
      <c r="F260" s="8" t="s">
        <v>3621</v>
      </c>
    </row>
    <row r="261" spans="1:6" ht="40.049999999999997" customHeight="1">
      <c r="A261" s="26">
        <v>260</v>
      </c>
      <c r="B261" s="25" t="s">
        <v>1221</v>
      </c>
      <c r="C261" s="8" t="s">
        <v>3822</v>
      </c>
      <c r="D261" s="8"/>
      <c r="E261" s="8"/>
      <c r="F261" s="8" t="s">
        <v>3621</v>
      </c>
    </row>
    <row r="262" spans="1:6" ht="40.049999999999997" customHeight="1">
      <c r="A262" s="26">
        <v>261</v>
      </c>
      <c r="B262" s="25" t="s">
        <v>2155</v>
      </c>
      <c r="C262" s="8" t="s">
        <v>2156</v>
      </c>
      <c r="D262" s="8"/>
      <c r="E262" s="8"/>
      <c r="F262" s="8" t="s">
        <v>3409</v>
      </c>
    </row>
    <row r="263" spans="1:6" ht="40.049999999999997" customHeight="1">
      <c r="A263" s="26">
        <v>262</v>
      </c>
      <c r="B263" s="25" t="s">
        <v>1903</v>
      </c>
      <c r="C263" s="8" t="s">
        <v>1904</v>
      </c>
      <c r="D263" s="8"/>
      <c r="E263" s="8"/>
      <c r="F263" s="8" t="s">
        <v>3642</v>
      </c>
    </row>
    <row r="264" spans="1:6" ht="40.049999999999997" customHeight="1">
      <c r="A264" s="26">
        <v>263</v>
      </c>
      <c r="B264" s="25" t="s">
        <v>3823</v>
      </c>
      <c r="C264" s="8" t="s">
        <v>3824</v>
      </c>
      <c r="D264" s="8"/>
      <c r="E264" s="8"/>
      <c r="F264" s="8" t="s">
        <v>3612</v>
      </c>
    </row>
    <row r="265" spans="1:6" ht="40.049999999999997" customHeight="1">
      <c r="A265" s="26">
        <v>264</v>
      </c>
      <c r="B265" s="25" t="s">
        <v>3825</v>
      </c>
      <c r="C265" s="8" t="s">
        <v>3826</v>
      </c>
      <c r="D265" s="8"/>
      <c r="E265" s="8"/>
      <c r="F265" s="8" t="s">
        <v>3612</v>
      </c>
    </row>
    <row r="266" spans="1:6" ht="40.049999999999997" customHeight="1">
      <c r="A266" s="26">
        <v>265</v>
      </c>
      <c r="B266" s="25" t="s">
        <v>3827</v>
      </c>
      <c r="C266" s="8" t="s">
        <v>3828</v>
      </c>
      <c r="D266" s="8"/>
      <c r="E266" s="8"/>
      <c r="F266" s="8" t="s">
        <v>3612</v>
      </c>
    </row>
    <row r="267" spans="1:6" ht="40.049999999999997" customHeight="1">
      <c r="A267" s="26">
        <v>266</v>
      </c>
      <c r="B267" s="25" t="s">
        <v>1257</v>
      </c>
      <c r="C267" s="8" t="s">
        <v>3829</v>
      </c>
      <c r="D267" s="8"/>
      <c r="E267" s="8"/>
      <c r="F267" s="8" t="s">
        <v>3612</v>
      </c>
    </row>
    <row r="268" spans="1:6" ht="40.049999999999997" customHeight="1">
      <c r="A268" s="26">
        <v>267</v>
      </c>
      <c r="B268" s="25" t="s">
        <v>3830</v>
      </c>
      <c r="C268" s="8" t="s">
        <v>3831</v>
      </c>
      <c r="D268" s="8"/>
      <c r="E268" s="8"/>
      <c r="F268" s="8" t="s">
        <v>3612</v>
      </c>
    </row>
    <row r="269" spans="1:6" ht="40.049999999999997" customHeight="1">
      <c r="A269" s="26">
        <v>268</v>
      </c>
      <c r="B269" s="25" t="s">
        <v>1347</v>
      </c>
      <c r="C269" s="8" t="s">
        <v>3832</v>
      </c>
      <c r="D269" s="8"/>
      <c r="E269" s="8"/>
      <c r="F269" s="8" t="s">
        <v>3612</v>
      </c>
    </row>
    <row r="270" spans="1:6" ht="40.049999999999997" customHeight="1">
      <c r="A270" s="26">
        <v>269</v>
      </c>
      <c r="B270" s="25" t="s">
        <v>3833</v>
      </c>
      <c r="C270" s="8" t="s">
        <v>3834</v>
      </c>
      <c r="D270" s="8"/>
      <c r="E270" s="8"/>
      <c r="F270" s="8" t="s">
        <v>3622</v>
      </c>
    </row>
    <row r="271" spans="1:6" ht="40.049999999999997" customHeight="1">
      <c r="A271" s="26">
        <v>270</v>
      </c>
      <c r="B271" s="25" t="s">
        <v>808</v>
      </c>
      <c r="C271" s="8" t="s">
        <v>3835</v>
      </c>
      <c r="D271" s="8"/>
      <c r="E271" s="8"/>
      <c r="F271" s="8" t="s">
        <v>3409</v>
      </c>
    </row>
    <row r="272" spans="1:6" ht="40.049999999999997" customHeight="1">
      <c r="A272" s="26">
        <v>271</v>
      </c>
      <c r="B272" s="25" t="s">
        <v>712</v>
      </c>
      <c r="C272" s="8" t="s">
        <v>3836</v>
      </c>
      <c r="D272" s="8"/>
      <c r="E272" s="8"/>
      <c r="F272" s="8" t="s">
        <v>3409</v>
      </c>
    </row>
    <row r="273" spans="1:6" ht="40.049999999999997" customHeight="1">
      <c r="A273" s="26">
        <v>272</v>
      </c>
      <c r="B273" s="25" t="s">
        <v>3837</v>
      </c>
      <c r="C273" s="8" t="s">
        <v>3838</v>
      </c>
      <c r="D273" s="8"/>
      <c r="E273" s="8"/>
      <c r="F273" s="8" t="s">
        <v>3612</v>
      </c>
    </row>
    <row r="274" spans="1:6" ht="40.049999999999997" customHeight="1">
      <c r="A274" s="26">
        <v>273</v>
      </c>
      <c r="B274" s="25" t="s">
        <v>3839</v>
      </c>
      <c r="C274" s="8" t="s">
        <v>3840</v>
      </c>
      <c r="D274" s="8"/>
      <c r="E274" s="8"/>
      <c r="F274" s="8" t="s">
        <v>3612</v>
      </c>
    </row>
    <row r="275" spans="1:6" ht="40.049999999999997" customHeight="1">
      <c r="A275" s="26">
        <v>274</v>
      </c>
      <c r="B275" s="25" t="s">
        <v>3841</v>
      </c>
      <c r="C275" s="8" t="s">
        <v>3842</v>
      </c>
      <c r="D275" s="8"/>
      <c r="E275" s="8"/>
      <c r="F275" s="8" t="s">
        <v>3612</v>
      </c>
    </row>
    <row r="276" spans="1:6" ht="40.049999999999997" customHeight="1">
      <c r="A276" s="26">
        <v>275</v>
      </c>
      <c r="B276" s="25" t="s">
        <v>1085</v>
      </c>
      <c r="C276" s="8" t="s">
        <v>1918</v>
      </c>
      <c r="D276" s="8"/>
      <c r="E276" s="8"/>
      <c r="F276" s="8" t="s">
        <v>3612</v>
      </c>
    </row>
    <row r="277" spans="1:6" ht="40.049999999999997" customHeight="1">
      <c r="A277" s="26">
        <v>276</v>
      </c>
      <c r="B277" s="25" t="s">
        <v>1915</v>
      </c>
      <c r="C277" s="8" t="s">
        <v>1916</v>
      </c>
      <c r="D277" s="8"/>
      <c r="E277" s="8"/>
      <c r="F277" s="8" t="s">
        <v>3612</v>
      </c>
    </row>
    <row r="278" spans="1:6" ht="40.049999999999997" customHeight="1">
      <c r="A278" s="26">
        <v>277</v>
      </c>
      <c r="B278" s="25" t="s">
        <v>2219</v>
      </c>
      <c r="C278" s="8" t="s">
        <v>2220</v>
      </c>
      <c r="D278" s="8"/>
      <c r="E278" s="8"/>
      <c r="F278" s="8" t="s">
        <v>3620</v>
      </c>
    </row>
    <row r="279" spans="1:6">
      <c r="A279" s="1"/>
      <c r="B279" s="1"/>
      <c r="C279" s="1"/>
      <c r="D279" s="1"/>
      <c r="E279" s="1"/>
      <c r="F279" s="1"/>
    </row>
    <row r="280" spans="1:6">
      <c r="A280" s="1"/>
      <c r="B280" s="1"/>
      <c r="C280" s="1"/>
      <c r="D280" s="1"/>
      <c r="E280" s="1"/>
      <c r="F280" s="1"/>
    </row>
    <row r="281" spans="1:6">
      <c r="A281" s="1" t="s">
        <v>3843</v>
      </c>
      <c r="B281" s="1"/>
      <c r="C281" s="1"/>
      <c r="D281" s="1"/>
      <c r="E281" s="1"/>
      <c r="F281" s="1"/>
    </row>
    <row r="282" spans="1:6" ht="43.05" customHeight="1">
      <c r="A282" s="7" t="s">
        <v>3844</v>
      </c>
      <c r="B282" s="7" t="s">
        <v>3845</v>
      </c>
      <c r="C282" s="7" t="s">
        <v>3846</v>
      </c>
      <c r="D282" s="7" t="s">
        <v>3847</v>
      </c>
      <c r="E282" s="1"/>
      <c r="F282" s="1"/>
    </row>
    <row r="283" spans="1:6" ht="120" customHeight="1">
      <c r="A283" s="8" t="s">
        <v>107</v>
      </c>
      <c r="B283" s="8" t="s">
        <v>3848</v>
      </c>
      <c r="C283" s="8" t="s">
        <v>3849</v>
      </c>
      <c r="D283" s="8" t="s">
        <v>3850</v>
      </c>
      <c r="E283" s="1"/>
      <c r="F283" s="1"/>
    </row>
    <row r="284" spans="1:6" ht="120" customHeight="1">
      <c r="A284" s="8" t="s">
        <v>457</v>
      </c>
      <c r="B284" s="8" t="s">
        <v>3851</v>
      </c>
      <c r="C284" s="8" t="s">
        <v>3852</v>
      </c>
      <c r="D284" s="8" t="s">
        <v>3853</v>
      </c>
      <c r="E284" s="1"/>
      <c r="F284" s="1"/>
    </row>
    <row r="285" spans="1:6" ht="120" customHeight="1">
      <c r="A285" s="8" t="s">
        <v>457</v>
      </c>
      <c r="B285" s="8" t="s">
        <v>3854</v>
      </c>
      <c r="C285" s="8" t="s">
        <v>3855</v>
      </c>
      <c r="D285" s="8" t="s">
        <v>3856</v>
      </c>
      <c r="E285" s="1"/>
      <c r="F285" s="1"/>
    </row>
    <row r="286" spans="1:6">
      <c r="A286" s="1"/>
      <c r="B286" s="1"/>
      <c r="C286" s="1"/>
      <c r="D286" s="1"/>
      <c r="E286" s="1"/>
      <c r="F286" s="1"/>
    </row>
    <row r="287" spans="1:6">
      <c r="A287" s="1"/>
      <c r="B287" s="1"/>
      <c r="C287" s="1"/>
      <c r="D287" s="1"/>
      <c r="E287" s="1"/>
      <c r="F287" s="1"/>
    </row>
    <row r="288" spans="1:6">
      <c r="A288" s="1"/>
      <c r="B288" s="1"/>
      <c r="C288" s="1"/>
      <c r="D288" s="1"/>
      <c r="E288" s="1"/>
      <c r="F288" s="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7766A"/>
  </sheetPr>
  <dimension ref="A2:J2759"/>
  <sheetViews>
    <sheetView showGridLines="0" workbookViewId="0">
      <pane xSplit="2" ySplit="6" topLeftCell="C7" activePane="bottomRight" state="frozen"/>
      <selection activeCell="D7" sqref="D7"/>
      <selection pane="topRight" activeCell="D7" sqref="D7"/>
      <selection pane="bottomLeft" activeCell="D7" sqref="D7"/>
      <selection pane="bottomRight" activeCell="D7" sqref="D7"/>
    </sheetView>
  </sheetViews>
  <sheetFormatPr baseColWidth="10" defaultColWidth="8.796875" defaultRowHeight="13.8"/>
  <cols>
    <col min="1" max="1" width="19" customWidth="1"/>
    <col min="2" max="2" width="22" customWidth="1"/>
    <col min="3" max="3" width="65" customWidth="1"/>
    <col min="4" max="4" width="22" customWidth="1"/>
    <col min="5" max="5" width="3" customWidth="1"/>
    <col min="6" max="6" width="14" customWidth="1"/>
    <col min="7" max="7" width="18" customWidth="1"/>
    <col min="8" max="8" width="54" customWidth="1"/>
    <col min="9" max="9" width="30" customWidth="1"/>
    <col min="10" max="10" width="80" customWidth="1"/>
  </cols>
  <sheetData>
    <row r="2" spans="1:10" ht="31.05" customHeight="1">
      <c r="A2" s="2" t="s">
        <v>3857</v>
      </c>
      <c r="B2" s="1"/>
      <c r="C2" s="1"/>
      <c r="D2" s="1"/>
    </row>
    <row r="3" spans="1:10" ht="31.95" customHeight="1">
      <c r="A3" s="53" t="s">
        <v>3858</v>
      </c>
      <c r="B3" s="48"/>
      <c r="C3" s="48"/>
      <c r="D3" s="48"/>
    </row>
    <row r="4" spans="1:10" ht="31.95" customHeight="1">
      <c r="A4" s="53" t="s">
        <v>3859</v>
      </c>
      <c r="B4" s="48"/>
      <c r="C4" s="48"/>
      <c r="D4" s="48"/>
    </row>
    <row r="5" spans="1:10" ht="31.95" customHeight="1">
      <c r="A5" s="53" t="s">
        <v>3860</v>
      </c>
      <c r="B5" s="48"/>
      <c r="C5" s="48"/>
      <c r="D5" s="48"/>
      <c r="F5" t="s">
        <v>3861</v>
      </c>
    </row>
    <row r="6" spans="1:10" ht="43.05" customHeight="1">
      <c r="A6" s="7" t="s">
        <v>3096</v>
      </c>
      <c r="B6" s="7" t="s">
        <v>3862</v>
      </c>
      <c r="C6" s="7" t="s">
        <v>3863</v>
      </c>
      <c r="D6" s="7" t="s">
        <v>3864</v>
      </c>
      <c r="F6" s="7" t="s">
        <v>3865</v>
      </c>
      <c r="G6" s="7" t="s">
        <v>3844</v>
      </c>
      <c r="H6" s="7" t="s">
        <v>3845</v>
      </c>
      <c r="I6" s="7" t="s">
        <v>3846</v>
      </c>
      <c r="J6" s="7" t="s">
        <v>3847</v>
      </c>
    </row>
    <row r="7" spans="1:10" ht="100.05" customHeight="1">
      <c r="A7" s="26">
        <v>2</v>
      </c>
      <c r="B7" s="25" t="s">
        <v>3866</v>
      </c>
      <c r="C7" s="8" t="s">
        <v>3867</v>
      </c>
      <c r="D7" s="8" t="s">
        <v>3868</v>
      </c>
      <c r="F7" s="9" t="s">
        <v>3869</v>
      </c>
      <c r="G7" s="9" t="s">
        <v>132</v>
      </c>
      <c r="H7" s="9" t="s">
        <v>3870</v>
      </c>
      <c r="I7" s="9" t="s">
        <v>3871</v>
      </c>
      <c r="J7" s="9" t="s">
        <v>3872</v>
      </c>
    </row>
    <row r="8" spans="1:10" ht="100.05" customHeight="1">
      <c r="A8" s="26">
        <v>3</v>
      </c>
      <c r="B8" s="25" t="s">
        <v>3873</v>
      </c>
      <c r="C8" s="8" t="s">
        <v>3874</v>
      </c>
      <c r="D8" s="8" t="s">
        <v>3868</v>
      </c>
      <c r="F8" s="9" t="s">
        <v>3875</v>
      </c>
      <c r="G8" s="9" t="s">
        <v>136</v>
      </c>
      <c r="H8" s="9" t="s">
        <v>3876</v>
      </c>
      <c r="I8" s="9" t="s">
        <v>3877</v>
      </c>
      <c r="J8" s="9" t="s">
        <v>3878</v>
      </c>
    </row>
    <row r="9" spans="1:10" ht="100.05" customHeight="1">
      <c r="A9" s="26">
        <v>4</v>
      </c>
      <c r="B9" s="25" t="s">
        <v>2346</v>
      </c>
      <c r="C9" s="8" t="s">
        <v>2347</v>
      </c>
      <c r="D9" s="8" t="s">
        <v>3879</v>
      </c>
      <c r="F9" s="9" t="s">
        <v>3880</v>
      </c>
      <c r="G9" s="9" t="s">
        <v>226</v>
      </c>
      <c r="H9" s="9" t="s">
        <v>3881</v>
      </c>
      <c r="I9" s="9" t="s">
        <v>3882</v>
      </c>
      <c r="J9" s="9" t="s">
        <v>3883</v>
      </c>
    </row>
    <row r="10" spans="1:10" ht="100.05" customHeight="1">
      <c r="A10" s="26">
        <v>5</v>
      </c>
      <c r="B10" s="25" t="s">
        <v>3030</v>
      </c>
      <c r="C10" s="8" t="s">
        <v>3031</v>
      </c>
      <c r="D10" s="8" t="s">
        <v>3868</v>
      </c>
      <c r="F10" s="9" t="s">
        <v>3884</v>
      </c>
      <c r="G10" s="9" t="s">
        <v>232</v>
      </c>
      <c r="H10" s="9" t="s">
        <v>3885</v>
      </c>
      <c r="I10" s="9" t="s">
        <v>3886</v>
      </c>
      <c r="J10" s="9" t="s">
        <v>3887</v>
      </c>
    </row>
    <row r="11" spans="1:10" ht="100.05" customHeight="1">
      <c r="A11" s="26">
        <v>6</v>
      </c>
      <c r="B11" s="25" t="s">
        <v>3888</v>
      </c>
      <c r="C11" s="8" t="s">
        <v>3889</v>
      </c>
      <c r="D11" s="8" t="s">
        <v>3868</v>
      </c>
      <c r="F11" s="9" t="s">
        <v>3890</v>
      </c>
      <c r="G11" s="9" t="s">
        <v>252</v>
      </c>
      <c r="H11" s="9" t="s">
        <v>3891</v>
      </c>
      <c r="I11" s="9" t="s">
        <v>3892</v>
      </c>
      <c r="J11" s="9" t="s">
        <v>3893</v>
      </c>
    </row>
    <row r="12" spans="1:10" ht="100.05" customHeight="1">
      <c r="A12" s="26">
        <v>7</v>
      </c>
      <c r="B12" s="25" t="s">
        <v>3894</v>
      </c>
      <c r="C12" s="8" t="s">
        <v>3895</v>
      </c>
      <c r="D12" s="8" t="s">
        <v>3868</v>
      </c>
      <c r="F12" s="9" t="s">
        <v>3896</v>
      </c>
      <c r="G12" s="9" t="s">
        <v>252</v>
      </c>
      <c r="H12" s="9" t="s">
        <v>3897</v>
      </c>
      <c r="I12" s="9" t="s">
        <v>3898</v>
      </c>
      <c r="J12" s="9" t="s">
        <v>3899</v>
      </c>
    </row>
    <row r="13" spans="1:10" ht="100.05" customHeight="1">
      <c r="A13" s="26">
        <v>8</v>
      </c>
      <c r="B13" s="25" t="s">
        <v>2887</v>
      </c>
      <c r="C13" s="8" t="s">
        <v>2888</v>
      </c>
      <c r="D13" s="8" t="s">
        <v>3868</v>
      </c>
      <c r="F13" s="9" t="s">
        <v>3900</v>
      </c>
      <c r="G13" s="9" t="s">
        <v>282</v>
      </c>
      <c r="H13" s="9" t="s">
        <v>3901</v>
      </c>
      <c r="I13" s="9" t="s">
        <v>3902</v>
      </c>
      <c r="J13" s="9" t="s">
        <v>3903</v>
      </c>
    </row>
    <row r="14" spans="1:10" ht="100.05" customHeight="1">
      <c r="A14" s="26">
        <v>9</v>
      </c>
      <c r="B14" s="25" t="s">
        <v>3904</v>
      </c>
      <c r="C14" s="8" t="s">
        <v>3905</v>
      </c>
      <c r="D14" s="8" t="s">
        <v>3868</v>
      </c>
      <c r="F14" s="9" t="s">
        <v>3906</v>
      </c>
      <c r="G14" s="9" t="s">
        <v>650</v>
      </c>
      <c r="H14" s="9" t="s">
        <v>3907</v>
      </c>
      <c r="I14" s="9" t="s">
        <v>3908</v>
      </c>
      <c r="J14" s="9" t="s">
        <v>3909</v>
      </c>
    </row>
    <row r="15" spans="1:10" ht="36" customHeight="1">
      <c r="A15" s="26">
        <v>10</v>
      </c>
      <c r="B15" s="25" t="s">
        <v>2878</v>
      </c>
      <c r="C15" s="8" t="s">
        <v>2879</v>
      </c>
      <c r="D15" s="8" t="s">
        <v>3868</v>
      </c>
    </row>
    <row r="16" spans="1:10" ht="36" customHeight="1">
      <c r="A16" s="26">
        <v>11</v>
      </c>
      <c r="B16" s="25" t="s">
        <v>2893</v>
      </c>
      <c r="C16" s="8" t="s">
        <v>2894</v>
      </c>
      <c r="D16" s="8" t="s">
        <v>3868</v>
      </c>
    </row>
    <row r="17" spans="1:4" ht="36" customHeight="1">
      <c r="A17" s="26">
        <v>12</v>
      </c>
      <c r="B17" s="25" t="s">
        <v>3910</v>
      </c>
      <c r="C17" s="8" t="s">
        <v>3911</v>
      </c>
      <c r="D17" s="8" t="s">
        <v>3879</v>
      </c>
    </row>
    <row r="18" spans="1:4" ht="36" customHeight="1">
      <c r="A18" s="26">
        <v>13</v>
      </c>
      <c r="B18" s="25" t="s">
        <v>2634</v>
      </c>
      <c r="C18" s="8" t="s">
        <v>2635</v>
      </c>
      <c r="D18" s="8" t="s">
        <v>3879</v>
      </c>
    </row>
    <row r="19" spans="1:4" ht="36" customHeight="1">
      <c r="A19" s="26">
        <v>14</v>
      </c>
      <c r="B19" s="25" t="s">
        <v>2634</v>
      </c>
      <c r="C19" s="8" t="s">
        <v>2635</v>
      </c>
      <c r="D19" s="8" t="s">
        <v>3879</v>
      </c>
    </row>
    <row r="20" spans="1:4" ht="36" customHeight="1">
      <c r="A20" s="26">
        <v>15</v>
      </c>
      <c r="B20" s="25" t="s">
        <v>2896</v>
      </c>
      <c r="C20" s="8" t="s">
        <v>2897</v>
      </c>
      <c r="D20" s="8" t="s">
        <v>3868</v>
      </c>
    </row>
    <row r="21" spans="1:4" ht="36" customHeight="1">
      <c r="A21" s="26">
        <v>16</v>
      </c>
      <c r="B21" s="25" t="s">
        <v>2748</v>
      </c>
      <c r="C21" s="8" t="s">
        <v>2749</v>
      </c>
      <c r="D21" s="8" t="s">
        <v>3879</v>
      </c>
    </row>
    <row r="22" spans="1:4" ht="36" customHeight="1">
      <c r="A22" s="26">
        <v>17</v>
      </c>
      <c r="B22" s="25" t="s">
        <v>2637</v>
      </c>
      <c r="C22" s="8" t="s">
        <v>2638</v>
      </c>
      <c r="D22" s="8" t="s">
        <v>3879</v>
      </c>
    </row>
    <row r="23" spans="1:4" ht="36" customHeight="1">
      <c r="A23" s="26">
        <v>18</v>
      </c>
      <c r="B23" s="25" t="s">
        <v>2739</v>
      </c>
      <c r="C23" s="8" t="s">
        <v>2740</v>
      </c>
      <c r="D23" s="8" t="s">
        <v>3879</v>
      </c>
    </row>
    <row r="24" spans="1:4" ht="36" customHeight="1">
      <c r="A24" s="26">
        <v>19</v>
      </c>
      <c r="B24" s="25" t="s">
        <v>2899</v>
      </c>
      <c r="C24" s="8" t="s">
        <v>2900</v>
      </c>
      <c r="D24" s="8" t="s">
        <v>3868</v>
      </c>
    </row>
    <row r="25" spans="1:4" ht="36" customHeight="1">
      <c r="A25" s="26">
        <v>20</v>
      </c>
      <c r="B25" s="25" t="s">
        <v>2625</v>
      </c>
      <c r="C25" s="8" t="s">
        <v>2626</v>
      </c>
      <c r="D25" s="8" t="s">
        <v>3879</v>
      </c>
    </row>
    <row r="26" spans="1:4" ht="36" customHeight="1">
      <c r="A26" s="26">
        <v>21</v>
      </c>
      <c r="B26" s="25" t="s">
        <v>3912</v>
      </c>
      <c r="C26" s="8" t="s">
        <v>3913</v>
      </c>
      <c r="D26" s="8" t="s">
        <v>3879</v>
      </c>
    </row>
    <row r="27" spans="1:4" ht="36" customHeight="1">
      <c r="A27" s="26">
        <v>22</v>
      </c>
      <c r="B27" s="25" t="s">
        <v>2727</v>
      </c>
      <c r="C27" s="8" t="s">
        <v>2728</v>
      </c>
      <c r="D27" s="8" t="s">
        <v>3879</v>
      </c>
    </row>
    <row r="28" spans="1:4" ht="36" customHeight="1">
      <c r="A28" s="26">
        <v>23</v>
      </c>
      <c r="B28" s="25" t="s">
        <v>2640</v>
      </c>
      <c r="C28" s="8" t="s">
        <v>2641</v>
      </c>
      <c r="D28" s="8" t="s">
        <v>3879</v>
      </c>
    </row>
    <row r="29" spans="1:4" ht="36" customHeight="1">
      <c r="A29" s="26">
        <v>24</v>
      </c>
      <c r="B29" s="25" t="s">
        <v>2869</v>
      </c>
      <c r="C29" s="8" t="s">
        <v>2870</v>
      </c>
      <c r="D29" s="8" t="s">
        <v>3868</v>
      </c>
    </row>
    <row r="30" spans="1:4" ht="36" customHeight="1">
      <c r="A30" s="26">
        <v>25</v>
      </c>
      <c r="B30" s="25" t="s">
        <v>2346</v>
      </c>
      <c r="C30" s="8" t="s">
        <v>2347</v>
      </c>
      <c r="D30" s="8" t="s">
        <v>3879</v>
      </c>
    </row>
    <row r="31" spans="1:4" ht="36" customHeight="1">
      <c r="A31" s="26">
        <v>26</v>
      </c>
      <c r="B31" s="25" t="s">
        <v>2634</v>
      </c>
      <c r="C31" s="8" t="s">
        <v>2635</v>
      </c>
      <c r="D31" s="8" t="s">
        <v>3879</v>
      </c>
    </row>
    <row r="32" spans="1:4" ht="36" customHeight="1">
      <c r="A32" s="26">
        <v>27</v>
      </c>
      <c r="B32" s="25" t="s">
        <v>3914</v>
      </c>
      <c r="C32" s="8" t="s">
        <v>3915</v>
      </c>
      <c r="D32" s="8" t="s">
        <v>3868</v>
      </c>
    </row>
    <row r="33" spans="1:4" ht="36" customHeight="1">
      <c r="A33" s="26">
        <v>28</v>
      </c>
      <c r="B33" s="25" t="s">
        <v>2884</v>
      </c>
      <c r="C33" s="8" t="s">
        <v>2885</v>
      </c>
      <c r="D33" s="8" t="s">
        <v>3868</v>
      </c>
    </row>
    <row r="34" spans="1:4" ht="36" customHeight="1">
      <c r="A34" s="26">
        <v>29</v>
      </c>
      <c r="B34" s="25" t="s">
        <v>3916</v>
      </c>
      <c r="C34" s="8" t="s">
        <v>3917</v>
      </c>
      <c r="D34" s="8" t="s">
        <v>3879</v>
      </c>
    </row>
    <row r="35" spans="1:4" ht="36" customHeight="1">
      <c r="A35" s="26">
        <v>30</v>
      </c>
      <c r="B35" s="25" t="s">
        <v>2628</v>
      </c>
      <c r="C35" s="8" t="s">
        <v>2629</v>
      </c>
      <c r="D35" s="8" t="s">
        <v>3879</v>
      </c>
    </row>
    <row r="36" spans="1:4" ht="36" customHeight="1">
      <c r="A36" s="26">
        <v>31</v>
      </c>
      <c r="B36" s="25" t="s">
        <v>3918</v>
      </c>
      <c r="C36" s="8" t="s">
        <v>3919</v>
      </c>
      <c r="D36" s="8" t="s">
        <v>3868</v>
      </c>
    </row>
    <row r="37" spans="1:4" ht="36" customHeight="1">
      <c r="A37" s="26">
        <v>32</v>
      </c>
      <c r="B37" s="25" t="s">
        <v>3920</v>
      </c>
      <c r="C37" s="8" t="s">
        <v>3921</v>
      </c>
      <c r="D37" s="8" t="s">
        <v>3868</v>
      </c>
    </row>
    <row r="38" spans="1:4" ht="36" customHeight="1">
      <c r="A38" s="26">
        <v>33</v>
      </c>
      <c r="B38" s="25" t="s">
        <v>2926</v>
      </c>
      <c r="C38" s="8" t="s">
        <v>2927</v>
      </c>
      <c r="D38" s="8" t="s">
        <v>3868</v>
      </c>
    </row>
    <row r="39" spans="1:4" ht="36" customHeight="1">
      <c r="A39" s="26">
        <v>34</v>
      </c>
      <c r="B39" s="25" t="s">
        <v>3922</v>
      </c>
      <c r="C39" s="8" t="s">
        <v>3923</v>
      </c>
      <c r="D39" s="8" t="s">
        <v>3868</v>
      </c>
    </row>
    <row r="40" spans="1:4" ht="36" customHeight="1">
      <c r="A40" s="26">
        <v>35</v>
      </c>
      <c r="B40" s="25" t="s">
        <v>3924</v>
      </c>
      <c r="C40" s="8" t="s">
        <v>3925</v>
      </c>
      <c r="D40" s="8" t="s">
        <v>3868</v>
      </c>
    </row>
    <row r="41" spans="1:4" ht="36" customHeight="1">
      <c r="A41" s="26">
        <v>36</v>
      </c>
      <c r="B41" s="25" t="s">
        <v>3926</v>
      </c>
      <c r="C41" s="8" t="s">
        <v>3927</v>
      </c>
      <c r="D41" s="8" t="s">
        <v>3879</v>
      </c>
    </row>
    <row r="42" spans="1:4" ht="36" customHeight="1">
      <c r="A42" s="26">
        <v>37</v>
      </c>
      <c r="B42" s="25" t="s">
        <v>3928</v>
      </c>
      <c r="C42" s="8" t="s">
        <v>3929</v>
      </c>
      <c r="D42" s="8" t="s">
        <v>3930</v>
      </c>
    </row>
    <row r="43" spans="1:4" ht="36" customHeight="1">
      <c r="A43" s="26">
        <v>38</v>
      </c>
      <c r="B43" s="25" t="s">
        <v>2730</v>
      </c>
      <c r="C43" s="8" t="s">
        <v>2731</v>
      </c>
      <c r="D43" s="8" t="s">
        <v>3879</v>
      </c>
    </row>
    <row r="44" spans="1:4" ht="36" customHeight="1">
      <c r="A44" s="26">
        <v>39</v>
      </c>
      <c r="B44" s="25" t="s">
        <v>2628</v>
      </c>
      <c r="C44" s="8" t="s">
        <v>2629</v>
      </c>
      <c r="D44" s="8" t="s">
        <v>3879</v>
      </c>
    </row>
    <row r="45" spans="1:4" ht="36" customHeight="1">
      <c r="A45" s="26">
        <v>40</v>
      </c>
      <c r="B45" s="25" t="s">
        <v>2634</v>
      </c>
      <c r="C45" s="8" t="s">
        <v>2635</v>
      </c>
      <c r="D45" s="8" t="s">
        <v>3879</v>
      </c>
    </row>
    <row r="46" spans="1:4" ht="36" customHeight="1">
      <c r="A46" s="26">
        <v>41</v>
      </c>
      <c r="B46" s="25" t="s">
        <v>2634</v>
      </c>
      <c r="C46" s="8" t="s">
        <v>2635</v>
      </c>
      <c r="D46" s="8" t="s">
        <v>3879</v>
      </c>
    </row>
    <row r="47" spans="1:4" ht="36" customHeight="1">
      <c r="A47" s="26">
        <v>42</v>
      </c>
      <c r="B47" s="25" t="s">
        <v>2872</v>
      </c>
      <c r="C47" s="8" t="s">
        <v>2873</v>
      </c>
      <c r="D47" s="8" t="s">
        <v>3868</v>
      </c>
    </row>
    <row r="48" spans="1:4" ht="36" customHeight="1">
      <c r="A48" s="26">
        <v>43</v>
      </c>
      <c r="B48" s="25" t="s">
        <v>2923</v>
      </c>
      <c r="C48" s="8" t="s">
        <v>2924</v>
      </c>
      <c r="D48" s="8" t="s">
        <v>3868</v>
      </c>
    </row>
    <row r="49" spans="1:4" ht="36" customHeight="1">
      <c r="A49" s="26">
        <v>44</v>
      </c>
      <c r="B49" s="25" t="s">
        <v>3931</v>
      </c>
      <c r="C49" s="8" t="s">
        <v>3932</v>
      </c>
      <c r="D49" s="8" t="s">
        <v>3868</v>
      </c>
    </row>
    <row r="50" spans="1:4" ht="36" customHeight="1">
      <c r="A50" s="26">
        <v>45</v>
      </c>
      <c r="B50" s="25" t="s">
        <v>2628</v>
      </c>
      <c r="C50" s="8" t="s">
        <v>2629</v>
      </c>
      <c r="D50" s="8" t="s">
        <v>3879</v>
      </c>
    </row>
    <row r="51" spans="1:4" ht="36" customHeight="1">
      <c r="A51" s="26">
        <v>46</v>
      </c>
      <c r="B51" s="25" t="s">
        <v>2661</v>
      </c>
      <c r="C51" s="8" t="s">
        <v>2662</v>
      </c>
      <c r="D51" s="8" t="s">
        <v>3879</v>
      </c>
    </row>
    <row r="52" spans="1:4" ht="36" customHeight="1">
      <c r="A52" s="26">
        <v>47</v>
      </c>
      <c r="B52" s="25" t="s">
        <v>3912</v>
      </c>
      <c r="C52" s="8" t="s">
        <v>3913</v>
      </c>
      <c r="D52" s="8" t="s">
        <v>3879</v>
      </c>
    </row>
    <row r="53" spans="1:4" ht="36" customHeight="1">
      <c r="A53" s="26">
        <v>48</v>
      </c>
      <c r="B53" s="25" t="s">
        <v>2751</v>
      </c>
      <c r="C53" s="8" t="s">
        <v>2752</v>
      </c>
      <c r="D53" s="8" t="s">
        <v>3879</v>
      </c>
    </row>
    <row r="54" spans="1:4" ht="36" customHeight="1">
      <c r="A54" s="26">
        <v>49</v>
      </c>
      <c r="B54" s="25" t="s">
        <v>2637</v>
      </c>
      <c r="C54" s="8" t="s">
        <v>2638</v>
      </c>
      <c r="D54" s="8" t="s">
        <v>3879</v>
      </c>
    </row>
    <row r="55" spans="1:4" ht="36" customHeight="1">
      <c r="A55" s="26">
        <v>50</v>
      </c>
      <c r="B55" s="25" t="s">
        <v>2625</v>
      </c>
      <c r="C55" s="8" t="s">
        <v>2626</v>
      </c>
      <c r="D55" s="8" t="s">
        <v>3879</v>
      </c>
    </row>
    <row r="56" spans="1:4" ht="36" customHeight="1">
      <c r="A56" s="26">
        <v>51</v>
      </c>
      <c r="B56" s="25" t="s">
        <v>2625</v>
      </c>
      <c r="C56" s="8" t="s">
        <v>2626</v>
      </c>
      <c r="D56" s="8" t="s">
        <v>3879</v>
      </c>
    </row>
    <row r="57" spans="1:4" ht="36" customHeight="1">
      <c r="A57" s="26">
        <v>52</v>
      </c>
      <c r="B57" s="25" t="s">
        <v>3933</v>
      </c>
      <c r="C57" s="8" t="s">
        <v>3934</v>
      </c>
      <c r="D57" s="8" t="s">
        <v>3879</v>
      </c>
    </row>
    <row r="58" spans="1:4" ht="36" customHeight="1">
      <c r="A58" s="26">
        <v>53</v>
      </c>
      <c r="B58" s="25" t="s">
        <v>3935</v>
      </c>
      <c r="C58" s="8" t="s">
        <v>3936</v>
      </c>
      <c r="D58" s="8" t="s">
        <v>3879</v>
      </c>
    </row>
    <row r="59" spans="1:4" ht="36" customHeight="1">
      <c r="A59" s="26">
        <v>54</v>
      </c>
      <c r="B59" s="25" t="s">
        <v>2748</v>
      </c>
      <c r="C59" s="8" t="s">
        <v>2749</v>
      </c>
      <c r="D59" s="8" t="s">
        <v>3879</v>
      </c>
    </row>
    <row r="60" spans="1:4" ht="36" customHeight="1">
      <c r="A60" s="26">
        <v>55</v>
      </c>
      <c r="B60" s="25" t="s">
        <v>2751</v>
      </c>
      <c r="C60" s="8" t="s">
        <v>2752</v>
      </c>
      <c r="D60" s="8" t="s">
        <v>3879</v>
      </c>
    </row>
    <row r="61" spans="1:4" ht="36" customHeight="1">
      <c r="A61" s="26">
        <v>56</v>
      </c>
      <c r="B61" s="25" t="s">
        <v>2625</v>
      </c>
      <c r="C61" s="8" t="s">
        <v>2626</v>
      </c>
      <c r="D61" s="8" t="s">
        <v>3879</v>
      </c>
    </row>
    <row r="62" spans="1:4" ht="36" customHeight="1">
      <c r="A62" s="26">
        <v>57</v>
      </c>
      <c r="B62" s="25" t="s">
        <v>2727</v>
      </c>
      <c r="C62" s="8" t="s">
        <v>2728</v>
      </c>
      <c r="D62" s="8" t="s">
        <v>3879</v>
      </c>
    </row>
    <row r="63" spans="1:4" ht="36" customHeight="1">
      <c r="A63" s="26">
        <v>58</v>
      </c>
      <c r="B63" s="25" t="s">
        <v>3937</v>
      </c>
      <c r="C63" s="8" t="s">
        <v>3938</v>
      </c>
      <c r="D63" s="8" t="s">
        <v>3879</v>
      </c>
    </row>
    <row r="64" spans="1:4" ht="36" customHeight="1">
      <c r="A64" s="26">
        <v>59</v>
      </c>
      <c r="B64" s="25" t="s">
        <v>3937</v>
      </c>
      <c r="C64" s="8" t="s">
        <v>3938</v>
      </c>
      <c r="D64" s="8" t="s">
        <v>3879</v>
      </c>
    </row>
    <row r="65" spans="1:4" ht="36" customHeight="1">
      <c r="A65" s="26">
        <v>60</v>
      </c>
      <c r="B65" s="25" t="s">
        <v>2769</v>
      </c>
      <c r="C65" s="8" t="s">
        <v>2770</v>
      </c>
      <c r="D65" s="8" t="s">
        <v>3879</v>
      </c>
    </row>
    <row r="66" spans="1:4" ht="36" customHeight="1">
      <c r="A66" s="26">
        <v>61</v>
      </c>
      <c r="B66" s="25" t="s">
        <v>3939</v>
      </c>
      <c r="C66" s="8" t="s">
        <v>3940</v>
      </c>
      <c r="D66" s="8" t="s">
        <v>3879</v>
      </c>
    </row>
    <row r="67" spans="1:4" ht="36" customHeight="1">
      <c r="A67" s="26">
        <v>62</v>
      </c>
      <c r="B67" s="25" t="s">
        <v>3941</v>
      </c>
      <c r="C67" s="8" t="s">
        <v>3942</v>
      </c>
      <c r="D67" s="8" t="s">
        <v>3868</v>
      </c>
    </row>
    <row r="68" spans="1:4" ht="36" customHeight="1">
      <c r="A68" s="26">
        <v>63</v>
      </c>
      <c r="B68" s="25" t="s">
        <v>2727</v>
      </c>
      <c r="C68" s="8" t="s">
        <v>2728</v>
      </c>
      <c r="D68" s="8" t="s">
        <v>3879</v>
      </c>
    </row>
    <row r="69" spans="1:4" ht="36" customHeight="1">
      <c r="A69" s="26">
        <v>64</v>
      </c>
      <c r="B69" s="25" t="s">
        <v>3933</v>
      </c>
      <c r="C69" s="8" t="s">
        <v>3934</v>
      </c>
      <c r="D69" s="8" t="s">
        <v>3879</v>
      </c>
    </row>
    <row r="70" spans="1:4" ht="36" customHeight="1">
      <c r="A70" s="26">
        <v>65</v>
      </c>
      <c r="B70" s="25" t="s">
        <v>2935</v>
      </c>
      <c r="C70" s="8" t="s">
        <v>2936</v>
      </c>
      <c r="D70" s="8" t="s">
        <v>3868</v>
      </c>
    </row>
    <row r="71" spans="1:4" ht="36" customHeight="1">
      <c r="A71" s="26">
        <v>66</v>
      </c>
      <c r="B71" s="25" t="s">
        <v>3943</v>
      </c>
      <c r="C71" s="8" t="s">
        <v>3944</v>
      </c>
      <c r="D71" s="8" t="s">
        <v>3879</v>
      </c>
    </row>
    <row r="72" spans="1:4" ht="36" customHeight="1">
      <c r="A72" s="26">
        <v>67</v>
      </c>
      <c r="B72" s="25" t="s">
        <v>3945</v>
      </c>
      <c r="C72" s="8" t="s">
        <v>3946</v>
      </c>
      <c r="D72" s="8" t="s">
        <v>3879</v>
      </c>
    </row>
    <row r="73" spans="1:4" ht="36" customHeight="1">
      <c r="A73" s="26">
        <v>68</v>
      </c>
      <c r="B73" s="25" t="s">
        <v>2643</v>
      </c>
      <c r="C73" s="8" t="s">
        <v>2644</v>
      </c>
      <c r="D73" s="8" t="s">
        <v>3879</v>
      </c>
    </row>
    <row r="74" spans="1:4" ht="36" customHeight="1">
      <c r="A74" s="26">
        <v>69</v>
      </c>
      <c r="B74" s="25" t="s">
        <v>3947</v>
      </c>
      <c r="C74" s="8" t="s">
        <v>3948</v>
      </c>
      <c r="D74" s="8" t="s">
        <v>3868</v>
      </c>
    </row>
    <row r="75" spans="1:4" ht="36" customHeight="1">
      <c r="A75" s="26">
        <v>70</v>
      </c>
      <c r="B75" s="25" t="s">
        <v>2811</v>
      </c>
      <c r="C75" s="8" t="s">
        <v>2812</v>
      </c>
      <c r="D75" s="8" t="s">
        <v>3879</v>
      </c>
    </row>
    <row r="76" spans="1:4" ht="36" customHeight="1">
      <c r="A76" s="26">
        <v>71</v>
      </c>
      <c r="B76" s="25" t="s">
        <v>2706</v>
      </c>
      <c r="C76" s="8" t="s">
        <v>2707</v>
      </c>
      <c r="D76" s="8" t="s">
        <v>3879</v>
      </c>
    </row>
    <row r="77" spans="1:4" ht="36" customHeight="1">
      <c r="A77" s="26">
        <v>72</v>
      </c>
      <c r="B77" s="25" t="s">
        <v>2658</v>
      </c>
      <c r="C77" s="8" t="s">
        <v>2659</v>
      </c>
      <c r="D77" s="8" t="s">
        <v>3879</v>
      </c>
    </row>
    <row r="78" spans="1:4" ht="36" customHeight="1">
      <c r="A78" s="26">
        <v>73</v>
      </c>
      <c r="B78" s="25" t="s">
        <v>2757</v>
      </c>
      <c r="C78" s="8" t="s">
        <v>2758</v>
      </c>
      <c r="D78" s="8" t="s">
        <v>3879</v>
      </c>
    </row>
    <row r="79" spans="1:4" ht="36" customHeight="1">
      <c r="A79" s="26">
        <v>74</v>
      </c>
      <c r="B79" s="25" t="s">
        <v>3935</v>
      </c>
      <c r="C79" s="8" t="s">
        <v>3936</v>
      </c>
      <c r="D79" s="8" t="s">
        <v>3879</v>
      </c>
    </row>
    <row r="80" spans="1:4" ht="36" customHeight="1">
      <c r="A80" s="26">
        <v>75</v>
      </c>
      <c r="B80" s="25" t="s">
        <v>2836</v>
      </c>
      <c r="C80" s="8" t="s">
        <v>2837</v>
      </c>
      <c r="D80" s="8" t="s">
        <v>3879</v>
      </c>
    </row>
    <row r="81" spans="1:4" ht="36" customHeight="1">
      <c r="A81" s="26">
        <v>76</v>
      </c>
      <c r="B81" s="25" t="s">
        <v>2836</v>
      </c>
      <c r="C81" s="8" t="s">
        <v>2837</v>
      </c>
      <c r="D81" s="8" t="s">
        <v>3879</v>
      </c>
    </row>
    <row r="82" spans="1:4" ht="36" customHeight="1">
      <c r="A82" s="26">
        <v>77</v>
      </c>
      <c r="B82" s="25" t="s">
        <v>2628</v>
      </c>
      <c r="C82" s="8" t="s">
        <v>2629</v>
      </c>
      <c r="D82" s="8" t="s">
        <v>3879</v>
      </c>
    </row>
    <row r="83" spans="1:4" ht="36" customHeight="1">
      <c r="A83" s="26">
        <v>78</v>
      </c>
      <c r="B83" s="25" t="s">
        <v>3949</v>
      </c>
      <c r="C83" s="8" t="s">
        <v>3950</v>
      </c>
      <c r="D83" s="8" t="s">
        <v>3879</v>
      </c>
    </row>
    <row r="84" spans="1:4" ht="36" customHeight="1">
      <c r="A84" s="26">
        <v>79</v>
      </c>
      <c r="B84" s="25" t="s">
        <v>3949</v>
      </c>
      <c r="C84" s="8" t="s">
        <v>3950</v>
      </c>
      <c r="D84" s="8" t="s">
        <v>3879</v>
      </c>
    </row>
    <row r="85" spans="1:4" ht="36" customHeight="1">
      <c r="A85" s="26">
        <v>80</v>
      </c>
      <c r="B85" s="25" t="s">
        <v>2781</v>
      </c>
      <c r="C85" s="8" t="s">
        <v>2782</v>
      </c>
      <c r="D85" s="8" t="s">
        <v>3879</v>
      </c>
    </row>
    <row r="86" spans="1:4" ht="36" customHeight="1">
      <c r="A86" s="26">
        <v>81</v>
      </c>
      <c r="B86" s="25" t="s">
        <v>2751</v>
      </c>
      <c r="C86" s="8" t="s">
        <v>2752</v>
      </c>
      <c r="D86" s="8" t="s">
        <v>3879</v>
      </c>
    </row>
    <row r="87" spans="1:4" ht="36" customHeight="1">
      <c r="A87" s="26">
        <v>82</v>
      </c>
      <c r="B87" s="25" t="s">
        <v>2625</v>
      </c>
      <c r="C87" s="8" t="s">
        <v>2626</v>
      </c>
      <c r="D87" s="8" t="s">
        <v>3879</v>
      </c>
    </row>
    <row r="88" spans="1:4" ht="36" customHeight="1">
      <c r="A88" s="26">
        <v>83</v>
      </c>
      <c r="B88" s="25" t="s">
        <v>2727</v>
      </c>
      <c r="C88" s="8" t="s">
        <v>2728</v>
      </c>
      <c r="D88" s="8" t="s">
        <v>3879</v>
      </c>
    </row>
    <row r="89" spans="1:4" ht="36" customHeight="1">
      <c r="A89" s="26">
        <v>84</v>
      </c>
      <c r="B89" s="25" t="s">
        <v>2727</v>
      </c>
      <c r="C89" s="8" t="s">
        <v>2728</v>
      </c>
      <c r="D89" s="8" t="s">
        <v>3879</v>
      </c>
    </row>
    <row r="90" spans="1:4" ht="36" customHeight="1">
      <c r="A90" s="26">
        <v>85</v>
      </c>
      <c r="B90" s="25" t="s">
        <v>2727</v>
      </c>
      <c r="C90" s="8" t="s">
        <v>2728</v>
      </c>
      <c r="D90" s="8" t="s">
        <v>3879</v>
      </c>
    </row>
    <row r="91" spans="1:4" ht="36" customHeight="1">
      <c r="A91" s="26">
        <v>86</v>
      </c>
      <c r="B91" s="25" t="s">
        <v>3951</v>
      </c>
      <c r="C91" s="8" t="s">
        <v>3952</v>
      </c>
      <c r="D91" s="8" t="s">
        <v>3879</v>
      </c>
    </row>
    <row r="92" spans="1:4" ht="36" customHeight="1">
      <c r="A92" s="26">
        <v>87</v>
      </c>
      <c r="B92" s="25" t="s">
        <v>2730</v>
      </c>
      <c r="C92" s="8" t="s">
        <v>2731</v>
      </c>
      <c r="D92" s="8" t="s">
        <v>3879</v>
      </c>
    </row>
    <row r="93" spans="1:4" ht="36" customHeight="1">
      <c r="A93" s="26">
        <v>88</v>
      </c>
      <c r="B93" s="25" t="s">
        <v>2769</v>
      </c>
      <c r="C93" s="8" t="s">
        <v>2770</v>
      </c>
      <c r="D93" s="8" t="s">
        <v>3879</v>
      </c>
    </row>
    <row r="94" spans="1:4" ht="36" customHeight="1">
      <c r="A94" s="26">
        <v>89</v>
      </c>
      <c r="B94" s="25" t="s">
        <v>2769</v>
      </c>
      <c r="C94" s="8" t="s">
        <v>2770</v>
      </c>
      <c r="D94" s="8" t="s">
        <v>3879</v>
      </c>
    </row>
    <row r="95" spans="1:4" ht="36" customHeight="1">
      <c r="A95" s="26">
        <v>90</v>
      </c>
      <c r="B95" s="25" t="s">
        <v>2631</v>
      </c>
      <c r="C95" s="8" t="s">
        <v>2632</v>
      </c>
      <c r="D95" s="8" t="s">
        <v>3879</v>
      </c>
    </row>
    <row r="96" spans="1:4" ht="36" customHeight="1">
      <c r="A96" s="26">
        <v>91</v>
      </c>
      <c r="B96" s="25" t="s">
        <v>3939</v>
      </c>
      <c r="C96" s="8" t="s">
        <v>3940</v>
      </c>
      <c r="D96" s="8" t="s">
        <v>3879</v>
      </c>
    </row>
    <row r="97" spans="1:4" ht="36" customHeight="1">
      <c r="A97" s="26">
        <v>92</v>
      </c>
      <c r="B97" s="25" t="s">
        <v>3939</v>
      </c>
      <c r="C97" s="8" t="s">
        <v>3940</v>
      </c>
      <c r="D97" s="8" t="s">
        <v>3879</v>
      </c>
    </row>
    <row r="98" spans="1:4" ht="36" customHeight="1">
      <c r="A98" s="26">
        <v>93</v>
      </c>
      <c r="B98" s="25" t="s">
        <v>3953</v>
      </c>
      <c r="C98" s="8" t="s">
        <v>3954</v>
      </c>
      <c r="D98" s="8" t="s">
        <v>3879</v>
      </c>
    </row>
    <row r="99" spans="1:4" ht="36" customHeight="1">
      <c r="A99" s="26">
        <v>94</v>
      </c>
      <c r="B99" s="25" t="s">
        <v>3955</v>
      </c>
      <c r="C99" s="8" t="s">
        <v>3956</v>
      </c>
      <c r="D99" s="8" t="s">
        <v>3879</v>
      </c>
    </row>
    <row r="100" spans="1:4" ht="36" customHeight="1">
      <c r="A100" s="26">
        <v>95</v>
      </c>
      <c r="B100" s="25" t="s">
        <v>3957</v>
      </c>
      <c r="C100" s="8" t="s">
        <v>3958</v>
      </c>
      <c r="D100" s="8" t="s">
        <v>3868</v>
      </c>
    </row>
    <row r="101" spans="1:4" ht="36" customHeight="1">
      <c r="A101" s="26">
        <v>96</v>
      </c>
      <c r="B101" s="25" t="s">
        <v>3959</v>
      </c>
      <c r="C101" s="8" t="s">
        <v>3960</v>
      </c>
      <c r="D101" s="8" t="s">
        <v>3868</v>
      </c>
    </row>
    <row r="102" spans="1:4" ht="36" customHeight="1">
      <c r="A102" s="26">
        <v>97</v>
      </c>
      <c r="B102" s="25" t="s">
        <v>3961</v>
      </c>
      <c r="C102" s="8" t="s">
        <v>3962</v>
      </c>
      <c r="D102" s="8" t="s">
        <v>3879</v>
      </c>
    </row>
    <row r="103" spans="1:4" ht="36" customHeight="1">
      <c r="A103" s="26">
        <v>98</v>
      </c>
      <c r="B103" s="25" t="s">
        <v>3963</v>
      </c>
      <c r="C103" s="8" t="s">
        <v>3964</v>
      </c>
      <c r="D103" s="8" t="s">
        <v>3879</v>
      </c>
    </row>
    <row r="104" spans="1:4" ht="36" customHeight="1">
      <c r="A104" s="26">
        <v>99</v>
      </c>
      <c r="B104" s="25" t="s">
        <v>3965</v>
      </c>
      <c r="C104" s="8" t="s">
        <v>3966</v>
      </c>
      <c r="D104" s="8" t="s">
        <v>3879</v>
      </c>
    </row>
    <row r="105" spans="1:4" ht="36" customHeight="1">
      <c r="A105" s="26">
        <v>100</v>
      </c>
      <c r="B105" s="25" t="s">
        <v>2631</v>
      </c>
      <c r="C105" s="8" t="s">
        <v>2632</v>
      </c>
      <c r="D105" s="8" t="s">
        <v>3879</v>
      </c>
    </row>
    <row r="106" spans="1:4" ht="36" customHeight="1">
      <c r="A106" s="26">
        <v>101</v>
      </c>
      <c r="B106" s="25" t="s">
        <v>3967</v>
      </c>
      <c r="C106" s="8" t="s">
        <v>3968</v>
      </c>
      <c r="D106" s="8" t="s">
        <v>3879</v>
      </c>
    </row>
    <row r="107" spans="1:4" ht="36" customHeight="1">
      <c r="A107" s="26">
        <v>102</v>
      </c>
      <c r="B107" s="25" t="s">
        <v>3935</v>
      </c>
      <c r="C107" s="8" t="s">
        <v>3936</v>
      </c>
      <c r="D107" s="8" t="s">
        <v>3879</v>
      </c>
    </row>
    <row r="108" spans="1:4" ht="36" customHeight="1">
      <c r="A108" s="26">
        <v>103</v>
      </c>
      <c r="B108" s="25" t="s">
        <v>3935</v>
      </c>
      <c r="C108" s="8" t="s">
        <v>3936</v>
      </c>
      <c r="D108" s="8" t="s">
        <v>3879</v>
      </c>
    </row>
    <row r="109" spans="1:4" ht="36" customHeight="1">
      <c r="A109" s="26">
        <v>104</v>
      </c>
      <c r="B109" s="25" t="s">
        <v>3969</v>
      </c>
      <c r="C109" s="8" t="s">
        <v>3447</v>
      </c>
      <c r="D109" s="8" t="s">
        <v>3879</v>
      </c>
    </row>
    <row r="110" spans="1:4" ht="36" customHeight="1">
      <c r="A110" s="26">
        <v>105</v>
      </c>
      <c r="B110" s="25" t="s">
        <v>3970</v>
      </c>
      <c r="C110" s="8" t="s">
        <v>3971</v>
      </c>
      <c r="D110" s="8" t="s">
        <v>3879</v>
      </c>
    </row>
    <row r="111" spans="1:4" ht="36" customHeight="1">
      <c r="A111" s="26">
        <v>106</v>
      </c>
      <c r="B111" s="25" t="s">
        <v>2646</v>
      </c>
      <c r="C111" s="8" t="s">
        <v>2647</v>
      </c>
      <c r="D111" s="8" t="s">
        <v>3879</v>
      </c>
    </row>
    <row r="112" spans="1:4" ht="36" customHeight="1">
      <c r="A112" s="26">
        <v>107</v>
      </c>
      <c r="B112" s="25" t="s">
        <v>3972</v>
      </c>
      <c r="C112" s="8" t="s">
        <v>3973</v>
      </c>
      <c r="D112" s="8" t="s">
        <v>3868</v>
      </c>
    </row>
    <row r="113" spans="1:4" ht="36" customHeight="1">
      <c r="A113" s="26">
        <v>108</v>
      </c>
      <c r="B113" s="25" t="s">
        <v>2754</v>
      </c>
      <c r="C113" s="8" t="s">
        <v>2755</v>
      </c>
      <c r="D113" s="8" t="s">
        <v>3879</v>
      </c>
    </row>
    <row r="114" spans="1:4" ht="36" customHeight="1">
      <c r="A114" s="26">
        <v>109</v>
      </c>
      <c r="B114" s="25" t="s">
        <v>2658</v>
      </c>
      <c r="C114" s="8" t="s">
        <v>2659</v>
      </c>
      <c r="D114" s="8" t="s">
        <v>3879</v>
      </c>
    </row>
    <row r="115" spans="1:4" ht="36" customHeight="1">
      <c r="A115" s="26">
        <v>110</v>
      </c>
      <c r="B115" s="25" t="s">
        <v>3935</v>
      </c>
      <c r="C115" s="8" t="s">
        <v>3936</v>
      </c>
      <c r="D115" s="8" t="s">
        <v>3879</v>
      </c>
    </row>
    <row r="116" spans="1:4" ht="36" customHeight="1">
      <c r="A116" s="26">
        <v>111</v>
      </c>
      <c r="B116" s="25" t="s">
        <v>3974</v>
      </c>
      <c r="C116" s="8" t="s">
        <v>3975</v>
      </c>
      <c r="D116" s="8" t="s">
        <v>3879</v>
      </c>
    </row>
    <row r="117" spans="1:4" ht="36" customHeight="1">
      <c r="A117" s="26">
        <v>112</v>
      </c>
      <c r="B117" s="25" t="s">
        <v>3976</v>
      </c>
      <c r="C117" s="8" t="s">
        <v>3977</v>
      </c>
      <c r="D117" s="8" t="s">
        <v>3879</v>
      </c>
    </row>
    <row r="118" spans="1:4" ht="36" customHeight="1">
      <c r="A118" s="26">
        <v>113</v>
      </c>
      <c r="B118" s="25" t="s">
        <v>3978</v>
      </c>
      <c r="C118" s="8" t="s">
        <v>3979</v>
      </c>
      <c r="D118" s="8" t="s">
        <v>3879</v>
      </c>
    </row>
    <row r="119" spans="1:4" ht="36" customHeight="1">
      <c r="A119" s="26">
        <v>114</v>
      </c>
      <c r="B119" s="25" t="s">
        <v>3980</v>
      </c>
      <c r="C119" s="8" t="s">
        <v>3981</v>
      </c>
      <c r="D119" s="8" t="s">
        <v>3879</v>
      </c>
    </row>
    <row r="120" spans="1:4" ht="36" customHeight="1">
      <c r="A120" s="26">
        <v>115</v>
      </c>
      <c r="B120" s="25" t="s">
        <v>2634</v>
      </c>
      <c r="C120" s="8" t="s">
        <v>2635</v>
      </c>
      <c r="D120" s="8" t="s">
        <v>3879</v>
      </c>
    </row>
    <row r="121" spans="1:4" ht="36" customHeight="1">
      <c r="A121" s="26">
        <v>116</v>
      </c>
      <c r="B121" s="25" t="s">
        <v>2727</v>
      </c>
      <c r="C121" s="8" t="s">
        <v>2728</v>
      </c>
      <c r="D121" s="8" t="s">
        <v>3879</v>
      </c>
    </row>
    <row r="122" spans="1:4" ht="36" customHeight="1">
      <c r="A122" s="26">
        <v>117</v>
      </c>
      <c r="B122" s="25" t="s">
        <v>2412</v>
      </c>
      <c r="C122" s="8" t="s">
        <v>2413</v>
      </c>
      <c r="D122" s="8" t="s">
        <v>3879</v>
      </c>
    </row>
    <row r="123" spans="1:4" ht="36" customHeight="1">
      <c r="A123" s="26">
        <v>118</v>
      </c>
      <c r="B123" s="25" t="s">
        <v>2769</v>
      </c>
      <c r="C123" s="8" t="s">
        <v>2770</v>
      </c>
      <c r="D123" s="8" t="s">
        <v>3879</v>
      </c>
    </row>
    <row r="124" spans="1:4" ht="36" customHeight="1">
      <c r="A124" s="26">
        <v>119</v>
      </c>
      <c r="B124" s="25" t="s">
        <v>2658</v>
      </c>
      <c r="C124" s="8" t="s">
        <v>2659</v>
      </c>
      <c r="D124" s="8" t="s">
        <v>3879</v>
      </c>
    </row>
    <row r="125" spans="1:4" ht="36" customHeight="1">
      <c r="A125" s="26">
        <v>120</v>
      </c>
      <c r="B125" s="25" t="s">
        <v>2778</v>
      </c>
      <c r="C125" s="8" t="s">
        <v>2779</v>
      </c>
      <c r="D125" s="8" t="s">
        <v>3879</v>
      </c>
    </row>
    <row r="126" spans="1:4" ht="36" customHeight="1">
      <c r="A126" s="26">
        <v>121</v>
      </c>
      <c r="B126" s="25" t="s">
        <v>2646</v>
      </c>
      <c r="C126" s="8" t="s">
        <v>2647</v>
      </c>
      <c r="D126" s="8" t="s">
        <v>3879</v>
      </c>
    </row>
    <row r="127" spans="1:4" ht="36" customHeight="1">
      <c r="A127" s="26">
        <v>122</v>
      </c>
      <c r="B127" s="25" t="s">
        <v>2754</v>
      </c>
      <c r="C127" s="8" t="s">
        <v>2755</v>
      </c>
      <c r="D127" s="8" t="s">
        <v>3879</v>
      </c>
    </row>
    <row r="128" spans="1:4" ht="36" customHeight="1">
      <c r="A128" s="26">
        <v>123</v>
      </c>
      <c r="B128" s="25" t="s">
        <v>2754</v>
      </c>
      <c r="C128" s="8" t="s">
        <v>2755</v>
      </c>
      <c r="D128" s="8" t="s">
        <v>3879</v>
      </c>
    </row>
    <row r="129" spans="1:4" ht="36" customHeight="1">
      <c r="A129" s="26">
        <v>124</v>
      </c>
      <c r="B129" s="25" t="s">
        <v>3949</v>
      </c>
      <c r="C129" s="8" t="s">
        <v>3950</v>
      </c>
      <c r="D129" s="8" t="s">
        <v>3879</v>
      </c>
    </row>
    <row r="130" spans="1:4" ht="36" customHeight="1">
      <c r="A130" s="26">
        <v>125</v>
      </c>
      <c r="B130" s="25" t="s">
        <v>2748</v>
      </c>
      <c r="C130" s="8" t="s">
        <v>2749</v>
      </c>
      <c r="D130" s="8" t="s">
        <v>3879</v>
      </c>
    </row>
    <row r="131" spans="1:4" ht="36" customHeight="1">
      <c r="A131" s="26">
        <v>126</v>
      </c>
      <c r="B131" s="25" t="s">
        <v>2634</v>
      </c>
      <c r="C131" s="8" t="s">
        <v>2635</v>
      </c>
      <c r="D131" s="8" t="s">
        <v>3879</v>
      </c>
    </row>
    <row r="132" spans="1:4" ht="36" customHeight="1">
      <c r="A132" s="26">
        <v>127</v>
      </c>
      <c r="B132" s="25" t="s">
        <v>3982</v>
      </c>
      <c r="C132" s="8" t="s">
        <v>3983</v>
      </c>
      <c r="D132" s="8" t="s">
        <v>3879</v>
      </c>
    </row>
    <row r="133" spans="1:4" ht="36" customHeight="1">
      <c r="A133" s="26">
        <v>128</v>
      </c>
      <c r="B133" s="25" t="s">
        <v>2703</v>
      </c>
      <c r="C133" s="8" t="s">
        <v>2704</v>
      </c>
      <c r="D133" s="8" t="s">
        <v>3879</v>
      </c>
    </row>
    <row r="134" spans="1:4" ht="36" customHeight="1">
      <c r="A134" s="26">
        <v>129</v>
      </c>
      <c r="B134" s="25" t="s">
        <v>2727</v>
      </c>
      <c r="C134" s="8" t="s">
        <v>2728</v>
      </c>
      <c r="D134" s="8" t="s">
        <v>3879</v>
      </c>
    </row>
    <row r="135" spans="1:4" ht="36" customHeight="1">
      <c r="A135" s="26">
        <v>130</v>
      </c>
      <c r="B135" s="25" t="s">
        <v>2727</v>
      </c>
      <c r="C135" s="8" t="s">
        <v>2728</v>
      </c>
      <c r="D135" s="8" t="s">
        <v>3879</v>
      </c>
    </row>
    <row r="136" spans="1:4" ht="36" customHeight="1">
      <c r="A136" s="26">
        <v>131</v>
      </c>
      <c r="B136" s="25" t="s">
        <v>3984</v>
      </c>
      <c r="C136" s="8" t="s">
        <v>3985</v>
      </c>
      <c r="D136" s="8" t="s">
        <v>3879</v>
      </c>
    </row>
    <row r="137" spans="1:4" ht="36" customHeight="1">
      <c r="A137" s="26">
        <v>132</v>
      </c>
      <c r="B137" s="25" t="s">
        <v>3986</v>
      </c>
      <c r="C137" s="8" t="s">
        <v>3987</v>
      </c>
      <c r="D137" s="8" t="s">
        <v>3879</v>
      </c>
    </row>
    <row r="138" spans="1:4" ht="36" customHeight="1">
      <c r="A138" s="26">
        <v>133</v>
      </c>
      <c r="B138" s="25" t="s">
        <v>2736</v>
      </c>
      <c r="C138" s="8" t="s">
        <v>2737</v>
      </c>
      <c r="D138" s="8" t="s">
        <v>3879</v>
      </c>
    </row>
    <row r="139" spans="1:4" ht="36" customHeight="1">
      <c r="A139" s="26">
        <v>134</v>
      </c>
      <c r="B139" s="25" t="s">
        <v>2736</v>
      </c>
      <c r="C139" s="8" t="s">
        <v>2737</v>
      </c>
      <c r="D139" s="8" t="s">
        <v>3879</v>
      </c>
    </row>
    <row r="140" spans="1:4" ht="36" customHeight="1">
      <c r="A140" s="26">
        <v>135</v>
      </c>
      <c r="B140" s="25" t="s">
        <v>3939</v>
      </c>
      <c r="C140" s="8" t="s">
        <v>3940</v>
      </c>
      <c r="D140" s="8" t="s">
        <v>3879</v>
      </c>
    </row>
    <row r="141" spans="1:4" ht="36" customHeight="1">
      <c r="A141" s="26">
        <v>136</v>
      </c>
      <c r="B141" s="25" t="s">
        <v>3988</v>
      </c>
      <c r="C141" s="8" t="s">
        <v>3989</v>
      </c>
      <c r="D141" s="8" t="s">
        <v>3879</v>
      </c>
    </row>
    <row r="142" spans="1:4" ht="36" customHeight="1">
      <c r="A142" s="26">
        <v>137</v>
      </c>
      <c r="B142" s="25" t="s">
        <v>2700</v>
      </c>
      <c r="C142" s="8" t="s">
        <v>2701</v>
      </c>
      <c r="D142" s="8" t="s">
        <v>3879</v>
      </c>
    </row>
    <row r="143" spans="1:4" ht="36" customHeight="1">
      <c r="A143" s="26">
        <v>138</v>
      </c>
      <c r="B143" s="25" t="s">
        <v>3990</v>
      </c>
      <c r="C143" s="8" t="s">
        <v>3991</v>
      </c>
      <c r="D143" s="8" t="s">
        <v>3879</v>
      </c>
    </row>
    <row r="144" spans="1:4" ht="36" customHeight="1">
      <c r="A144" s="26">
        <v>139</v>
      </c>
      <c r="B144" s="25" t="s">
        <v>2911</v>
      </c>
      <c r="C144" s="8" t="s">
        <v>2912</v>
      </c>
      <c r="D144" s="8" t="s">
        <v>3868</v>
      </c>
    </row>
    <row r="145" spans="1:4" ht="36" customHeight="1">
      <c r="A145" s="26">
        <v>140</v>
      </c>
      <c r="B145" s="25" t="s">
        <v>3033</v>
      </c>
      <c r="C145" s="8" t="s">
        <v>3034</v>
      </c>
      <c r="D145" s="8" t="s">
        <v>3868</v>
      </c>
    </row>
    <row r="146" spans="1:4" ht="36" customHeight="1">
      <c r="A146" s="26">
        <v>141</v>
      </c>
      <c r="B146" s="25" t="s">
        <v>3992</v>
      </c>
      <c r="C146" s="8" t="s">
        <v>3993</v>
      </c>
      <c r="D146" s="8" t="s">
        <v>3868</v>
      </c>
    </row>
    <row r="147" spans="1:4" ht="36" customHeight="1">
      <c r="A147" s="26">
        <v>142</v>
      </c>
      <c r="B147" s="25" t="s">
        <v>2944</v>
      </c>
      <c r="C147" s="8" t="s">
        <v>2945</v>
      </c>
      <c r="D147" s="8" t="s">
        <v>3868</v>
      </c>
    </row>
    <row r="148" spans="1:4" ht="36" customHeight="1">
      <c r="A148" s="26">
        <v>143</v>
      </c>
      <c r="B148" s="25" t="s">
        <v>3994</v>
      </c>
      <c r="C148" s="8" t="s">
        <v>3995</v>
      </c>
      <c r="D148" s="8" t="s">
        <v>3868</v>
      </c>
    </row>
    <row r="149" spans="1:4" ht="36" customHeight="1">
      <c r="A149" s="26">
        <v>144</v>
      </c>
      <c r="B149" s="25" t="s">
        <v>3996</v>
      </c>
      <c r="C149" s="8" t="s">
        <v>3997</v>
      </c>
      <c r="D149" s="8" t="s">
        <v>3868</v>
      </c>
    </row>
    <row r="150" spans="1:4" ht="36" customHeight="1">
      <c r="A150" s="26">
        <v>145</v>
      </c>
      <c r="B150" s="25" t="s">
        <v>3998</v>
      </c>
      <c r="C150" s="8" t="s">
        <v>3999</v>
      </c>
      <c r="D150" s="8" t="s">
        <v>4000</v>
      </c>
    </row>
    <row r="151" spans="1:4" ht="36" customHeight="1">
      <c r="A151" s="26">
        <v>146</v>
      </c>
      <c r="B151" s="25" t="s">
        <v>4001</v>
      </c>
      <c r="C151" s="8" t="s">
        <v>4002</v>
      </c>
      <c r="D151" s="8" t="s">
        <v>3879</v>
      </c>
    </row>
    <row r="152" spans="1:4" ht="36" customHeight="1">
      <c r="A152" s="26">
        <v>147</v>
      </c>
      <c r="B152" s="25" t="s">
        <v>4003</v>
      </c>
      <c r="C152" s="8" t="s">
        <v>4004</v>
      </c>
      <c r="D152" s="8" t="s">
        <v>3868</v>
      </c>
    </row>
    <row r="153" spans="1:4" ht="36" customHeight="1">
      <c r="A153" s="26">
        <v>148</v>
      </c>
      <c r="B153" s="25" t="s">
        <v>2769</v>
      </c>
      <c r="C153" s="8" t="s">
        <v>2770</v>
      </c>
      <c r="D153" s="8" t="s">
        <v>3879</v>
      </c>
    </row>
    <row r="154" spans="1:4" ht="36" customHeight="1">
      <c r="A154" s="26">
        <v>149</v>
      </c>
      <c r="B154" s="25" t="s">
        <v>4005</v>
      </c>
      <c r="C154" s="8" t="s">
        <v>4006</v>
      </c>
      <c r="D154" s="8" t="s">
        <v>3879</v>
      </c>
    </row>
    <row r="155" spans="1:4" ht="36" customHeight="1">
      <c r="A155" s="26">
        <v>150</v>
      </c>
      <c r="B155" s="25" t="s">
        <v>4007</v>
      </c>
      <c r="C155" s="8" t="s">
        <v>4008</v>
      </c>
      <c r="D155" s="8" t="s">
        <v>3868</v>
      </c>
    </row>
    <row r="156" spans="1:4" ht="36" customHeight="1">
      <c r="A156" s="26">
        <v>151</v>
      </c>
      <c r="B156" s="25" t="s">
        <v>4009</v>
      </c>
      <c r="C156" s="8" t="s">
        <v>4010</v>
      </c>
      <c r="D156" s="8" t="s">
        <v>3879</v>
      </c>
    </row>
    <row r="157" spans="1:4" ht="36" customHeight="1">
      <c r="A157" s="26">
        <v>152</v>
      </c>
      <c r="B157" s="25" t="s">
        <v>3935</v>
      </c>
      <c r="C157" s="8" t="s">
        <v>3936</v>
      </c>
      <c r="D157" s="8" t="s">
        <v>3879</v>
      </c>
    </row>
    <row r="158" spans="1:4" ht="36" customHeight="1">
      <c r="A158" s="26">
        <v>153</v>
      </c>
      <c r="B158" s="25" t="s">
        <v>2799</v>
      </c>
      <c r="C158" s="8" t="s">
        <v>2800</v>
      </c>
      <c r="D158" s="8" t="s">
        <v>3879</v>
      </c>
    </row>
    <row r="159" spans="1:4" ht="36" customHeight="1">
      <c r="A159" s="26">
        <v>154</v>
      </c>
      <c r="B159" s="25" t="s">
        <v>3969</v>
      </c>
      <c r="C159" s="8" t="s">
        <v>3447</v>
      </c>
      <c r="D159" s="8" t="s">
        <v>3879</v>
      </c>
    </row>
    <row r="160" spans="1:4" ht="36" customHeight="1">
      <c r="A160" s="26">
        <v>155</v>
      </c>
      <c r="B160" s="25" t="s">
        <v>4011</v>
      </c>
      <c r="C160" s="8" t="s">
        <v>4012</v>
      </c>
      <c r="D160" s="8" t="s">
        <v>3879</v>
      </c>
    </row>
    <row r="161" spans="1:4" ht="36" customHeight="1">
      <c r="A161" s="26">
        <v>156</v>
      </c>
      <c r="B161" s="25" t="s">
        <v>2763</v>
      </c>
      <c r="C161" s="8" t="s">
        <v>2764</v>
      </c>
      <c r="D161" s="8" t="s">
        <v>3879</v>
      </c>
    </row>
    <row r="162" spans="1:4" ht="36" customHeight="1">
      <c r="A162" s="26">
        <v>157</v>
      </c>
      <c r="B162" s="25" t="s">
        <v>2736</v>
      </c>
      <c r="C162" s="8" t="s">
        <v>2737</v>
      </c>
      <c r="D162" s="8" t="s">
        <v>3879</v>
      </c>
    </row>
    <row r="163" spans="1:4" ht="36" customHeight="1">
      <c r="A163" s="26">
        <v>158</v>
      </c>
      <c r="B163" s="25" t="s">
        <v>2634</v>
      </c>
      <c r="C163" s="8" t="s">
        <v>2635</v>
      </c>
      <c r="D163" s="8" t="s">
        <v>3879</v>
      </c>
    </row>
    <row r="164" spans="1:4" ht="36" customHeight="1">
      <c r="A164" s="26">
        <v>159</v>
      </c>
      <c r="B164" s="25" t="s">
        <v>2427</v>
      </c>
      <c r="C164" s="8" t="s">
        <v>2428</v>
      </c>
      <c r="D164" s="8" t="s">
        <v>3879</v>
      </c>
    </row>
    <row r="165" spans="1:4" ht="36" customHeight="1">
      <c r="A165" s="26">
        <v>160</v>
      </c>
      <c r="B165" s="25" t="s">
        <v>2808</v>
      </c>
      <c r="C165" s="8" t="s">
        <v>2809</v>
      </c>
      <c r="D165" s="8" t="s">
        <v>3879</v>
      </c>
    </row>
    <row r="166" spans="1:4" ht="36" customHeight="1">
      <c r="A166" s="26">
        <v>161</v>
      </c>
      <c r="B166" s="25" t="s">
        <v>4001</v>
      </c>
      <c r="C166" s="8" t="s">
        <v>4002</v>
      </c>
      <c r="D166" s="8" t="s">
        <v>3879</v>
      </c>
    </row>
    <row r="167" spans="1:4" ht="36" customHeight="1">
      <c r="A167" s="26">
        <v>162</v>
      </c>
      <c r="B167" s="25" t="s">
        <v>4013</v>
      </c>
      <c r="C167" s="8" t="s">
        <v>4014</v>
      </c>
      <c r="D167" s="8" t="s">
        <v>3930</v>
      </c>
    </row>
    <row r="168" spans="1:4" ht="36" customHeight="1">
      <c r="A168" s="26">
        <v>163</v>
      </c>
      <c r="B168" s="25" t="s">
        <v>2634</v>
      </c>
      <c r="C168" s="8" t="s">
        <v>2635</v>
      </c>
      <c r="D168" s="8" t="s">
        <v>3879</v>
      </c>
    </row>
    <row r="169" spans="1:4" ht="36" customHeight="1">
      <c r="A169" s="26">
        <v>164</v>
      </c>
      <c r="B169" s="25" t="s">
        <v>4015</v>
      </c>
      <c r="C169" s="8" t="s">
        <v>4016</v>
      </c>
      <c r="D169" s="8" t="s">
        <v>3879</v>
      </c>
    </row>
    <row r="170" spans="1:4" ht="36" customHeight="1">
      <c r="A170" s="26">
        <v>165</v>
      </c>
      <c r="B170" s="25" t="s">
        <v>4017</v>
      </c>
      <c r="C170" s="8" t="s">
        <v>4018</v>
      </c>
      <c r="D170" s="8" t="s">
        <v>3879</v>
      </c>
    </row>
    <row r="171" spans="1:4" ht="36" customHeight="1">
      <c r="A171" s="26">
        <v>166</v>
      </c>
      <c r="B171" s="25" t="s">
        <v>4019</v>
      </c>
      <c r="C171" s="8" t="s">
        <v>4020</v>
      </c>
      <c r="D171" s="8" t="s">
        <v>3868</v>
      </c>
    </row>
    <row r="172" spans="1:4" ht="36" customHeight="1">
      <c r="A172" s="26">
        <v>167</v>
      </c>
      <c r="B172" s="25" t="s">
        <v>4021</v>
      </c>
      <c r="C172" s="8" t="s">
        <v>4022</v>
      </c>
      <c r="D172" s="8" t="s">
        <v>3879</v>
      </c>
    </row>
    <row r="173" spans="1:4" ht="36" customHeight="1">
      <c r="A173" s="26">
        <v>168</v>
      </c>
      <c r="B173" s="25" t="s">
        <v>2658</v>
      </c>
      <c r="C173" s="8" t="s">
        <v>2659</v>
      </c>
      <c r="D173" s="8" t="s">
        <v>3879</v>
      </c>
    </row>
    <row r="174" spans="1:4" ht="36" customHeight="1">
      <c r="A174" s="26">
        <v>169</v>
      </c>
      <c r="B174" s="25" t="s">
        <v>2748</v>
      </c>
      <c r="C174" s="8" t="s">
        <v>2749</v>
      </c>
      <c r="D174" s="8" t="s">
        <v>3879</v>
      </c>
    </row>
    <row r="175" spans="1:4" ht="36" customHeight="1">
      <c r="A175" s="26">
        <v>170</v>
      </c>
      <c r="B175" s="25" t="s">
        <v>2676</v>
      </c>
      <c r="C175" s="8" t="s">
        <v>2677</v>
      </c>
      <c r="D175" s="8" t="s">
        <v>3879</v>
      </c>
    </row>
    <row r="176" spans="1:4" ht="36" customHeight="1">
      <c r="A176" s="26">
        <v>171</v>
      </c>
      <c r="B176" s="25" t="s">
        <v>2833</v>
      </c>
      <c r="C176" s="8" t="s">
        <v>2834</v>
      </c>
      <c r="D176" s="8" t="s">
        <v>3879</v>
      </c>
    </row>
    <row r="177" spans="1:4" ht="36" customHeight="1">
      <c r="A177" s="26">
        <v>172</v>
      </c>
      <c r="B177" s="25" t="s">
        <v>2836</v>
      </c>
      <c r="C177" s="8" t="s">
        <v>2837</v>
      </c>
      <c r="D177" s="8" t="s">
        <v>3879</v>
      </c>
    </row>
    <row r="178" spans="1:4" ht="36" customHeight="1">
      <c r="A178" s="26">
        <v>173</v>
      </c>
      <c r="B178" s="25" t="s">
        <v>2823</v>
      </c>
      <c r="C178" s="8" t="s">
        <v>2824</v>
      </c>
      <c r="D178" s="8" t="s">
        <v>3879</v>
      </c>
    </row>
    <row r="179" spans="1:4" ht="36" customHeight="1">
      <c r="A179" s="26">
        <v>174</v>
      </c>
      <c r="B179" s="25" t="s">
        <v>4023</v>
      </c>
      <c r="C179" s="8" t="s">
        <v>4024</v>
      </c>
      <c r="D179" s="8" t="s">
        <v>3879</v>
      </c>
    </row>
    <row r="180" spans="1:4" ht="36" customHeight="1">
      <c r="A180" s="26">
        <v>175</v>
      </c>
      <c r="B180" s="25" t="s">
        <v>4025</v>
      </c>
      <c r="C180" s="8" t="s">
        <v>4026</v>
      </c>
      <c r="D180" s="8" t="s">
        <v>3879</v>
      </c>
    </row>
    <row r="181" spans="1:4" ht="36" customHeight="1">
      <c r="A181" s="26">
        <v>176</v>
      </c>
      <c r="B181" s="25" t="s">
        <v>2799</v>
      </c>
      <c r="C181" s="8" t="s">
        <v>2800</v>
      </c>
      <c r="D181" s="8" t="s">
        <v>3879</v>
      </c>
    </row>
    <row r="182" spans="1:4" ht="36" customHeight="1">
      <c r="A182" s="26">
        <v>177</v>
      </c>
      <c r="B182" s="25" t="s">
        <v>3969</v>
      </c>
      <c r="C182" s="8" t="s">
        <v>3447</v>
      </c>
      <c r="D182" s="8" t="s">
        <v>3879</v>
      </c>
    </row>
    <row r="183" spans="1:4" ht="36" customHeight="1">
      <c r="A183" s="26">
        <v>178</v>
      </c>
      <c r="B183" s="25" t="s">
        <v>4027</v>
      </c>
      <c r="C183" s="8" t="s">
        <v>4028</v>
      </c>
      <c r="D183" s="8" t="s">
        <v>3879</v>
      </c>
    </row>
    <row r="184" spans="1:4" ht="36" customHeight="1">
      <c r="A184" s="26">
        <v>179</v>
      </c>
      <c r="B184" s="25" t="s">
        <v>4029</v>
      </c>
      <c r="C184" s="8" t="s">
        <v>4030</v>
      </c>
      <c r="D184" s="8" t="s">
        <v>3879</v>
      </c>
    </row>
    <row r="185" spans="1:4" ht="36" customHeight="1">
      <c r="A185" s="26">
        <v>180</v>
      </c>
      <c r="B185" s="25" t="s">
        <v>4031</v>
      </c>
      <c r="C185" s="8" t="s">
        <v>4032</v>
      </c>
      <c r="D185" s="8" t="s">
        <v>3868</v>
      </c>
    </row>
    <row r="186" spans="1:4" ht="36" customHeight="1">
      <c r="A186" s="26">
        <v>181</v>
      </c>
      <c r="B186" s="25" t="s">
        <v>4033</v>
      </c>
      <c r="C186" s="8" t="s">
        <v>4034</v>
      </c>
      <c r="D186" s="8" t="s">
        <v>4035</v>
      </c>
    </row>
    <row r="187" spans="1:4" ht="36" customHeight="1">
      <c r="A187" s="26">
        <v>182</v>
      </c>
      <c r="B187" s="25" t="s">
        <v>2634</v>
      </c>
      <c r="C187" s="8" t="s">
        <v>2635</v>
      </c>
      <c r="D187" s="8" t="s">
        <v>3879</v>
      </c>
    </row>
    <row r="188" spans="1:4" ht="36" customHeight="1">
      <c r="A188" s="26">
        <v>183</v>
      </c>
      <c r="B188" s="25" t="s">
        <v>4036</v>
      </c>
      <c r="C188" s="8" t="s">
        <v>4037</v>
      </c>
      <c r="D188" s="8" t="s">
        <v>3930</v>
      </c>
    </row>
    <row r="189" spans="1:4" ht="36" customHeight="1">
      <c r="A189" s="26">
        <v>184</v>
      </c>
      <c r="B189" s="25" t="s">
        <v>4038</v>
      </c>
      <c r="C189" s="8" t="s">
        <v>4039</v>
      </c>
      <c r="D189" s="8" t="s">
        <v>3879</v>
      </c>
    </row>
    <row r="190" spans="1:4" ht="36" customHeight="1">
      <c r="A190" s="26">
        <v>185</v>
      </c>
      <c r="B190" s="25" t="s">
        <v>2673</v>
      </c>
      <c r="C190" s="8" t="s">
        <v>2674</v>
      </c>
      <c r="D190" s="8" t="s">
        <v>3879</v>
      </c>
    </row>
    <row r="191" spans="1:4" ht="36" customHeight="1">
      <c r="A191" s="26">
        <v>186</v>
      </c>
      <c r="B191" s="25" t="s">
        <v>2436</v>
      </c>
      <c r="C191" s="8" t="s">
        <v>2437</v>
      </c>
      <c r="D191" s="8" t="s">
        <v>3879</v>
      </c>
    </row>
    <row r="192" spans="1:4" ht="36" customHeight="1">
      <c r="A192" s="26">
        <v>187</v>
      </c>
      <c r="B192" s="25" t="s">
        <v>2836</v>
      </c>
      <c r="C192" s="8" t="s">
        <v>2837</v>
      </c>
      <c r="D192" s="8" t="s">
        <v>3879</v>
      </c>
    </row>
    <row r="193" spans="1:4" ht="36" customHeight="1">
      <c r="A193" s="26">
        <v>188</v>
      </c>
      <c r="B193" s="25" t="s">
        <v>2628</v>
      </c>
      <c r="C193" s="8" t="s">
        <v>2629</v>
      </c>
      <c r="D193" s="8" t="s">
        <v>3879</v>
      </c>
    </row>
    <row r="194" spans="1:4" ht="36" customHeight="1">
      <c r="A194" s="26">
        <v>189</v>
      </c>
      <c r="B194" s="25" t="s">
        <v>2754</v>
      </c>
      <c r="C194" s="8" t="s">
        <v>2755</v>
      </c>
      <c r="D194" s="8" t="s">
        <v>3879</v>
      </c>
    </row>
    <row r="195" spans="1:4" ht="36" customHeight="1">
      <c r="A195" s="26">
        <v>190</v>
      </c>
      <c r="B195" s="25" t="s">
        <v>2748</v>
      </c>
      <c r="C195" s="8" t="s">
        <v>2749</v>
      </c>
      <c r="D195" s="8" t="s">
        <v>3879</v>
      </c>
    </row>
    <row r="196" spans="1:4" ht="36" customHeight="1">
      <c r="A196" s="26">
        <v>191</v>
      </c>
      <c r="B196" s="25" t="s">
        <v>2787</v>
      </c>
      <c r="C196" s="8" t="s">
        <v>2788</v>
      </c>
      <c r="D196" s="8" t="s">
        <v>3879</v>
      </c>
    </row>
    <row r="197" spans="1:4" ht="36" customHeight="1">
      <c r="A197" s="26">
        <v>192</v>
      </c>
      <c r="B197" s="25" t="s">
        <v>2637</v>
      </c>
      <c r="C197" s="8" t="s">
        <v>2638</v>
      </c>
      <c r="D197" s="8" t="s">
        <v>3879</v>
      </c>
    </row>
    <row r="198" spans="1:4" ht="36" customHeight="1">
      <c r="A198" s="26">
        <v>193</v>
      </c>
      <c r="B198" s="25" t="s">
        <v>2637</v>
      </c>
      <c r="C198" s="8" t="s">
        <v>2638</v>
      </c>
      <c r="D198" s="8" t="s">
        <v>3879</v>
      </c>
    </row>
    <row r="199" spans="1:4" ht="36" customHeight="1">
      <c r="A199" s="26">
        <v>194</v>
      </c>
      <c r="B199" s="25" t="s">
        <v>2637</v>
      </c>
      <c r="C199" s="8" t="s">
        <v>2638</v>
      </c>
      <c r="D199" s="8" t="s">
        <v>3879</v>
      </c>
    </row>
    <row r="200" spans="1:4" ht="36" customHeight="1">
      <c r="A200" s="26">
        <v>195</v>
      </c>
      <c r="B200" s="25" t="s">
        <v>2739</v>
      </c>
      <c r="C200" s="8" t="s">
        <v>2740</v>
      </c>
      <c r="D200" s="8" t="s">
        <v>3879</v>
      </c>
    </row>
    <row r="201" spans="1:4" ht="36" customHeight="1">
      <c r="A201" s="26">
        <v>196</v>
      </c>
      <c r="B201" s="25" t="s">
        <v>4040</v>
      </c>
      <c r="C201" s="8" t="s">
        <v>4041</v>
      </c>
      <c r="D201" s="8" t="s">
        <v>3879</v>
      </c>
    </row>
    <row r="202" spans="1:4" ht="36" customHeight="1">
      <c r="A202" s="26">
        <v>197</v>
      </c>
      <c r="B202" s="25" t="s">
        <v>3951</v>
      </c>
      <c r="C202" s="8" t="s">
        <v>3952</v>
      </c>
      <c r="D202" s="8" t="s">
        <v>3879</v>
      </c>
    </row>
    <row r="203" spans="1:4" ht="36" customHeight="1">
      <c r="A203" s="26">
        <v>198</v>
      </c>
      <c r="B203" s="25" t="s">
        <v>2412</v>
      </c>
      <c r="C203" s="8" t="s">
        <v>2413</v>
      </c>
      <c r="D203" s="8" t="s">
        <v>3879</v>
      </c>
    </row>
    <row r="204" spans="1:4" ht="36" customHeight="1">
      <c r="A204" s="26">
        <v>199</v>
      </c>
      <c r="B204" s="25" t="s">
        <v>2730</v>
      </c>
      <c r="C204" s="8" t="s">
        <v>2731</v>
      </c>
      <c r="D204" s="8" t="s">
        <v>3879</v>
      </c>
    </row>
    <row r="205" spans="1:4" ht="36" customHeight="1">
      <c r="A205" s="26">
        <v>200</v>
      </c>
      <c r="B205" s="25" t="s">
        <v>4042</v>
      </c>
      <c r="C205" s="8" t="s">
        <v>4043</v>
      </c>
      <c r="D205" s="8" t="s">
        <v>3879</v>
      </c>
    </row>
    <row r="206" spans="1:4" ht="36" customHeight="1">
      <c r="A206" s="26">
        <v>201</v>
      </c>
      <c r="B206" s="25" t="s">
        <v>3986</v>
      </c>
      <c r="C206" s="8" t="s">
        <v>3987</v>
      </c>
      <c r="D206" s="8" t="s">
        <v>3879</v>
      </c>
    </row>
    <row r="207" spans="1:4" ht="36" customHeight="1">
      <c r="A207" s="26">
        <v>202</v>
      </c>
      <c r="B207" s="25" t="s">
        <v>2658</v>
      </c>
      <c r="C207" s="8" t="s">
        <v>2659</v>
      </c>
      <c r="D207" s="8" t="s">
        <v>3879</v>
      </c>
    </row>
    <row r="208" spans="1:4" ht="36" customHeight="1">
      <c r="A208" s="26">
        <v>203</v>
      </c>
      <c r="B208" s="25" t="s">
        <v>4044</v>
      </c>
      <c r="C208" s="8" t="s">
        <v>4045</v>
      </c>
      <c r="D208" s="8" t="s">
        <v>3879</v>
      </c>
    </row>
    <row r="209" spans="1:4" ht="36" customHeight="1">
      <c r="A209" s="26">
        <v>204</v>
      </c>
      <c r="B209" s="25" t="s">
        <v>4046</v>
      </c>
      <c r="C209" s="8" t="s">
        <v>4047</v>
      </c>
      <c r="D209" s="8" t="s">
        <v>3879</v>
      </c>
    </row>
    <row r="210" spans="1:4" ht="36" customHeight="1">
      <c r="A210" s="26">
        <v>205</v>
      </c>
      <c r="B210" s="25" t="s">
        <v>4046</v>
      </c>
      <c r="C210" s="8" t="s">
        <v>4047</v>
      </c>
      <c r="D210" s="8" t="s">
        <v>3879</v>
      </c>
    </row>
    <row r="211" spans="1:4" ht="36" customHeight="1">
      <c r="A211" s="26">
        <v>206</v>
      </c>
      <c r="B211" s="25" t="s">
        <v>4048</v>
      </c>
      <c r="C211" s="8" t="s">
        <v>4049</v>
      </c>
      <c r="D211" s="8" t="s">
        <v>3879</v>
      </c>
    </row>
    <row r="212" spans="1:4" ht="36" customHeight="1">
      <c r="A212" s="26">
        <v>207</v>
      </c>
      <c r="B212" s="25" t="s">
        <v>4050</v>
      </c>
      <c r="C212" s="8" t="s">
        <v>4051</v>
      </c>
      <c r="D212" s="8" t="s">
        <v>3879</v>
      </c>
    </row>
    <row r="213" spans="1:4" ht="36" customHeight="1">
      <c r="A213" s="26">
        <v>208</v>
      </c>
      <c r="B213" s="25" t="s">
        <v>2881</v>
      </c>
      <c r="C213" s="8" t="s">
        <v>2882</v>
      </c>
      <c r="D213" s="8" t="s">
        <v>3868</v>
      </c>
    </row>
    <row r="214" spans="1:4" ht="36" customHeight="1">
      <c r="A214" s="26">
        <v>209</v>
      </c>
      <c r="B214" s="25" t="s">
        <v>4052</v>
      </c>
      <c r="C214" s="8" t="s">
        <v>4053</v>
      </c>
      <c r="D214" s="8" t="s">
        <v>3868</v>
      </c>
    </row>
    <row r="215" spans="1:4" ht="36" customHeight="1">
      <c r="A215" s="26">
        <v>210</v>
      </c>
      <c r="B215" s="25" t="s">
        <v>4054</v>
      </c>
      <c r="C215" s="8" t="s">
        <v>4055</v>
      </c>
      <c r="D215" s="8" t="s">
        <v>3868</v>
      </c>
    </row>
    <row r="216" spans="1:4" ht="36" customHeight="1">
      <c r="A216" s="26">
        <v>211</v>
      </c>
      <c r="B216" s="25" t="s">
        <v>4056</v>
      </c>
      <c r="C216" s="8" t="s">
        <v>4057</v>
      </c>
      <c r="D216" s="8" t="s">
        <v>3868</v>
      </c>
    </row>
    <row r="217" spans="1:4" ht="36" customHeight="1">
      <c r="A217" s="26">
        <v>212</v>
      </c>
      <c r="B217" s="25" t="s">
        <v>4058</v>
      </c>
      <c r="C217" s="8" t="s">
        <v>4059</v>
      </c>
      <c r="D217" s="8" t="s">
        <v>3868</v>
      </c>
    </row>
    <row r="218" spans="1:4" ht="36" customHeight="1">
      <c r="A218" s="26">
        <v>213</v>
      </c>
      <c r="B218" s="25" t="s">
        <v>4060</v>
      </c>
      <c r="C218" s="8" t="s">
        <v>4061</v>
      </c>
      <c r="D218" s="8" t="s">
        <v>3879</v>
      </c>
    </row>
    <row r="219" spans="1:4" ht="36" customHeight="1">
      <c r="A219" s="26">
        <v>214</v>
      </c>
      <c r="B219" s="25" t="s">
        <v>3935</v>
      </c>
      <c r="C219" s="8" t="s">
        <v>3936</v>
      </c>
      <c r="D219" s="8" t="s">
        <v>3879</v>
      </c>
    </row>
    <row r="220" spans="1:4" ht="36" customHeight="1">
      <c r="A220" s="26">
        <v>215</v>
      </c>
      <c r="B220" s="25" t="s">
        <v>4062</v>
      </c>
      <c r="C220" s="8" t="s">
        <v>4063</v>
      </c>
      <c r="D220" s="8" t="s">
        <v>3879</v>
      </c>
    </row>
    <row r="221" spans="1:4" ht="36" customHeight="1">
      <c r="A221" s="26">
        <v>216</v>
      </c>
      <c r="B221" s="25" t="s">
        <v>4064</v>
      </c>
      <c r="C221" s="8" t="s">
        <v>4065</v>
      </c>
      <c r="D221" s="8" t="s">
        <v>3879</v>
      </c>
    </row>
    <row r="222" spans="1:4" ht="36" customHeight="1">
      <c r="A222" s="26">
        <v>217</v>
      </c>
      <c r="B222" s="25" t="s">
        <v>4066</v>
      </c>
      <c r="C222" s="8" t="s">
        <v>4067</v>
      </c>
      <c r="D222" s="8" t="s">
        <v>3930</v>
      </c>
    </row>
    <row r="223" spans="1:4" ht="36" customHeight="1">
      <c r="A223" s="26">
        <v>218</v>
      </c>
      <c r="B223" s="25" t="s">
        <v>2727</v>
      </c>
      <c r="C223" s="8" t="s">
        <v>2728</v>
      </c>
      <c r="D223" s="8" t="s">
        <v>3879</v>
      </c>
    </row>
    <row r="224" spans="1:4" ht="36" customHeight="1">
      <c r="A224" s="26">
        <v>219</v>
      </c>
      <c r="B224" s="25" t="s">
        <v>4068</v>
      </c>
      <c r="C224" s="8" t="s">
        <v>4069</v>
      </c>
      <c r="D224" s="8" t="s">
        <v>3868</v>
      </c>
    </row>
    <row r="225" spans="1:4" ht="36" customHeight="1">
      <c r="A225" s="26">
        <v>220</v>
      </c>
      <c r="B225" s="25" t="s">
        <v>2833</v>
      </c>
      <c r="C225" s="8" t="s">
        <v>2834</v>
      </c>
      <c r="D225" s="8" t="s">
        <v>3879</v>
      </c>
    </row>
    <row r="226" spans="1:4" ht="36" customHeight="1">
      <c r="A226" s="26">
        <v>221</v>
      </c>
      <c r="B226" s="25" t="s">
        <v>2845</v>
      </c>
      <c r="C226" s="8" t="s">
        <v>2846</v>
      </c>
      <c r="D226" s="8" t="s">
        <v>3879</v>
      </c>
    </row>
    <row r="227" spans="1:4" ht="36" customHeight="1">
      <c r="A227" s="26">
        <v>222</v>
      </c>
      <c r="B227" s="25" t="s">
        <v>4070</v>
      </c>
      <c r="C227" s="8" t="s">
        <v>4071</v>
      </c>
      <c r="D227" s="8" t="s">
        <v>3879</v>
      </c>
    </row>
    <row r="228" spans="1:4" ht="36" customHeight="1">
      <c r="A228" s="26">
        <v>223</v>
      </c>
      <c r="B228" s="25" t="s">
        <v>2712</v>
      </c>
      <c r="C228" s="8" t="s">
        <v>2713</v>
      </c>
      <c r="D228" s="8" t="s">
        <v>3879</v>
      </c>
    </row>
    <row r="229" spans="1:4" ht="36" customHeight="1">
      <c r="A229" s="26">
        <v>224</v>
      </c>
      <c r="B229" s="25" t="s">
        <v>2625</v>
      </c>
      <c r="C229" s="8" t="s">
        <v>2626</v>
      </c>
      <c r="D229" s="8" t="s">
        <v>3879</v>
      </c>
    </row>
    <row r="230" spans="1:4" ht="36" customHeight="1">
      <c r="A230" s="26">
        <v>225</v>
      </c>
      <c r="B230" s="25" t="s">
        <v>4040</v>
      </c>
      <c r="C230" s="8" t="s">
        <v>4041</v>
      </c>
      <c r="D230" s="8" t="s">
        <v>3879</v>
      </c>
    </row>
    <row r="231" spans="1:4" ht="36" customHeight="1">
      <c r="A231" s="26">
        <v>226</v>
      </c>
      <c r="B231" s="25" t="s">
        <v>2694</v>
      </c>
      <c r="C231" s="8" t="s">
        <v>2695</v>
      </c>
      <c r="D231" s="8" t="s">
        <v>3879</v>
      </c>
    </row>
    <row r="232" spans="1:4" ht="36" customHeight="1">
      <c r="A232" s="26">
        <v>227</v>
      </c>
      <c r="B232" s="25" t="s">
        <v>3969</v>
      </c>
      <c r="C232" s="8" t="s">
        <v>3447</v>
      </c>
      <c r="D232" s="8" t="s">
        <v>3879</v>
      </c>
    </row>
    <row r="233" spans="1:4" ht="36" customHeight="1">
      <c r="A233" s="26">
        <v>228</v>
      </c>
      <c r="B233" s="25" t="s">
        <v>3969</v>
      </c>
      <c r="C233" s="8" t="s">
        <v>3447</v>
      </c>
      <c r="D233" s="8" t="s">
        <v>3879</v>
      </c>
    </row>
    <row r="234" spans="1:4" ht="36" customHeight="1">
      <c r="A234" s="26">
        <v>229</v>
      </c>
      <c r="B234" s="25" t="s">
        <v>2775</v>
      </c>
      <c r="C234" s="8" t="s">
        <v>2776</v>
      </c>
      <c r="D234" s="8" t="s">
        <v>3879</v>
      </c>
    </row>
    <row r="235" spans="1:4" ht="36" customHeight="1">
      <c r="A235" s="26">
        <v>230</v>
      </c>
      <c r="B235" s="25" t="s">
        <v>4072</v>
      </c>
      <c r="C235" s="8" t="s">
        <v>4073</v>
      </c>
      <c r="D235" s="8" t="s">
        <v>3879</v>
      </c>
    </row>
    <row r="236" spans="1:4" ht="36" customHeight="1">
      <c r="A236" s="26">
        <v>231</v>
      </c>
      <c r="B236" s="25" t="s">
        <v>2748</v>
      </c>
      <c r="C236" s="8" t="s">
        <v>2749</v>
      </c>
      <c r="D236" s="8" t="s">
        <v>3879</v>
      </c>
    </row>
    <row r="237" spans="1:4" ht="36" customHeight="1">
      <c r="A237" s="26">
        <v>232</v>
      </c>
      <c r="B237" s="25" t="s">
        <v>4001</v>
      </c>
      <c r="C237" s="8" t="s">
        <v>4002</v>
      </c>
      <c r="D237" s="8" t="s">
        <v>3879</v>
      </c>
    </row>
    <row r="238" spans="1:4" ht="36" customHeight="1">
      <c r="A238" s="26">
        <v>233</v>
      </c>
      <c r="B238" s="25" t="s">
        <v>4074</v>
      </c>
      <c r="C238" s="8" t="s">
        <v>4075</v>
      </c>
      <c r="D238" s="8" t="s">
        <v>3868</v>
      </c>
    </row>
    <row r="239" spans="1:4" ht="36" customHeight="1">
      <c r="A239" s="26">
        <v>234</v>
      </c>
      <c r="B239" s="25" t="s">
        <v>4076</v>
      </c>
      <c r="C239" s="8" t="s">
        <v>3580</v>
      </c>
      <c r="D239" s="8" t="s">
        <v>3930</v>
      </c>
    </row>
    <row r="240" spans="1:4" ht="36" customHeight="1">
      <c r="A240" s="26">
        <v>235</v>
      </c>
      <c r="B240" s="25" t="s">
        <v>4077</v>
      </c>
      <c r="C240" s="8" t="s">
        <v>4078</v>
      </c>
      <c r="D240" s="8" t="s">
        <v>3879</v>
      </c>
    </row>
    <row r="241" spans="1:4" ht="36" customHeight="1">
      <c r="A241" s="26">
        <v>236</v>
      </c>
      <c r="B241" s="25" t="s">
        <v>4079</v>
      </c>
      <c r="C241" s="8" t="s">
        <v>4080</v>
      </c>
      <c r="D241" s="8" t="s">
        <v>3879</v>
      </c>
    </row>
    <row r="242" spans="1:4" ht="36" customHeight="1">
      <c r="A242" s="26">
        <v>237</v>
      </c>
      <c r="B242" s="25" t="s">
        <v>4081</v>
      </c>
      <c r="C242" s="8" t="s">
        <v>4082</v>
      </c>
      <c r="D242" s="8" t="s">
        <v>3868</v>
      </c>
    </row>
    <row r="243" spans="1:4" ht="36" customHeight="1">
      <c r="A243" s="26">
        <v>238</v>
      </c>
      <c r="B243" s="25" t="s">
        <v>4083</v>
      </c>
      <c r="C243" s="8" t="s">
        <v>4084</v>
      </c>
      <c r="D243" s="8" t="s">
        <v>3879</v>
      </c>
    </row>
    <row r="244" spans="1:4" ht="36" customHeight="1">
      <c r="A244" s="26">
        <v>239</v>
      </c>
      <c r="B244" s="25" t="s">
        <v>2412</v>
      </c>
      <c r="C244" s="8" t="s">
        <v>2413</v>
      </c>
      <c r="D244" s="8" t="s">
        <v>3879</v>
      </c>
    </row>
    <row r="245" spans="1:4" ht="36" customHeight="1">
      <c r="A245" s="26">
        <v>240</v>
      </c>
      <c r="B245" s="25" t="s">
        <v>3980</v>
      </c>
      <c r="C245" s="8" t="s">
        <v>3981</v>
      </c>
      <c r="D245" s="8" t="s">
        <v>3879</v>
      </c>
    </row>
    <row r="246" spans="1:4" ht="36" customHeight="1">
      <c r="A246" s="26">
        <v>241</v>
      </c>
      <c r="B246" s="25" t="s">
        <v>2658</v>
      </c>
      <c r="C246" s="8" t="s">
        <v>2659</v>
      </c>
      <c r="D246" s="8" t="s">
        <v>3879</v>
      </c>
    </row>
    <row r="247" spans="1:4" ht="36" customHeight="1">
      <c r="A247" s="26">
        <v>242</v>
      </c>
      <c r="B247" s="25" t="s">
        <v>2673</v>
      </c>
      <c r="C247" s="8" t="s">
        <v>2674</v>
      </c>
      <c r="D247" s="8" t="s">
        <v>3879</v>
      </c>
    </row>
    <row r="248" spans="1:4" ht="36" customHeight="1">
      <c r="A248" s="26">
        <v>243</v>
      </c>
      <c r="B248" s="25" t="s">
        <v>2778</v>
      </c>
      <c r="C248" s="8" t="s">
        <v>2779</v>
      </c>
      <c r="D248" s="8" t="s">
        <v>3879</v>
      </c>
    </row>
    <row r="249" spans="1:4" ht="36" customHeight="1">
      <c r="A249" s="26">
        <v>244</v>
      </c>
      <c r="B249" s="25" t="s">
        <v>3935</v>
      </c>
      <c r="C249" s="8" t="s">
        <v>3936</v>
      </c>
      <c r="D249" s="8" t="s">
        <v>3879</v>
      </c>
    </row>
    <row r="250" spans="1:4" ht="36" customHeight="1">
      <c r="A250" s="26">
        <v>245</v>
      </c>
      <c r="B250" s="25" t="s">
        <v>2823</v>
      </c>
      <c r="C250" s="8" t="s">
        <v>2824</v>
      </c>
      <c r="D250" s="8" t="s">
        <v>3879</v>
      </c>
    </row>
    <row r="251" spans="1:4" ht="36" customHeight="1">
      <c r="A251" s="26">
        <v>246</v>
      </c>
      <c r="B251" s="25" t="s">
        <v>2823</v>
      </c>
      <c r="C251" s="8" t="s">
        <v>2824</v>
      </c>
      <c r="D251" s="8" t="s">
        <v>3879</v>
      </c>
    </row>
    <row r="252" spans="1:4" ht="36" customHeight="1">
      <c r="A252" s="26">
        <v>247</v>
      </c>
      <c r="B252" s="25" t="s">
        <v>2634</v>
      </c>
      <c r="C252" s="8" t="s">
        <v>2635</v>
      </c>
      <c r="D252" s="8" t="s">
        <v>3879</v>
      </c>
    </row>
    <row r="253" spans="1:4" ht="36" customHeight="1">
      <c r="A253" s="26">
        <v>248</v>
      </c>
      <c r="B253" s="25" t="s">
        <v>2634</v>
      </c>
      <c r="C253" s="8" t="s">
        <v>2635</v>
      </c>
      <c r="D253" s="8" t="s">
        <v>3879</v>
      </c>
    </row>
    <row r="254" spans="1:4" ht="36" customHeight="1">
      <c r="A254" s="26">
        <v>249</v>
      </c>
      <c r="B254" s="25" t="s">
        <v>2634</v>
      </c>
      <c r="C254" s="8" t="s">
        <v>2635</v>
      </c>
      <c r="D254" s="8" t="s">
        <v>3879</v>
      </c>
    </row>
    <row r="255" spans="1:4" ht="36" customHeight="1">
      <c r="A255" s="26">
        <v>250</v>
      </c>
      <c r="B255" s="25" t="s">
        <v>4085</v>
      </c>
      <c r="C255" s="8" t="s">
        <v>4086</v>
      </c>
      <c r="D255" s="8" t="s">
        <v>3879</v>
      </c>
    </row>
    <row r="256" spans="1:4" ht="36" customHeight="1">
      <c r="A256" s="26">
        <v>251</v>
      </c>
      <c r="B256" s="25" t="s">
        <v>4087</v>
      </c>
      <c r="C256" s="8" t="s">
        <v>4088</v>
      </c>
      <c r="D256" s="8" t="s">
        <v>3879</v>
      </c>
    </row>
    <row r="257" spans="1:4" ht="36" customHeight="1">
      <c r="A257" s="26">
        <v>252</v>
      </c>
      <c r="B257" s="25" t="s">
        <v>4089</v>
      </c>
      <c r="C257" s="8" t="s">
        <v>4090</v>
      </c>
      <c r="D257" s="8" t="s">
        <v>3879</v>
      </c>
    </row>
    <row r="258" spans="1:4" ht="36" customHeight="1">
      <c r="A258" s="26">
        <v>253</v>
      </c>
      <c r="B258" s="25" t="s">
        <v>2715</v>
      </c>
      <c r="C258" s="8" t="s">
        <v>2716</v>
      </c>
      <c r="D258" s="8" t="s">
        <v>3879</v>
      </c>
    </row>
    <row r="259" spans="1:4" ht="36" customHeight="1">
      <c r="A259" s="26">
        <v>254</v>
      </c>
      <c r="B259" s="25" t="s">
        <v>2715</v>
      </c>
      <c r="C259" s="8" t="s">
        <v>2716</v>
      </c>
      <c r="D259" s="8" t="s">
        <v>3879</v>
      </c>
    </row>
    <row r="260" spans="1:4" ht="36" customHeight="1">
      <c r="A260" s="26">
        <v>255</v>
      </c>
      <c r="B260" s="25" t="s">
        <v>4091</v>
      </c>
      <c r="C260" s="8" t="s">
        <v>4092</v>
      </c>
      <c r="D260" s="8" t="s">
        <v>3879</v>
      </c>
    </row>
    <row r="261" spans="1:4" ht="36" customHeight="1">
      <c r="A261" s="26">
        <v>256</v>
      </c>
      <c r="B261" s="25" t="s">
        <v>4091</v>
      </c>
      <c r="C261" s="8" t="s">
        <v>4092</v>
      </c>
      <c r="D261" s="8" t="s">
        <v>3879</v>
      </c>
    </row>
    <row r="262" spans="1:4" ht="36" customHeight="1">
      <c r="A262" s="26">
        <v>257</v>
      </c>
      <c r="B262" s="25" t="s">
        <v>4093</v>
      </c>
      <c r="C262" s="8" t="s">
        <v>4094</v>
      </c>
      <c r="D262" s="8" t="s">
        <v>3879</v>
      </c>
    </row>
    <row r="263" spans="1:4" ht="36" customHeight="1">
      <c r="A263" s="26">
        <v>258</v>
      </c>
      <c r="B263" s="25" t="s">
        <v>2775</v>
      </c>
      <c r="C263" s="8" t="s">
        <v>2776</v>
      </c>
      <c r="D263" s="8" t="s">
        <v>3879</v>
      </c>
    </row>
    <row r="264" spans="1:4" ht="36" customHeight="1">
      <c r="A264" s="26">
        <v>259</v>
      </c>
      <c r="B264" s="25" t="s">
        <v>2658</v>
      </c>
      <c r="C264" s="8" t="s">
        <v>2659</v>
      </c>
      <c r="D264" s="8" t="s">
        <v>3879</v>
      </c>
    </row>
    <row r="265" spans="1:4" ht="36" customHeight="1">
      <c r="A265" s="26">
        <v>260</v>
      </c>
      <c r="B265" s="25" t="s">
        <v>2658</v>
      </c>
      <c r="C265" s="8" t="s">
        <v>2659</v>
      </c>
      <c r="D265" s="8" t="s">
        <v>3879</v>
      </c>
    </row>
    <row r="266" spans="1:4" ht="36" customHeight="1">
      <c r="A266" s="26">
        <v>261</v>
      </c>
      <c r="B266" s="25" t="s">
        <v>2691</v>
      </c>
      <c r="C266" s="8" t="s">
        <v>2692</v>
      </c>
      <c r="D266" s="8" t="s">
        <v>3879</v>
      </c>
    </row>
    <row r="267" spans="1:4" ht="36" customHeight="1">
      <c r="A267" s="26">
        <v>262</v>
      </c>
      <c r="B267" s="25" t="s">
        <v>2700</v>
      </c>
      <c r="C267" s="8" t="s">
        <v>2701</v>
      </c>
      <c r="D267" s="8" t="s">
        <v>3879</v>
      </c>
    </row>
    <row r="268" spans="1:4" ht="36" customHeight="1">
      <c r="A268" s="26">
        <v>263</v>
      </c>
      <c r="B268" s="25" t="s">
        <v>3967</v>
      </c>
      <c r="C268" s="8" t="s">
        <v>3968</v>
      </c>
      <c r="D268" s="8" t="s">
        <v>3879</v>
      </c>
    </row>
    <row r="269" spans="1:4" ht="36" customHeight="1">
      <c r="A269" s="26">
        <v>264</v>
      </c>
      <c r="B269" s="25" t="s">
        <v>4095</v>
      </c>
      <c r="C269" s="8" t="s">
        <v>4096</v>
      </c>
      <c r="D269" s="8" t="s">
        <v>3879</v>
      </c>
    </row>
    <row r="270" spans="1:4" ht="36" customHeight="1">
      <c r="A270" s="26">
        <v>265</v>
      </c>
      <c r="B270" s="25" t="s">
        <v>4095</v>
      </c>
      <c r="C270" s="8" t="s">
        <v>4096</v>
      </c>
      <c r="D270" s="8" t="s">
        <v>3879</v>
      </c>
    </row>
    <row r="271" spans="1:4" ht="36" customHeight="1">
      <c r="A271" s="26">
        <v>266</v>
      </c>
      <c r="B271" s="25" t="s">
        <v>4097</v>
      </c>
      <c r="C271" s="8" t="s">
        <v>4098</v>
      </c>
      <c r="D271" s="8" t="s">
        <v>3879</v>
      </c>
    </row>
    <row r="272" spans="1:4" ht="36" customHeight="1">
      <c r="A272" s="26">
        <v>267</v>
      </c>
      <c r="B272" s="25" t="s">
        <v>4099</v>
      </c>
      <c r="C272" s="8" t="s">
        <v>4100</v>
      </c>
      <c r="D272" s="8" t="s">
        <v>3868</v>
      </c>
    </row>
    <row r="273" spans="1:4" ht="36" customHeight="1">
      <c r="A273" s="26">
        <v>268</v>
      </c>
      <c r="B273" s="25" t="s">
        <v>4001</v>
      </c>
      <c r="C273" s="8" t="s">
        <v>4002</v>
      </c>
      <c r="D273" s="8" t="s">
        <v>3879</v>
      </c>
    </row>
    <row r="274" spans="1:4" ht="36" customHeight="1">
      <c r="A274" s="26">
        <v>269</v>
      </c>
      <c r="B274" s="25" t="s">
        <v>4101</v>
      </c>
      <c r="C274" s="8" t="s">
        <v>4102</v>
      </c>
      <c r="D274" s="8" t="s">
        <v>3879</v>
      </c>
    </row>
    <row r="275" spans="1:4" ht="36" customHeight="1">
      <c r="A275" s="26">
        <v>270</v>
      </c>
      <c r="B275" s="25" t="s">
        <v>4103</v>
      </c>
      <c r="C275" s="8" t="s">
        <v>4104</v>
      </c>
      <c r="D275" s="8" t="s">
        <v>3868</v>
      </c>
    </row>
    <row r="276" spans="1:4" ht="36" customHeight="1">
      <c r="A276" s="26">
        <v>271</v>
      </c>
      <c r="B276" s="25" t="s">
        <v>2412</v>
      </c>
      <c r="C276" s="8" t="s">
        <v>2413</v>
      </c>
      <c r="D276" s="8" t="s">
        <v>3879</v>
      </c>
    </row>
    <row r="277" spans="1:4" ht="36" customHeight="1">
      <c r="A277" s="26">
        <v>272</v>
      </c>
      <c r="B277" s="25" t="s">
        <v>4105</v>
      </c>
      <c r="C277" s="8" t="s">
        <v>4106</v>
      </c>
      <c r="D277" s="8" t="s">
        <v>3930</v>
      </c>
    </row>
    <row r="278" spans="1:4" ht="36" customHeight="1">
      <c r="A278" s="26">
        <v>273</v>
      </c>
      <c r="B278" s="25" t="s">
        <v>4107</v>
      </c>
      <c r="C278" s="8" t="s">
        <v>4108</v>
      </c>
      <c r="D278" s="8" t="s">
        <v>3879</v>
      </c>
    </row>
    <row r="279" spans="1:4" ht="36" customHeight="1">
      <c r="A279" s="26">
        <v>274</v>
      </c>
      <c r="B279" s="25" t="s">
        <v>2679</v>
      </c>
      <c r="C279" s="8" t="s">
        <v>2680</v>
      </c>
      <c r="D279" s="8" t="s">
        <v>3879</v>
      </c>
    </row>
    <row r="280" spans="1:4" ht="36" customHeight="1">
      <c r="A280" s="26">
        <v>275</v>
      </c>
      <c r="B280" s="25" t="s">
        <v>2733</v>
      </c>
      <c r="C280" s="8" t="s">
        <v>2734</v>
      </c>
      <c r="D280" s="8" t="s">
        <v>3879</v>
      </c>
    </row>
    <row r="281" spans="1:4" ht="36" customHeight="1">
      <c r="A281" s="26">
        <v>276</v>
      </c>
      <c r="B281" s="25" t="s">
        <v>3969</v>
      </c>
      <c r="C281" s="8" t="s">
        <v>3447</v>
      </c>
      <c r="D281" s="8" t="s">
        <v>3879</v>
      </c>
    </row>
    <row r="282" spans="1:4" ht="36" customHeight="1">
      <c r="A282" s="26">
        <v>277</v>
      </c>
      <c r="B282" s="25" t="s">
        <v>3969</v>
      </c>
      <c r="C282" s="8" t="s">
        <v>3447</v>
      </c>
      <c r="D282" s="8" t="s">
        <v>3879</v>
      </c>
    </row>
    <row r="283" spans="1:4" ht="36" customHeight="1">
      <c r="A283" s="26">
        <v>278</v>
      </c>
      <c r="B283" s="25" t="s">
        <v>4095</v>
      </c>
      <c r="C283" s="8" t="s">
        <v>4096</v>
      </c>
      <c r="D283" s="8" t="s">
        <v>3879</v>
      </c>
    </row>
    <row r="284" spans="1:4" ht="36" customHeight="1">
      <c r="A284" s="26">
        <v>279</v>
      </c>
      <c r="B284" s="25" t="s">
        <v>4109</v>
      </c>
      <c r="C284" s="8" t="s">
        <v>4110</v>
      </c>
      <c r="D284" s="8" t="s">
        <v>3879</v>
      </c>
    </row>
    <row r="285" spans="1:4" ht="36" customHeight="1">
      <c r="A285" s="26">
        <v>280</v>
      </c>
      <c r="B285" s="25" t="s">
        <v>2673</v>
      </c>
      <c r="C285" s="8" t="s">
        <v>2674</v>
      </c>
      <c r="D285" s="8" t="s">
        <v>3879</v>
      </c>
    </row>
    <row r="286" spans="1:4" ht="36" customHeight="1">
      <c r="A286" s="26">
        <v>281</v>
      </c>
      <c r="B286" s="25" t="s">
        <v>2953</v>
      </c>
      <c r="C286" s="8" t="s">
        <v>2954</v>
      </c>
      <c r="D286" s="8" t="s">
        <v>3879</v>
      </c>
    </row>
    <row r="287" spans="1:4" ht="36" customHeight="1">
      <c r="A287" s="26">
        <v>282</v>
      </c>
      <c r="B287" s="25" t="s">
        <v>2953</v>
      </c>
      <c r="C287" s="8" t="s">
        <v>2954</v>
      </c>
      <c r="D287" s="8" t="s">
        <v>3879</v>
      </c>
    </row>
    <row r="288" spans="1:4" ht="36" customHeight="1">
      <c r="A288" s="26">
        <v>283</v>
      </c>
      <c r="B288" s="25" t="s">
        <v>4083</v>
      </c>
      <c r="C288" s="8" t="s">
        <v>4084</v>
      </c>
      <c r="D288" s="8" t="s">
        <v>3879</v>
      </c>
    </row>
    <row r="289" spans="1:4" ht="36" customHeight="1">
      <c r="A289" s="26">
        <v>284</v>
      </c>
      <c r="B289" s="25" t="s">
        <v>4111</v>
      </c>
      <c r="C289" s="8" t="s">
        <v>4112</v>
      </c>
      <c r="D289" s="8" t="s">
        <v>3879</v>
      </c>
    </row>
    <row r="290" spans="1:4" ht="36" customHeight="1">
      <c r="A290" s="26">
        <v>285</v>
      </c>
      <c r="B290" s="25" t="s">
        <v>4113</v>
      </c>
      <c r="C290" s="8" t="s">
        <v>4114</v>
      </c>
      <c r="D290" s="8" t="s">
        <v>3868</v>
      </c>
    </row>
    <row r="291" spans="1:4" ht="36" customHeight="1">
      <c r="A291" s="26">
        <v>286</v>
      </c>
      <c r="B291" s="25" t="s">
        <v>4115</v>
      </c>
      <c r="C291" s="8" t="s">
        <v>4116</v>
      </c>
      <c r="D291" s="8" t="s">
        <v>3868</v>
      </c>
    </row>
    <row r="292" spans="1:4" ht="36" customHeight="1">
      <c r="A292" s="26">
        <v>287</v>
      </c>
      <c r="B292" s="25" t="s">
        <v>2658</v>
      </c>
      <c r="C292" s="8" t="s">
        <v>2659</v>
      </c>
      <c r="D292" s="8" t="s">
        <v>3879</v>
      </c>
    </row>
    <row r="293" spans="1:4" ht="36" customHeight="1">
      <c r="A293" s="26">
        <v>288</v>
      </c>
      <c r="B293" s="25" t="s">
        <v>2658</v>
      </c>
      <c r="C293" s="8" t="s">
        <v>2659</v>
      </c>
      <c r="D293" s="8" t="s">
        <v>3879</v>
      </c>
    </row>
    <row r="294" spans="1:4" ht="36" customHeight="1">
      <c r="A294" s="26">
        <v>289</v>
      </c>
      <c r="B294" s="25" t="s">
        <v>3916</v>
      </c>
      <c r="C294" s="8" t="s">
        <v>3917</v>
      </c>
      <c r="D294" s="8" t="s">
        <v>3879</v>
      </c>
    </row>
    <row r="295" spans="1:4" ht="36" customHeight="1">
      <c r="A295" s="26">
        <v>290</v>
      </c>
      <c r="B295" s="25" t="s">
        <v>2866</v>
      </c>
      <c r="C295" s="8" t="s">
        <v>2867</v>
      </c>
      <c r="D295" s="8" t="s">
        <v>3868</v>
      </c>
    </row>
    <row r="296" spans="1:4" ht="36" customHeight="1">
      <c r="A296" s="26">
        <v>291</v>
      </c>
      <c r="B296" s="25" t="s">
        <v>4117</v>
      </c>
      <c r="C296" s="8" t="s">
        <v>4118</v>
      </c>
      <c r="D296" s="8" t="s">
        <v>3879</v>
      </c>
    </row>
    <row r="297" spans="1:4" ht="36" customHeight="1">
      <c r="A297" s="26">
        <v>292</v>
      </c>
      <c r="B297" s="25" t="s">
        <v>4119</v>
      </c>
      <c r="C297" s="8" t="s">
        <v>4120</v>
      </c>
      <c r="D297" s="8" t="s">
        <v>3868</v>
      </c>
    </row>
    <row r="298" spans="1:4" ht="36" customHeight="1">
      <c r="A298" s="26">
        <v>293</v>
      </c>
      <c r="B298" s="25" t="s">
        <v>2679</v>
      </c>
      <c r="C298" s="8" t="s">
        <v>2680</v>
      </c>
      <c r="D298" s="8" t="s">
        <v>3879</v>
      </c>
    </row>
    <row r="299" spans="1:4" ht="36" customHeight="1">
      <c r="A299" s="26">
        <v>294</v>
      </c>
      <c r="B299" s="25" t="s">
        <v>2688</v>
      </c>
      <c r="C299" s="8" t="s">
        <v>2689</v>
      </c>
      <c r="D299" s="8" t="s">
        <v>3879</v>
      </c>
    </row>
    <row r="300" spans="1:4" ht="36" customHeight="1">
      <c r="A300" s="26">
        <v>295</v>
      </c>
      <c r="B300" s="25" t="s">
        <v>2634</v>
      </c>
      <c r="C300" s="8" t="s">
        <v>2635</v>
      </c>
      <c r="D300" s="8" t="s">
        <v>3879</v>
      </c>
    </row>
    <row r="301" spans="1:4" ht="36" customHeight="1">
      <c r="A301" s="26">
        <v>296</v>
      </c>
      <c r="B301" s="25" t="s">
        <v>2625</v>
      </c>
      <c r="C301" s="8" t="s">
        <v>2626</v>
      </c>
      <c r="D301" s="8" t="s">
        <v>3879</v>
      </c>
    </row>
    <row r="302" spans="1:4" ht="36" customHeight="1">
      <c r="A302" s="26">
        <v>297</v>
      </c>
      <c r="B302" s="25" t="s">
        <v>4040</v>
      </c>
      <c r="C302" s="8" t="s">
        <v>4041</v>
      </c>
      <c r="D302" s="8" t="s">
        <v>3879</v>
      </c>
    </row>
    <row r="303" spans="1:4" ht="36" customHeight="1">
      <c r="A303" s="26">
        <v>298</v>
      </c>
      <c r="B303" s="25" t="s">
        <v>4040</v>
      </c>
      <c r="C303" s="8" t="s">
        <v>4041</v>
      </c>
      <c r="D303" s="8" t="s">
        <v>3879</v>
      </c>
    </row>
    <row r="304" spans="1:4" ht="36" customHeight="1">
      <c r="A304" s="26">
        <v>299</v>
      </c>
      <c r="B304" s="25" t="s">
        <v>4025</v>
      </c>
      <c r="C304" s="8" t="s">
        <v>4026</v>
      </c>
      <c r="D304" s="8" t="s">
        <v>3879</v>
      </c>
    </row>
    <row r="305" spans="1:4" ht="36" customHeight="1">
      <c r="A305" s="26">
        <v>300</v>
      </c>
      <c r="B305" s="25" t="s">
        <v>3982</v>
      </c>
      <c r="C305" s="8" t="s">
        <v>3983</v>
      </c>
      <c r="D305" s="8" t="s">
        <v>3879</v>
      </c>
    </row>
    <row r="306" spans="1:4" ht="36" customHeight="1">
      <c r="A306" s="26">
        <v>301</v>
      </c>
      <c r="B306" s="25" t="s">
        <v>2346</v>
      </c>
      <c r="C306" s="8" t="s">
        <v>2347</v>
      </c>
      <c r="D306" s="8" t="s">
        <v>3879</v>
      </c>
    </row>
    <row r="307" spans="1:4" ht="36" customHeight="1">
      <c r="A307" s="26">
        <v>302</v>
      </c>
      <c r="B307" s="25" t="s">
        <v>2730</v>
      </c>
      <c r="C307" s="8" t="s">
        <v>2731</v>
      </c>
      <c r="D307" s="8" t="s">
        <v>3879</v>
      </c>
    </row>
    <row r="308" spans="1:4" ht="36" customHeight="1">
      <c r="A308" s="26">
        <v>303</v>
      </c>
      <c r="B308" s="25" t="s">
        <v>2388</v>
      </c>
      <c r="C308" s="8" t="s">
        <v>2389</v>
      </c>
      <c r="D308" s="8" t="s">
        <v>3879</v>
      </c>
    </row>
    <row r="309" spans="1:4" ht="36" customHeight="1">
      <c r="A309" s="26">
        <v>304</v>
      </c>
      <c r="B309" s="25" t="s">
        <v>4091</v>
      </c>
      <c r="C309" s="8" t="s">
        <v>4092</v>
      </c>
      <c r="D309" s="8" t="s">
        <v>3879</v>
      </c>
    </row>
    <row r="310" spans="1:4" ht="36" customHeight="1">
      <c r="A310" s="26">
        <v>305</v>
      </c>
      <c r="B310" s="25" t="s">
        <v>4121</v>
      </c>
      <c r="C310" s="8" t="s">
        <v>4122</v>
      </c>
      <c r="D310" s="8" t="s">
        <v>3879</v>
      </c>
    </row>
    <row r="311" spans="1:4" ht="36" customHeight="1">
      <c r="A311" s="26">
        <v>306</v>
      </c>
      <c r="B311" s="25" t="s">
        <v>2379</v>
      </c>
      <c r="C311" s="8" t="s">
        <v>2380</v>
      </c>
      <c r="D311" s="8" t="s">
        <v>3879</v>
      </c>
    </row>
    <row r="312" spans="1:4" ht="36" customHeight="1">
      <c r="A312" s="26">
        <v>307</v>
      </c>
      <c r="B312" s="25" t="s">
        <v>2430</v>
      </c>
      <c r="C312" s="8" t="s">
        <v>2431</v>
      </c>
      <c r="D312" s="8" t="s">
        <v>3879</v>
      </c>
    </row>
    <row r="313" spans="1:4" ht="36" customHeight="1">
      <c r="A313" s="26">
        <v>308</v>
      </c>
      <c r="B313" s="25" t="s">
        <v>4123</v>
      </c>
      <c r="C313" s="8" t="s">
        <v>4124</v>
      </c>
      <c r="D313" s="8" t="s">
        <v>3879</v>
      </c>
    </row>
    <row r="314" spans="1:4" ht="36" customHeight="1">
      <c r="A314" s="26">
        <v>309</v>
      </c>
      <c r="B314" s="25" t="s">
        <v>4125</v>
      </c>
      <c r="C314" s="8" t="s">
        <v>4126</v>
      </c>
      <c r="D314" s="8" t="s">
        <v>3868</v>
      </c>
    </row>
    <row r="315" spans="1:4" ht="36" customHeight="1">
      <c r="A315" s="26">
        <v>310</v>
      </c>
      <c r="B315" s="25" t="s">
        <v>2917</v>
      </c>
      <c r="C315" s="8" t="s">
        <v>2918</v>
      </c>
      <c r="D315" s="8" t="s">
        <v>3868</v>
      </c>
    </row>
    <row r="316" spans="1:4" ht="36" customHeight="1">
      <c r="A316" s="26">
        <v>311</v>
      </c>
      <c r="B316" s="25" t="s">
        <v>4127</v>
      </c>
      <c r="C316" s="8" t="s">
        <v>4128</v>
      </c>
      <c r="D316" s="8" t="s">
        <v>3868</v>
      </c>
    </row>
    <row r="317" spans="1:4" ht="36" customHeight="1">
      <c r="A317" s="26">
        <v>312</v>
      </c>
      <c r="B317" s="25" t="s">
        <v>4129</v>
      </c>
      <c r="C317" s="8" t="s">
        <v>4130</v>
      </c>
      <c r="D317" s="8" t="s">
        <v>3868</v>
      </c>
    </row>
    <row r="318" spans="1:4" ht="36" customHeight="1">
      <c r="A318" s="26">
        <v>313</v>
      </c>
      <c r="B318" s="25" t="s">
        <v>2634</v>
      </c>
      <c r="C318" s="8" t="s">
        <v>2635</v>
      </c>
      <c r="D318" s="8" t="s">
        <v>3879</v>
      </c>
    </row>
    <row r="319" spans="1:4" ht="36" customHeight="1">
      <c r="A319" s="26">
        <v>314</v>
      </c>
      <c r="B319" s="25" t="s">
        <v>4025</v>
      </c>
      <c r="C319" s="8" t="s">
        <v>4026</v>
      </c>
      <c r="D319" s="8" t="s">
        <v>3879</v>
      </c>
    </row>
    <row r="320" spans="1:4" ht="36" customHeight="1">
      <c r="A320" s="26">
        <v>315</v>
      </c>
      <c r="B320" s="25" t="s">
        <v>3980</v>
      </c>
      <c r="C320" s="8" t="s">
        <v>3981</v>
      </c>
      <c r="D320" s="8" t="s">
        <v>3879</v>
      </c>
    </row>
    <row r="321" spans="1:4" ht="36" customHeight="1">
      <c r="A321" s="26">
        <v>316</v>
      </c>
      <c r="B321" s="25" t="s">
        <v>4131</v>
      </c>
      <c r="C321" s="8" t="s">
        <v>4132</v>
      </c>
      <c r="D321" s="8" t="s">
        <v>3879</v>
      </c>
    </row>
    <row r="322" spans="1:4" ht="36" customHeight="1">
      <c r="A322" s="26">
        <v>317</v>
      </c>
      <c r="B322" s="25" t="s">
        <v>2920</v>
      </c>
      <c r="C322" s="8" t="s">
        <v>2921</v>
      </c>
      <c r="D322" s="8" t="s">
        <v>3868</v>
      </c>
    </row>
    <row r="323" spans="1:4" ht="36" customHeight="1">
      <c r="A323" s="26">
        <v>318</v>
      </c>
      <c r="B323" s="25" t="s">
        <v>4133</v>
      </c>
      <c r="C323" s="8" t="s">
        <v>4134</v>
      </c>
      <c r="D323" s="8" t="s">
        <v>3930</v>
      </c>
    </row>
    <row r="324" spans="1:4" ht="36" customHeight="1">
      <c r="A324" s="26">
        <v>319</v>
      </c>
      <c r="B324" s="25" t="s">
        <v>4135</v>
      </c>
      <c r="C324" s="8" t="s">
        <v>4136</v>
      </c>
      <c r="D324" s="8" t="s">
        <v>3879</v>
      </c>
    </row>
    <row r="325" spans="1:4" ht="36" customHeight="1">
      <c r="A325" s="26">
        <v>320</v>
      </c>
      <c r="B325" s="25" t="s">
        <v>2842</v>
      </c>
      <c r="C325" s="8" t="s">
        <v>2843</v>
      </c>
      <c r="D325" s="8" t="s">
        <v>3879</v>
      </c>
    </row>
    <row r="326" spans="1:4" ht="36" customHeight="1">
      <c r="A326" s="26">
        <v>321</v>
      </c>
      <c r="B326" s="25" t="s">
        <v>2637</v>
      </c>
      <c r="C326" s="8" t="s">
        <v>2638</v>
      </c>
      <c r="D326" s="8" t="s">
        <v>3879</v>
      </c>
    </row>
    <row r="327" spans="1:4" ht="36" customHeight="1">
      <c r="A327" s="26">
        <v>322</v>
      </c>
      <c r="B327" s="25" t="s">
        <v>4137</v>
      </c>
      <c r="C327" s="8" t="s">
        <v>4138</v>
      </c>
      <c r="D327" s="8" t="s">
        <v>3879</v>
      </c>
    </row>
    <row r="328" spans="1:4" ht="36" customHeight="1">
      <c r="A328" s="26">
        <v>323</v>
      </c>
      <c r="B328" s="25" t="s">
        <v>4038</v>
      </c>
      <c r="C328" s="8" t="s">
        <v>4039</v>
      </c>
      <c r="D328" s="8" t="s">
        <v>3879</v>
      </c>
    </row>
    <row r="329" spans="1:4" ht="36" customHeight="1">
      <c r="A329" s="26">
        <v>324</v>
      </c>
      <c r="B329" s="25" t="s">
        <v>4077</v>
      </c>
      <c r="C329" s="8" t="s">
        <v>4078</v>
      </c>
      <c r="D329" s="8" t="s">
        <v>3879</v>
      </c>
    </row>
    <row r="330" spans="1:4" ht="36" customHeight="1">
      <c r="A330" s="26">
        <v>325</v>
      </c>
      <c r="B330" s="25" t="s">
        <v>4139</v>
      </c>
      <c r="C330" s="8" t="s">
        <v>4140</v>
      </c>
      <c r="D330" s="8" t="s">
        <v>3879</v>
      </c>
    </row>
    <row r="331" spans="1:4" ht="36" customHeight="1">
      <c r="A331" s="26">
        <v>326</v>
      </c>
      <c r="B331" s="25" t="s">
        <v>4141</v>
      </c>
      <c r="C331" s="8" t="s">
        <v>4142</v>
      </c>
      <c r="D331" s="8" t="s">
        <v>3879</v>
      </c>
    </row>
    <row r="332" spans="1:4" ht="36" customHeight="1">
      <c r="A332" s="26">
        <v>327</v>
      </c>
      <c r="B332" s="25" t="s">
        <v>4143</v>
      </c>
      <c r="C332" s="8" t="s">
        <v>4144</v>
      </c>
      <c r="D332" s="8" t="s">
        <v>3879</v>
      </c>
    </row>
    <row r="333" spans="1:4" ht="36" customHeight="1">
      <c r="A333" s="26">
        <v>328</v>
      </c>
      <c r="B333" s="25" t="s">
        <v>4079</v>
      </c>
      <c r="C333" s="8" t="s">
        <v>4080</v>
      </c>
      <c r="D333" s="8" t="s">
        <v>3879</v>
      </c>
    </row>
    <row r="334" spans="1:4" ht="36" customHeight="1">
      <c r="A334" s="26">
        <v>329</v>
      </c>
      <c r="B334" s="25" t="s">
        <v>4145</v>
      </c>
      <c r="C334" s="8" t="s">
        <v>4146</v>
      </c>
      <c r="D334" s="8" t="s">
        <v>3879</v>
      </c>
    </row>
    <row r="335" spans="1:4" ht="36" customHeight="1">
      <c r="A335" s="26">
        <v>330</v>
      </c>
      <c r="B335" s="25" t="s">
        <v>4147</v>
      </c>
      <c r="C335" s="8" t="s">
        <v>4148</v>
      </c>
      <c r="D335" s="8" t="s">
        <v>3879</v>
      </c>
    </row>
    <row r="336" spans="1:4" ht="36" customHeight="1">
      <c r="A336" s="26">
        <v>331</v>
      </c>
      <c r="B336" s="25" t="s">
        <v>4123</v>
      </c>
      <c r="C336" s="8" t="s">
        <v>4124</v>
      </c>
      <c r="D336" s="8" t="s">
        <v>3879</v>
      </c>
    </row>
    <row r="337" spans="1:4" ht="36" customHeight="1">
      <c r="A337" s="26">
        <v>332</v>
      </c>
      <c r="B337" s="25" t="s">
        <v>4149</v>
      </c>
      <c r="C337" s="8" t="s">
        <v>4150</v>
      </c>
      <c r="D337" s="8" t="s">
        <v>3930</v>
      </c>
    </row>
    <row r="338" spans="1:4" ht="36" customHeight="1">
      <c r="A338" s="26">
        <v>333</v>
      </c>
      <c r="B338" s="25" t="s">
        <v>2637</v>
      </c>
      <c r="C338" s="8" t="s">
        <v>2638</v>
      </c>
      <c r="D338" s="8" t="s">
        <v>3879</v>
      </c>
    </row>
    <row r="339" spans="1:4" ht="36" customHeight="1">
      <c r="A339" s="26">
        <v>334</v>
      </c>
      <c r="B339" s="25" t="s">
        <v>4091</v>
      </c>
      <c r="C339" s="8" t="s">
        <v>4092</v>
      </c>
      <c r="D339" s="8" t="s">
        <v>3879</v>
      </c>
    </row>
    <row r="340" spans="1:4" ht="36" customHeight="1">
      <c r="A340" s="26">
        <v>335</v>
      </c>
      <c r="B340" s="25" t="s">
        <v>4123</v>
      </c>
      <c r="C340" s="8" t="s">
        <v>4124</v>
      </c>
      <c r="D340" s="8" t="s">
        <v>3879</v>
      </c>
    </row>
    <row r="341" spans="1:4" ht="36" customHeight="1">
      <c r="A341" s="26">
        <v>336</v>
      </c>
      <c r="B341" s="25" t="s">
        <v>4151</v>
      </c>
      <c r="C341" s="8" t="s">
        <v>4152</v>
      </c>
      <c r="D341" s="8" t="s">
        <v>3868</v>
      </c>
    </row>
    <row r="342" spans="1:4" ht="36" customHeight="1">
      <c r="A342" s="26">
        <v>337</v>
      </c>
      <c r="B342" s="25" t="s">
        <v>2640</v>
      </c>
      <c r="C342" s="8" t="s">
        <v>2641</v>
      </c>
      <c r="D342" s="8" t="s">
        <v>3879</v>
      </c>
    </row>
    <row r="343" spans="1:4" ht="36" customHeight="1">
      <c r="A343" s="26">
        <v>338</v>
      </c>
      <c r="B343" s="25" t="s">
        <v>4153</v>
      </c>
      <c r="C343" s="8" t="s">
        <v>4154</v>
      </c>
      <c r="D343" s="8" t="s">
        <v>3879</v>
      </c>
    </row>
    <row r="344" spans="1:4" ht="36" customHeight="1">
      <c r="A344" s="26">
        <v>339</v>
      </c>
      <c r="B344" s="25" t="s">
        <v>4155</v>
      </c>
      <c r="C344" s="8" t="s">
        <v>4156</v>
      </c>
      <c r="D344" s="8" t="s">
        <v>3879</v>
      </c>
    </row>
    <row r="345" spans="1:4" ht="36" customHeight="1">
      <c r="A345" s="26">
        <v>340</v>
      </c>
      <c r="B345" s="25" t="s">
        <v>4155</v>
      </c>
      <c r="C345" s="8" t="s">
        <v>4156</v>
      </c>
      <c r="D345" s="8" t="s">
        <v>3879</v>
      </c>
    </row>
    <row r="346" spans="1:4" ht="36" customHeight="1">
      <c r="A346" s="26">
        <v>341</v>
      </c>
      <c r="B346" s="25" t="s">
        <v>2658</v>
      </c>
      <c r="C346" s="8" t="s">
        <v>2659</v>
      </c>
      <c r="D346" s="8" t="s">
        <v>3879</v>
      </c>
    </row>
    <row r="347" spans="1:4" ht="36" customHeight="1">
      <c r="A347" s="26">
        <v>342</v>
      </c>
      <c r="B347" s="25" t="s">
        <v>4157</v>
      </c>
      <c r="C347" s="8" t="s">
        <v>4158</v>
      </c>
      <c r="D347" s="8" t="s">
        <v>3868</v>
      </c>
    </row>
    <row r="348" spans="1:4" ht="36" customHeight="1">
      <c r="A348" s="26">
        <v>343</v>
      </c>
      <c r="B348" s="25" t="s">
        <v>4159</v>
      </c>
      <c r="C348" s="8" t="s">
        <v>4160</v>
      </c>
      <c r="D348" s="8" t="s">
        <v>3868</v>
      </c>
    </row>
    <row r="349" spans="1:4" ht="36" customHeight="1">
      <c r="A349" s="26">
        <v>344</v>
      </c>
      <c r="B349" s="25" t="s">
        <v>4161</v>
      </c>
      <c r="C349" s="8" t="s">
        <v>4162</v>
      </c>
      <c r="D349" s="8" t="s">
        <v>3868</v>
      </c>
    </row>
    <row r="350" spans="1:4" ht="36" customHeight="1">
      <c r="A350" s="26">
        <v>345</v>
      </c>
      <c r="B350" s="25" t="s">
        <v>4163</v>
      </c>
      <c r="C350" s="8" t="s">
        <v>4164</v>
      </c>
      <c r="D350" s="8" t="s">
        <v>3930</v>
      </c>
    </row>
    <row r="351" spans="1:4" ht="36" customHeight="1">
      <c r="A351" s="26">
        <v>346</v>
      </c>
      <c r="B351" s="25" t="s">
        <v>4139</v>
      </c>
      <c r="C351" s="8" t="s">
        <v>4140</v>
      </c>
      <c r="D351" s="8" t="s">
        <v>3879</v>
      </c>
    </row>
    <row r="352" spans="1:4" ht="36" customHeight="1">
      <c r="A352" s="26">
        <v>347</v>
      </c>
      <c r="B352" s="25" t="s">
        <v>2679</v>
      </c>
      <c r="C352" s="8" t="s">
        <v>2680</v>
      </c>
      <c r="D352" s="8" t="s">
        <v>3879</v>
      </c>
    </row>
    <row r="353" spans="1:4" ht="36" customHeight="1">
      <c r="A353" s="26">
        <v>348</v>
      </c>
      <c r="B353" s="25" t="s">
        <v>2646</v>
      </c>
      <c r="C353" s="8" t="s">
        <v>2647</v>
      </c>
      <c r="D353" s="8" t="s">
        <v>3879</v>
      </c>
    </row>
    <row r="354" spans="1:4" ht="36" customHeight="1">
      <c r="A354" s="26">
        <v>349</v>
      </c>
      <c r="B354" s="25" t="s">
        <v>2628</v>
      </c>
      <c r="C354" s="8" t="s">
        <v>2629</v>
      </c>
      <c r="D354" s="8" t="s">
        <v>3879</v>
      </c>
    </row>
    <row r="355" spans="1:4" ht="36" customHeight="1">
      <c r="A355" s="26">
        <v>350</v>
      </c>
      <c r="B355" s="25" t="s">
        <v>2754</v>
      </c>
      <c r="C355" s="8" t="s">
        <v>2755</v>
      </c>
      <c r="D355" s="8" t="s">
        <v>3879</v>
      </c>
    </row>
    <row r="356" spans="1:4" ht="36" customHeight="1">
      <c r="A356" s="26">
        <v>351</v>
      </c>
      <c r="B356" s="25" t="s">
        <v>2754</v>
      </c>
      <c r="C356" s="8" t="s">
        <v>2755</v>
      </c>
      <c r="D356" s="8" t="s">
        <v>3879</v>
      </c>
    </row>
    <row r="357" spans="1:4" ht="36" customHeight="1">
      <c r="A357" s="26">
        <v>352</v>
      </c>
      <c r="B357" s="25" t="s">
        <v>2397</v>
      </c>
      <c r="C357" s="8" t="s">
        <v>2398</v>
      </c>
      <c r="D357" s="8" t="s">
        <v>3879</v>
      </c>
    </row>
    <row r="358" spans="1:4" ht="36" customHeight="1">
      <c r="A358" s="26">
        <v>353</v>
      </c>
      <c r="B358" s="25" t="s">
        <v>2397</v>
      </c>
      <c r="C358" s="8" t="s">
        <v>2398</v>
      </c>
      <c r="D358" s="8" t="s">
        <v>3879</v>
      </c>
    </row>
    <row r="359" spans="1:4" ht="36" customHeight="1">
      <c r="A359" s="26">
        <v>354</v>
      </c>
      <c r="B359" s="25" t="s">
        <v>4165</v>
      </c>
      <c r="C359" s="8" t="s">
        <v>4166</v>
      </c>
      <c r="D359" s="8" t="s">
        <v>3879</v>
      </c>
    </row>
    <row r="360" spans="1:4" ht="36" customHeight="1">
      <c r="A360" s="26">
        <v>355</v>
      </c>
      <c r="B360" s="25" t="s">
        <v>4021</v>
      </c>
      <c r="C360" s="8" t="s">
        <v>4022</v>
      </c>
      <c r="D360" s="8" t="s">
        <v>3879</v>
      </c>
    </row>
    <row r="361" spans="1:4" ht="36" customHeight="1">
      <c r="A361" s="26">
        <v>356</v>
      </c>
      <c r="B361" s="25" t="s">
        <v>4021</v>
      </c>
      <c r="C361" s="8" t="s">
        <v>4022</v>
      </c>
      <c r="D361" s="8" t="s">
        <v>3879</v>
      </c>
    </row>
    <row r="362" spans="1:4" ht="36" customHeight="1">
      <c r="A362" s="26">
        <v>357</v>
      </c>
      <c r="B362" s="25" t="s">
        <v>4021</v>
      </c>
      <c r="C362" s="8" t="s">
        <v>4022</v>
      </c>
      <c r="D362" s="8" t="s">
        <v>3879</v>
      </c>
    </row>
    <row r="363" spans="1:4" ht="36" customHeight="1">
      <c r="A363" s="26">
        <v>358</v>
      </c>
      <c r="B363" s="25" t="s">
        <v>2839</v>
      </c>
      <c r="C363" s="8" t="s">
        <v>2840</v>
      </c>
      <c r="D363" s="8" t="s">
        <v>3879</v>
      </c>
    </row>
    <row r="364" spans="1:4" ht="36" customHeight="1">
      <c r="A364" s="26">
        <v>359</v>
      </c>
      <c r="B364" s="25" t="s">
        <v>2784</v>
      </c>
      <c r="C364" s="8" t="s">
        <v>2785</v>
      </c>
      <c r="D364" s="8" t="s">
        <v>3879</v>
      </c>
    </row>
    <row r="365" spans="1:4" ht="36" customHeight="1">
      <c r="A365" s="26">
        <v>360</v>
      </c>
      <c r="B365" s="25" t="s">
        <v>4025</v>
      </c>
      <c r="C365" s="8" t="s">
        <v>4026</v>
      </c>
      <c r="D365" s="8" t="s">
        <v>3879</v>
      </c>
    </row>
    <row r="366" spans="1:4" ht="36" customHeight="1">
      <c r="A366" s="26">
        <v>361</v>
      </c>
      <c r="B366" s="25" t="s">
        <v>2727</v>
      </c>
      <c r="C366" s="8" t="s">
        <v>2728</v>
      </c>
      <c r="D366" s="8" t="s">
        <v>3879</v>
      </c>
    </row>
    <row r="367" spans="1:4" ht="36" customHeight="1">
      <c r="A367" s="26">
        <v>362</v>
      </c>
      <c r="B367" s="25" t="s">
        <v>2661</v>
      </c>
      <c r="C367" s="8" t="s">
        <v>2662</v>
      </c>
      <c r="D367" s="8" t="s">
        <v>3879</v>
      </c>
    </row>
    <row r="368" spans="1:4" ht="36" customHeight="1">
      <c r="A368" s="26">
        <v>363</v>
      </c>
      <c r="B368" s="25" t="s">
        <v>4167</v>
      </c>
      <c r="C368" s="8" t="s">
        <v>4168</v>
      </c>
      <c r="D368" s="8" t="s">
        <v>3879</v>
      </c>
    </row>
    <row r="369" spans="1:4" ht="36" customHeight="1">
      <c r="A369" s="26">
        <v>364</v>
      </c>
      <c r="B369" s="25" t="s">
        <v>4169</v>
      </c>
      <c r="C369" s="8" t="s">
        <v>4170</v>
      </c>
      <c r="D369" s="8" t="s">
        <v>3879</v>
      </c>
    </row>
    <row r="370" spans="1:4" ht="36" customHeight="1">
      <c r="A370" s="26">
        <v>365</v>
      </c>
      <c r="B370" s="25" t="s">
        <v>4171</v>
      </c>
      <c r="C370" s="8" t="s">
        <v>4172</v>
      </c>
      <c r="D370" s="8" t="s">
        <v>3879</v>
      </c>
    </row>
    <row r="371" spans="1:4" ht="36" customHeight="1">
      <c r="A371" s="26">
        <v>366</v>
      </c>
      <c r="B371" s="25" t="s">
        <v>2721</v>
      </c>
      <c r="C371" s="8" t="s">
        <v>2722</v>
      </c>
      <c r="D371" s="8" t="s">
        <v>3879</v>
      </c>
    </row>
    <row r="372" spans="1:4" ht="36" customHeight="1">
      <c r="A372" s="26">
        <v>367</v>
      </c>
      <c r="B372" s="25" t="s">
        <v>4079</v>
      </c>
      <c r="C372" s="8" t="s">
        <v>4080</v>
      </c>
      <c r="D372" s="8" t="s">
        <v>3879</v>
      </c>
    </row>
    <row r="373" spans="1:4" ht="36" customHeight="1">
      <c r="A373" s="26">
        <v>368</v>
      </c>
      <c r="B373" s="25" t="s">
        <v>4145</v>
      </c>
      <c r="C373" s="8" t="s">
        <v>4146</v>
      </c>
      <c r="D373" s="8" t="s">
        <v>3879</v>
      </c>
    </row>
    <row r="374" spans="1:4" ht="36" customHeight="1">
      <c r="A374" s="26">
        <v>369</v>
      </c>
      <c r="B374" s="25" t="s">
        <v>4145</v>
      </c>
      <c r="C374" s="8" t="s">
        <v>4146</v>
      </c>
      <c r="D374" s="8" t="s">
        <v>3879</v>
      </c>
    </row>
    <row r="375" spans="1:4" ht="36" customHeight="1">
      <c r="A375" s="26">
        <v>370</v>
      </c>
      <c r="B375" s="25" t="s">
        <v>4145</v>
      </c>
      <c r="C375" s="8" t="s">
        <v>4146</v>
      </c>
      <c r="D375" s="8" t="s">
        <v>3879</v>
      </c>
    </row>
    <row r="376" spans="1:4" ht="36" customHeight="1">
      <c r="A376" s="26">
        <v>371</v>
      </c>
      <c r="B376" s="25" t="s">
        <v>2658</v>
      </c>
      <c r="C376" s="8" t="s">
        <v>2659</v>
      </c>
      <c r="D376" s="8" t="s">
        <v>3879</v>
      </c>
    </row>
    <row r="377" spans="1:4" ht="36" customHeight="1">
      <c r="A377" s="26">
        <v>372</v>
      </c>
      <c r="B377" s="25" t="s">
        <v>2736</v>
      </c>
      <c r="C377" s="8" t="s">
        <v>2737</v>
      </c>
      <c r="D377" s="8" t="s">
        <v>3879</v>
      </c>
    </row>
    <row r="378" spans="1:4" ht="36" customHeight="1">
      <c r="A378" s="26">
        <v>373</v>
      </c>
      <c r="B378" s="25" t="s">
        <v>4173</v>
      </c>
      <c r="C378" s="8" t="s">
        <v>4174</v>
      </c>
      <c r="D378" s="8" t="s">
        <v>3879</v>
      </c>
    </row>
    <row r="379" spans="1:4" ht="36" customHeight="1">
      <c r="A379" s="26">
        <v>374</v>
      </c>
      <c r="B379" s="25" t="s">
        <v>4175</v>
      </c>
      <c r="C379" s="8" t="s">
        <v>4176</v>
      </c>
      <c r="D379" s="8" t="s">
        <v>3879</v>
      </c>
    </row>
    <row r="380" spans="1:4" ht="36" customHeight="1">
      <c r="A380" s="26">
        <v>375</v>
      </c>
      <c r="B380" s="25" t="s">
        <v>4175</v>
      </c>
      <c r="C380" s="8" t="s">
        <v>4176</v>
      </c>
      <c r="D380" s="8" t="s">
        <v>3879</v>
      </c>
    </row>
    <row r="381" spans="1:4" ht="36" customHeight="1">
      <c r="A381" s="26">
        <v>376</v>
      </c>
      <c r="B381" s="25" t="s">
        <v>4109</v>
      </c>
      <c r="C381" s="8" t="s">
        <v>4110</v>
      </c>
      <c r="D381" s="8" t="s">
        <v>3879</v>
      </c>
    </row>
    <row r="382" spans="1:4" ht="36" customHeight="1">
      <c r="A382" s="26">
        <v>377</v>
      </c>
      <c r="B382" s="25" t="s">
        <v>4177</v>
      </c>
      <c r="C382" s="8" t="s">
        <v>4178</v>
      </c>
      <c r="D382" s="8" t="s">
        <v>3879</v>
      </c>
    </row>
    <row r="383" spans="1:4" ht="36" customHeight="1">
      <c r="A383" s="26">
        <v>378</v>
      </c>
      <c r="B383" s="25" t="s">
        <v>2685</v>
      </c>
      <c r="C383" s="8" t="s">
        <v>2686</v>
      </c>
      <c r="D383" s="8" t="s">
        <v>3879</v>
      </c>
    </row>
    <row r="384" spans="1:4" ht="36" customHeight="1">
      <c r="A384" s="26">
        <v>379</v>
      </c>
      <c r="B384" s="25" t="s">
        <v>4179</v>
      </c>
      <c r="C384" s="8" t="s">
        <v>4180</v>
      </c>
      <c r="D384" s="8" t="s">
        <v>3868</v>
      </c>
    </row>
    <row r="385" spans="1:4" ht="36" customHeight="1">
      <c r="A385" s="26">
        <v>380</v>
      </c>
      <c r="B385" s="25" t="s">
        <v>2941</v>
      </c>
      <c r="C385" s="8" t="s">
        <v>2942</v>
      </c>
      <c r="D385" s="8" t="s">
        <v>3868</v>
      </c>
    </row>
    <row r="386" spans="1:4" ht="36" customHeight="1">
      <c r="A386" s="26">
        <v>381</v>
      </c>
      <c r="B386" s="25" t="s">
        <v>4181</v>
      </c>
      <c r="C386" s="8" t="s">
        <v>4182</v>
      </c>
      <c r="D386" s="8" t="s">
        <v>3868</v>
      </c>
    </row>
    <row r="387" spans="1:4" ht="36" customHeight="1">
      <c r="A387" s="26">
        <v>382</v>
      </c>
      <c r="B387" s="25" t="s">
        <v>4183</v>
      </c>
      <c r="C387" s="8" t="s">
        <v>4184</v>
      </c>
      <c r="D387" s="8" t="s">
        <v>3868</v>
      </c>
    </row>
    <row r="388" spans="1:4" ht="36" customHeight="1">
      <c r="A388" s="26">
        <v>383</v>
      </c>
      <c r="B388" s="25" t="s">
        <v>4185</v>
      </c>
      <c r="C388" s="8" t="s">
        <v>4186</v>
      </c>
      <c r="D388" s="8" t="s">
        <v>3868</v>
      </c>
    </row>
    <row r="389" spans="1:4" ht="36" customHeight="1">
      <c r="A389" s="26">
        <v>384</v>
      </c>
      <c r="B389" s="25" t="s">
        <v>4187</v>
      </c>
      <c r="C389" s="8" t="s">
        <v>4188</v>
      </c>
      <c r="D389" s="8" t="s">
        <v>3868</v>
      </c>
    </row>
    <row r="390" spans="1:4" ht="36" customHeight="1">
      <c r="A390" s="26">
        <v>385</v>
      </c>
      <c r="B390" s="25" t="s">
        <v>4189</v>
      </c>
      <c r="C390" s="8" t="s">
        <v>4190</v>
      </c>
      <c r="D390" s="8" t="s">
        <v>3930</v>
      </c>
    </row>
    <row r="391" spans="1:4" ht="36" customHeight="1">
      <c r="A391" s="26">
        <v>386</v>
      </c>
      <c r="B391" s="25" t="s">
        <v>2364</v>
      </c>
      <c r="C391" s="8" t="s">
        <v>2365</v>
      </c>
      <c r="D391" s="8" t="s">
        <v>3930</v>
      </c>
    </row>
    <row r="392" spans="1:4" ht="36" customHeight="1">
      <c r="A392" s="26">
        <v>387</v>
      </c>
      <c r="B392" s="25" t="s">
        <v>4191</v>
      </c>
      <c r="C392" s="8" t="s">
        <v>4192</v>
      </c>
      <c r="D392" s="8" t="s">
        <v>3930</v>
      </c>
    </row>
    <row r="393" spans="1:4" ht="36" customHeight="1">
      <c r="A393" s="26">
        <v>388</v>
      </c>
      <c r="B393" s="25" t="s">
        <v>2367</v>
      </c>
      <c r="C393" s="8" t="s">
        <v>2368</v>
      </c>
      <c r="D393" s="8" t="s">
        <v>3930</v>
      </c>
    </row>
    <row r="394" spans="1:4" ht="36" customHeight="1">
      <c r="A394" s="26">
        <v>389</v>
      </c>
      <c r="B394" s="25" t="s">
        <v>2730</v>
      </c>
      <c r="C394" s="8" t="s">
        <v>2731</v>
      </c>
      <c r="D394" s="8" t="s">
        <v>3879</v>
      </c>
    </row>
    <row r="395" spans="1:4" ht="36" customHeight="1">
      <c r="A395" s="26">
        <v>390</v>
      </c>
      <c r="B395" s="25" t="s">
        <v>2658</v>
      </c>
      <c r="C395" s="8" t="s">
        <v>2659</v>
      </c>
      <c r="D395" s="8" t="s">
        <v>3879</v>
      </c>
    </row>
    <row r="396" spans="1:4" ht="36" customHeight="1">
      <c r="A396" s="26">
        <v>391</v>
      </c>
      <c r="B396" s="25" t="s">
        <v>4193</v>
      </c>
      <c r="C396" s="8" t="s">
        <v>4194</v>
      </c>
      <c r="D396" s="8" t="s">
        <v>3868</v>
      </c>
    </row>
    <row r="397" spans="1:4" ht="36" customHeight="1">
      <c r="A397" s="26">
        <v>392</v>
      </c>
      <c r="B397" s="25" t="s">
        <v>4195</v>
      </c>
      <c r="C397" s="8" t="s">
        <v>4196</v>
      </c>
      <c r="D397" s="8" t="s">
        <v>3879</v>
      </c>
    </row>
    <row r="398" spans="1:4" ht="36" customHeight="1">
      <c r="A398" s="26">
        <v>393</v>
      </c>
      <c r="B398" s="25" t="s">
        <v>4064</v>
      </c>
      <c r="C398" s="8" t="s">
        <v>4065</v>
      </c>
      <c r="D398" s="8" t="s">
        <v>3879</v>
      </c>
    </row>
    <row r="399" spans="1:4" ht="36" customHeight="1">
      <c r="A399" s="26">
        <v>394</v>
      </c>
      <c r="B399" s="25" t="s">
        <v>2376</v>
      </c>
      <c r="C399" s="8" t="s">
        <v>2377</v>
      </c>
      <c r="D399" s="8" t="s">
        <v>3879</v>
      </c>
    </row>
    <row r="400" spans="1:4" ht="36" customHeight="1">
      <c r="A400" s="26">
        <v>395</v>
      </c>
      <c r="B400" s="25" t="s">
        <v>4197</v>
      </c>
      <c r="C400" s="8" t="s">
        <v>4198</v>
      </c>
      <c r="D400" s="8" t="s">
        <v>3879</v>
      </c>
    </row>
    <row r="401" spans="1:4" ht="36" customHeight="1">
      <c r="A401" s="26">
        <v>396</v>
      </c>
      <c r="B401" s="25" t="s">
        <v>4199</v>
      </c>
      <c r="C401" s="8" t="s">
        <v>4200</v>
      </c>
      <c r="D401" s="8" t="s">
        <v>3930</v>
      </c>
    </row>
    <row r="402" spans="1:4" ht="36" customHeight="1">
      <c r="A402" s="26">
        <v>397</v>
      </c>
      <c r="B402" s="25" t="s">
        <v>2682</v>
      </c>
      <c r="C402" s="8" t="s">
        <v>2683</v>
      </c>
      <c r="D402" s="8" t="s">
        <v>3879</v>
      </c>
    </row>
    <row r="403" spans="1:4" ht="36" customHeight="1">
      <c r="A403" s="26">
        <v>398</v>
      </c>
      <c r="B403" s="25" t="s">
        <v>2346</v>
      </c>
      <c r="C403" s="8" t="s">
        <v>2347</v>
      </c>
      <c r="D403" s="8" t="s">
        <v>3879</v>
      </c>
    </row>
    <row r="404" spans="1:4" ht="36" customHeight="1">
      <c r="A404" s="26">
        <v>399</v>
      </c>
      <c r="B404" s="25" t="s">
        <v>4091</v>
      </c>
      <c r="C404" s="8" t="s">
        <v>4092</v>
      </c>
      <c r="D404" s="8" t="s">
        <v>3879</v>
      </c>
    </row>
    <row r="405" spans="1:4" ht="36" customHeight="1">
      <c r="A405" s="26">
        <v>400</v>
      </c>
      <c r="B405" s="25" t="s">
        <v>3986</v>
      </c>
      <c r="C405" s="8" t="s">
        <v>3987</v>
      </c>
      <c r="D405" s="8" t="s">
        <v>3879</v>
      </c>
    </row>
    <row r="406" spans="1:4" ht="36" customHeight="1">
      <c r="A406" s="26">
        <v>401</v>
      </c>
      <c r="B406" s="25" t="s">
        <v>4177</v>
      </c>
      <c r="C406" s="8" t="s">
        <v>4178</v>
      </c>
      <c r="D406" s="8" t="s">
        <v>3879</v>
      </c>
    </row>
    <row r="407" spans="1:4" ht="36" customHeight="1">
      <c r="A407" s="26">
        <v>402</v>
      </c>
      <c r="B407" s="25" t="s">
        <v>4201</v>
      </c>
      <c r="C407" s="8" t="s">
        <v>4202</v>
      </c>
      <c r="D407" s="8" t="s">
        <v>3879</v>
      </c>
    </row>
    <row r="408" spans="1:4" ht="36" customHeight="1">
      <c r="A408" s="26">
        <v>403</v>
      </c>
      <c r="B408" s="25" t="s">
        <v>4203</v>
      </c>
      <c r="C408" s="8" t="s">
        <v>4204</v>
      </c>
      <c r="D408" s="8" t="s">
        <v>3868</v>
      </c>
    </row>
    <row r="409" spans="1:4" ht="36" customHeight="1">
      <c r="A409" s="26">
        <v>404</v>
      </c>
      <c r="B409" s="25" t="s">
        <v>2385</v>
      </c>
      <c r="C409" s="8" t="s">
        <v>2386</v>
      </c>
      <c r="D409" s="8" t="s">
        <v>3879</v>
      </c>
    </row>
    <row r="410" spans="1:4" ht="36" customHeight="1">
      <c r="A410" s="26">
        <v>405</v>
      </c>
      <c r="B410" s="25" t="s">
        <v>2833</v>
      </c>
      <c r="C410" s="8" t="s">
        <v>2834</v>
      </c>
      <c r="D410" s="8" t="s">
        <v>3879</v>
      </c>
    </row>
    <row r="411" spans="1:4" ht="36" customHeight="1">
      <c r="A411" s="26">
        <v>406</v>
      </c>
      <c r="B411" s="25" t="s">
        <v>2724</v>
      </c>
      <c r="C411" s="8" t="s">
        <v>2725</v>
      </c>
      <c r="D411" s="8" t="s">
        <v>3879</v>
      </c>
    </row>
    <row r="412" spans="1:4" ht="36" customHeight="1">
      <c r="A412" s="26">
        <v>407</v>
      </c>
      <c r="B412" s="25" t="s">
        <v>4169</v>
      </c>
      <c r="C412" s="8" t="s">
        <v>4170</v>
      </c>
      <c r="D412" s="8" t="s">
        <v>3879</v>
      </c>
    </row>
    <row r="413" spans="1:4" ht="36" customHeight="1">
      <c r="A413" s="26">
        <v>408</v>
      </c>
      <c r="B413" s="25" t="s">
        <v>4141</v>
      </c>
      <c r="C413" s="8" t="s">
        <v>4142</v>
      </c>
      <c r="D413" s="8" t="s">
        <v>3879</v>
      </c>
    </row>
    <row r="414" spans="1:4" ht="36" customHeight="1">
      <c r="A414" s="26">
        <v>409</v>
      </c>
      <c r="B414" s="25" t="s">
        <v>2631</v>
      </c>
      <c r="C414" s="8" t="s">
        <v>2632</v>
      </c>
      <c r="D414" s="8" t="s">
        <v>3879</v>
      </c>
    </row>
    <row r="415" spans="1:4" ht="36" customHeight="1">
      <c r="A415" s="26">
        <v>410</v>
      </c>
      <c r="B415" s="25" t="s">
        <v>2658</v>
      </c>
      <c r="C415" s="8" t="s">
        <v>2659</v>
      </c>
      <c r="D415" s="8" t="s">
        <v>3879</v>
      </c>
    </row>
    <row r="416" spans="1:4" ht="36" customHeight="1">
      <c r="A416" s="26">
        <v>411</v>
      </c>
      <c r="B416" s="25" t="s">
        <v>4205</v>
      </c>
      <c r="C416" s="8" t="s">
        <v>4206</v>
      </c>
      <c r="D416" s="8" t="s">
        <v>3868</v>
      </c>
    </row>
    <row r="417" spans="1:4" ht="36" customHeight="1">
      <c r="A417" s="26">
        <v>412</v>
      </c>
      <c r="B417" s="25" t="s">
        <v>4207</v>
      </c>
      <c r="C417" s="8" t="s">
        <v>4208</v>
      </c>
      <c r="D417" s="8" t="s">
        <v>3930</v>
      </c>
    </row>
    <row r="418" spans="1:4" ht="36" customHeight="1">
      <c r="A418" s="26">
        <v>413</v>
      </c>
      <c r="B418" s="25" t="s">
        <v>4209</v>
      </c>
      <c r="C418" s="8" t="s">
        <v>4210</v>
      </c>
      <c r="D418" s="8" t="s">
        <v>3930</v>
      </c>
    </row>
    <row r="419" spans="1:4" ht="36" customHeight="1">
      <c r="A419" s="26">
        <v>414</v>
      </c>
      <c r="B419" s="25" t="s">
        <v>2733</v>
      </c>
      <c r="C419" s="8" t="s">
        <v>2734</v>
      </c>
      <c r="D419" s="8" t="s">
        <v>3879</v>
      </c>
    </row>
    <row r="420" spans="1:4" ht="36" customHeight="1">
      <c r="A420" s="26">
        <v>415</v>
      </c>
      <c r="B420" s="25" t="s">
        <v>2646</v>
      </c>
      <c r="C420" s="8" t="s">
        <v>2647</v>
      </c>
      <c r="D420" s="8" t="s">
        <v>3879</v>
      </c>
    </row>
    <row r="421" spans="1:4" ht="36" customHeight="1">
      <c r="A421" s="26">
        <v>416</v>
      </c>
      <c r="B421" s="25" t="s">
        <v>2628</v>
      </c>
      <c r="C421" s="8" t="s">
        <v>2629</v>
      </c>
      <c r="D421" s="8" t="s">
        <v>3879</v>
      </c>
    </row>
    <row r="422" spans="1:4" ht="36" customHeight="1">
      <c r="A422" s="26">
        <v>417</v>
      </c>
      <c r="B422" s="25" t="s">
        <v>4211</v>
      </c>
      <c r="C422" s="8" t="s">
        <v>4212</v>
      </c>
      <c r="D422" s="8" t="s">
        <v>3879</v>
      </c>
    </row>
    <row r="423" spans="1:4" ht="36" customHeight="1">
      <c r="A423" s="26">
        <v>418</v>
      </c>
      <c r="B423" s="25" t="s">
        <v>4213</v>
      </c>
      <c r="C423" s="8" t="s">
        <v>4214</v>
      </c>
      <c r="D423" s="8" t="s">
        <v>3879</v>
      </c>
    </row>
    <row r="424" spans="1:4" ht="36" customHeight="1">
      <c r="A424" s="26">
        <v>419</v>
      </c>
      <c r="B424" s="25" t="s">
        <v>4215</v>
      </c>
      <c r="C424" s="8" t="s">
        <v>4216</v>
      </c>
      <c r="D424" s="8" t="s">
        <v>3879</v>
      </c>
    </row>
    <row r="425" spans="1:4" ht="36" customHeight="1">
      <c r="A425" s="26">
        <v>420</v>
      </c>
      <c r="B425" s="25" t="s">
        <v>2421</v>
      </c>
      <c r="C425" s="8" t="s">
        <v>2422</v>
      </c>
      <c r="D425" s="8" t="s">
        <v>3879</v>
      </c>
    </row>
    <row r="426" spans="1:4" ht="36" customHeight="1">
      <c r="A426" s="26">
        <v>421</v>
      </c>
      <c r="B426" s="25" t="s">
        <v>4217</v>
      </c>
      <c r="C426" s="8" t="s">
        <v>4218</v>
      </c>
      <c r="D426" s="8" t="s">
        <v>3879</v>
      </c>
    </row>
    <row r="427" spans="1:4" ht="36" customHeight="1">
      <c r="A427" s="26">
        <v>422</v>
      </c>
      <c r="B427" s="25" t="s">
        <v>2799</v>
      </c>
      <c r="C427" s="8" t="s">
        <v>2800</v>
      </c>
      <c r="D427" s="8" t="s">
        <v>3879</v>
      </c>
    </row>
    <row r="428" spans="1:4" ht="36" customHeight="1">
      <c r="A428" s="26">
        <v>423</v>
      </c>
      <c r="B428" s="25" t="s">
        <v>4219</v>
      </c>
      <c r="C428" s="8" t="s">
        <v>4220</v>
      </c>
      <c r="D428" s="8" t="s">
        <v>3879</v>
      </c>
    </row>
    <row r="429" spans="1:4" ht="36" customHeight="1">
      <c r="A429" s="26">
        <v>424</v>
      </c>
      <c r="B429" s="25" t="s">
        <v>4219</v>
      </c>
      <c r="C429" s="8" t="s">
        <v>4220</v>
      </c>
      <c r="D429" s="8" t="s">
        <v>3879</v>
      </c>
    </row>
    <row r="430" spans="1:4" ht="36" customHeight="1">
      <c r="A430" s="26">
        <v>425</v>
      </c>
      <c r="B430" s="25" t="s">
        <v>4219</v>
      </c>
      <c r="C430" s="8" t="s">
        <v>4220</v>
      </c>
      <c r="D430" s="8" t="s">
        <v>3879</v>
      </c>
    </row>
    <row r="431" spans="1:4" ht="36" customHeight="1">
      <c r="A431" s="26">
        <v>426</v>
      </c>
      <c r="B431" s="25" t="s">
        <v>4143</v>
      </c>
      <c r="C431" s="8" t="s">
        <v>4144</v>
      </c>
      <c r="D431" s="8" t="s">
        <v>3879</v>
      </c>
    </row>
    <row r="432" spans="1:4" ht="36" customHeight="1">
      <c r="A432" s="26">
        <v>427</v>
      </c>
      <c r="B432" s="25" t="s">
        <v>4143</v>
      </c>
      <c r="C432" s="8" t="s">
        <v>4144</v>
      </c>
      <c r="D432" s="8" t="s">
        <v>3879</v>
      </c>
    </row>
    <row r="433" spans="1:4" ht="36" customHeight="1">
      <c r="A433" s="26">
        <v>428</v>
      </c>
      <c r="B433" s="25" t="s">
        <v>4221</v>
      </c>
      <c r="C433" s="8" t="s">
        <v>4222</v>
      </c>
      <c r="D433" s="8" t="s">
        <v>3879</v>
      </c>
    </row>
    <row r="434" spans="1:4" ht="36" customHeight="1">
      <c r="A434" s="26">
        <v>429</v>
      </c>
      <c r="B434" s="25" t="s">
        <v>4223</v>
      </c>
      <c r="C434" s="8" t="s">
        <v>4224</v>
      </c>
      <c r="D434" s="8" t="s">
        <v>3879</v>
      </c>
    </row>
    <row r="435" spans="1:4" ht="36" customHeight="1">
      <c r="A435" s="26">
        <v>430</v>
      </c>
      <c r="B435" s="25" t="s">
        <v>4121</v>
      </c>
      <c r="C435" s="8" t="s">
        <v>4122</v>
      </c>
      <c r="D435" s="8" t="s">
        <v>3879</v>
      </c>
    </row>
    <row r="436" spans="1:4" ht="36" customHeight="1">
      <c r="A436" s="26">
        <v>431</v>
      </c>
      <c r="B436" s="25" t="s">
        <v>2658</v>
      </c>
      <c r="C436" s="8" t="s">
        <v>2659</v>
      </c>
      <c r="D436" s="8" t="s">
        <v>3879</v>
      </c>
    </row>
    <row r="437" spans="1:4" ht="36" customHeight="1">
      <c r="A437" s="26">
        <v>432</v>
      </c>
      <c r="B437" s="25" t="s">
        <v>4225</v>
      </c>
      <c r="C437" s="8" t="s">
        <v>4226</v>
      </c>
      <c r="D437" s="8" t="s">
        <v>3879</v>
      </c>
    </row>
    <row r="438" spans="1:4" ht="36" customHeight="1">
      <c r="A438" s="26">
        <v>433</v>
      </c>
      <c r="B438" s="25" t="s">
        <v>4227</v>
      </c>
      <c r="C438" s="8" t="s">
        <v>4228</v>
      </c>
      <c r="D438" s="8" t="s">
        <v>3879</v>
      </c>
    </row>
    <row r="439" spans="1:4" ht="36" customHeight="1">
      <c r="A439" s="26">
        <v>434</v>
      </c>
      <c r="B439" s="25" t="s">
        <v>4229</v>
      </c>
      <c r="C439" s="8" t="s">
        <v>4230</v>
      </c>
      <c r="D439" s="8" t="s">
        <v>3879</v>
      </c>
    </row>
    <row r="440" spans="1:4" ht="36" customHeight="1">
      <c r="A440" s="26">
        <v>435</v>
      </c>
      <c r="B440" s="25" t="s">
        <v>3019</v>
      </c>
      <c r="C440" s="8" t="s">
        <v>3020</v>
      </c>
      <c r="D440" s="8" t="s">
        <v>3868</v>
      </c>
    </row>
    <row r="441" spans="1:4" ht="36" customHeight="1">
      <c r="A441" s="26">
        <v>436</v>
      </c>
      <c r="B441" s="25" t="s">
        <v>2481</v>
      </c>
      <c r="C441" s="8" t="s">
        <v>2482</v>
      </c>
      <c r="D441" s="8" t="s">
        <v>3868</v>
      </c>
    </row>
    <row r="442" spans="1:4" ht="36" customHeight="1">
      <c r="A442" s="26">
        <v>437</v>
      </c>
      <c r="B442" s="25" t="s">
        <v>4231</v>
      </c>
      <c r="C442" s="8" t="s">
        <v>3580</v>
      </c>
      <c r="D442" s="8" t="s">
        <v>3868</v>
      </c>
    </row>
    <row r="443" spans="1:4" ht="36" customHeight="1">
      <c r="A443" s="26">
        <v>438</v>
      </c>
      <c r="B443" s="25" t="s">
        <v>4232</v>
      </c>
      <c r="C443" s="8" t="s">
        <v>4233</v>
      </c>
      <c r="D443" s="8" t="s">
        <v>3868</v>
      </c>
    </row>
    <row r="444" spans="1:4" ht="36" customHeight="1">
      <c r="A444" s="26">
        <v>439</v>
      </c>
      <c r="B444" s="25" t="s">
        <v>4234</v>
      </c>
      <c r="C444" s="8" t="s">
        <v>4235</v>
      </c>
      <c r="D444" s="8" t="s">
        <v>3868</v>
      </c>
    </row>
    <row r="445" spans="1:4" ht="36" customHeight="1">
      <c r="A445" s="26">
        <v>440</v>
      </c>
      <c r="B445" s="25" t="s">
        <v>4236</v>
      </c>
      <c r="C445" s="8" t="s">
        <v>4237</v>
      </c>
      <c r="D445" s="8" t="s">
        <v>3930</v>
      </c>
    </row>
    <row r="446" spans="1:4" ht="36" customHeight="1">
      <c r="A446" s="26">
        <v>441</v>
      </c>
      <c r="B446" s="25" t="s">
        <v>4238</v>
      </c>
      <c r="C446" s="8" t="s">
        <v>4239</v>
      </c>
      <c r="D446" s="8" t="s">
        <v>3930</v>
      </c>
    </row>
    <row r="447" spans="1:4" ht="36" customHeight="1">
      <c r="A447" s="26">
        <v>442</v>
      </c>
      <c r="B447" s="25" t="s">
        <v>4240</v>
      </c>
      <c r="C447" s="8" t="s">
        <v>4241</v>
      </c>
      <c r="D447" s="8" t="s">
        <v>3930</v>
      </c>
    </row>
    <row r="448" spans="1:4" ht="36" customHeight="1">
      <c r="A448" s="26">
        <v>443</v>
      </c>
      <c r="B448" s="25" t="s">
        <v>4242</v>
      </c>
      <c r="C448" s="8" t="s">
        <v>4243</v>
      </c>
      <c r="D448" s="8" t="s">
        <v>3930</v>
      </c>
    </row>
    <row r="449" spans="1:4" ht="36" customHeight="1">
      <c r="A449" s="26">
        <v>444</v>
      </c>
      <c r="B449" s="25" t="s">
        <v>4244</v>
      </c>
      <c r="C449" s="8" t="s">
        <v>4245</v>
      </c>
      <c r="D449" s="8" t="s">
        <v>3930</v>
      </c>
    </row>
    <row r="450" spans="1:4" ht="36" customHeight="1">
      <c r="A450" s="26">
        <v>445</v>
      </c>
      <c r="B450" s="25" t="s">
        <v>4085</v>
      </c>
      <c r="C450" s="8" t="s">
        <v>4086</v>
      </c>
      <c r="D450" s="8" t="s">
        <v>3879</v>
      </c>
    </row>
    <row r="451" spans="1:4" ht="36" customHeight="1">
      <c r="A451" s="26">
        <v>446</v>
      </c>
      <c r="B451" s="25" t="s">
        <v>4246</v>
      </c>
      <c r="C451" s="8" t="s">
        <v>4247</v>
      </c>
      <c r="D451" s="8" t="s">
        <v>3879</v>
      </c>
    </row>
    <row r="452" spans="1:4" ht="36" customHeight="1">
      <c r="A452" s="26">
        <v>447</v>
      </c>
      <c r="B452" s="25" t="s">
        <v>4143</v>
      </c>
      <c r="C452" s="8" t="s">
        <v>4144</v>
      </c>
      <c r="D452" s="8" t="s">
        <v>3879</v>
      </c>
    </row>
    <row r="453" spans="1:4" ht="36" customHeight="1">
      <c r="A453" s="26">
        <v>448</v>
      </c>
      <c r="B453" s="25" t="s">
        <v>3980</v>
      </c>
      <c r="C453" s="8" t="s">
        <v>3981</v>
      </c>
      <c r="D453" s="8" t="s">
        <v>3879</v>
      </c>
    </row>
    <row r="454" spans="1:4" ht="36" customHeight="1">
      <c r="A454" s="26">
        <v>449</v>
      </c>
      <c r="B454" s="25" t="s">
        <v>3916</v>
      </c>
      <c r="C454" s="8" t="s">
        <v>3917</v>
      </c>
      <c r="D454" s="8" t="s">
        <v>3879</v>
      </c>
    </row>
    <row r="455" spans="1:4" ht="36" customHeight="1">
      <c r="A455" s="26">
        <v>450</v>
      </c>
      <c r="B455" s="25" t="s">
        <v>4248</v>
      </c>
      <c r="C455" s="8" t="s">
        <v>4249</v>
      </c>
      <c r="D455" s="8" t="s">
        <v>3879</v>
      </c>
    </row>
    <row r="456" spans="1:4" ht="36" customHeight="1">
      <c r="A456" s="26">
        <v>451</v>
      </c>
      <c r="B456" s="25" t="s">
        <v>4250</v>
      </c>
      <c r="C456" s="8" t="s">
        <v>4251</v>
      </c>
      <c r="D456" s="8" t="s">
        <v>3868</v>
      </c>
    </row>
    <row r="457" spans="1:4" ht="36" customHeight="1">
      <c r="A457" s="26">
        <v>452</v>
      </c>
      <c r="B457" s="25" t="s">
        <v>4252</v>
      </c>
      <c r="C457" s="8" t="s">
        <v>4253</v>
      </c>
      <c r="D457" s="8" t="s">
        <v>3868</v>
      </c>
    </row>
    <row r="458" spans="1:4" ht="36" customHeight="1">
      <c r="A458" s="26">
        <v>453</v>
      </c>
      <c r="B458" s="25" t="s">
        <v>2733</v>
      </c>
      <c r="C458" s="8" t="s">
        <v>2734</v>
      </c>
      <c r="D458" s="8" t="s">
        <v>3879</v>
      </c>
    </row>
    <row r="459" spans="1:4" ht="36" customHeight="1">
      <c r="A459" s="26">
        <v>454</v>
      </c>
      <c r="B459" s="25" t="s">
        <v>3002</v>
      </c>
      <c r="C459" s="8" t="s">
        <v>3003</v>
      </c>
      <c r="D459" s="8" t="s">
        <v>3879</v>
      </c>
    </row>
    <row r="460" spans="1:4" ht="36" customHeight="1">
      <c r="A460" s="26">
        <v>455</v>
      </c>
      <c r="B460" s="25" t="s">
        <v>2953</v>
      </c>
      <c r="C460" s="8" t="s">
        <v>2954</v>
      </c>
      <c r="D460" s="8" t="s">
        <v>3879</v>
      </c>
    </row>
    <row r="461" spans="1:4" ht="36" customHeight="1">
      <c r="A461" s="26">
        <v>456</v>
      </c>
      <c r="B461" s="25" t="s">
        <v>4254</v>
      </c>
      <c r="C461" s="8" t="s">
        <v>4255</v>
      </c>
      <c r="D461" s="8" t="s">
        <v>3879</v>
      </c>
    </row>
    <row r="462" spans="1:4" ht="36" customHeight="1">
      <c r="A462" s="26">
        <v>457</v>
      </c>
      <c r="B462" s="25" t="s">
        <v>2442</v>
      </c>
      <c r="C462" s="8" t="s">
        <v>2443</v>
      </c>
      <c r="D462" s="8" t="s">
        <v>3879</v>
      </c>
    </row>
    <row r="463" spans="1:4" ht="36" customHeight="1">
      <c r="A463" s="26">
        <v>458</v>
      </c>
      <c r="B463" s="25" t="s">
        <v>4256</v>
      </c>
      <c r="C463" s="8" t="s">
        <v>4257</v>
      </c>
      <c r="D463" s="8" t="s">
        <v>3879</v>
      </c>
    </row>
    <row r="464" spans="1:4" ht="36" customHeight="1">
      <c r="A464" s="26">
        <v>459</v>
      </c>
      <c r="B464" s="25" t="s">
        <v>4038</v>
      </c>
      <c r="C464" s="8" t="s">
        <v>4039</v>
      </c>
      <c r="D464" s="8" t="s">
        <v>3879</v>
      </c>
    </row>
    <row r="465" spans="1:4" ht="36" customHeight="1">
      <c r="A465" s="26">
        <v>460</v>
      </c>
      <c r="B465" s="25" t="s">
        <v>2346</v>
      </c>
      <c r="C465" s="8" t="s">
        <v>2347</v>
      </c>
      <c r="D465" s="8" t="s">
        <v>3879</v>
      </c>
    </row>
    <row r="466" spans="1:4" ht="36" customHeight="1">
      <c r="A466" s="26">
        <v>461</v>
      </c>
      <c r="B466" s="25" t="s">
        <v>2805</v>
      </c>
      <c r="C466" s="8" t="s">
        <v>2806</v>
      </c>
      <c r="D466" s="8" t="s">
        <v>3879</v>
      </c>
    </row>
    <row r="467" spans="1:4" ht="36" customHeight="1">
      <c r="A467" s="26">
        <v>462</v>
      </c>
      <c r="B467" s="25" t="s">
        <v>2745</v>
      </c>
      <c r="C467" s="8" t="s">
        <v>2746</v>
      </c>
      <c r="D467" s="8" t="s">
        <v>3879</v>
      </c>
    </row>
    <row r="468" spans="1:4" ht="36" customHeight="1">
      <c r="A468" s="26">
        <v>463</v>
      </c>
      <c r="B468" s="25" t="s">
        <v>4258</v>
      </c>
      <c r="C468" s="8" t="s">
        <v>4259</v>
      </c>
      <c r="D468" s="8" t="s">
        <v>3879</v>
      </c>
    </row>
    <row r="469" spans="1:4" ht="36" customHeight="1">
      <c r="A469" s="26">
        <v>464</v>
      </c>
      <c r="B469" s="25" t="s">
        <v>2808</v>
      </c>
      <c r="C469" s="8" t="s">
        <v>2809</v>
      </c>
      <c r="D469" s="8" t="s">
        <v>3879</v>
      </c>
    </row>
    <row r="470" spans="1:4" ht="36" customHeight="1">
      <c r="A470" s="26">
        <v>465</v>
      </c>
      <c r="B470" s="25" t="s">
        <v>4260</v>
      </c>
      <c r="C470" s="8" t="s">
        <v>4261</v>
      </c>
      <c r="D470" s="8" t="s">
        <v>3879</v>
      </c>
    </row>
    <row r="471" spans="1:4" ht="36" customHeight="1">
      <c r="A471" s="26">
        <v>466</v>
      </c>
      <c r="B471" s="25" t="s">
        <v>4262</v>
      </c>
      <c r="C471" s="8" t="s">
        <v>4263</v>
      </c>
      <c r="D471" s="8" t="s">
        <v>3879</v>
      </c>
    </row>
    <row r="472" spans="1:4" ht="36" customHeight="1">
      <c r="A472" s="26">
        <v>467</v>
      </c>
      <c r="B472" s="25" t="s">
        <v>4264</v>
      </c>
      <c r="C472" s="8" t="s">
        <v>4265</v>
      </c>
      <c r="D472" s="8" t="s">
        <v>3879</v>
      </c>
    </row>
    <row r="473" spans="1:4" ht="36" customHeight="1">
      <c r="A473" s="26">
        <v>468</v>
      </c>
      <c r="B473" s="25" t="s">
        <v>4266</v>
      </c>
      <c r="C473" s="8" t="s">
        <v>4267</v>
      </c>
      <c r="D473" s="8" t="s">
        <v>3868</v>
      </c>
    </row>
    <row r="474" spans="1:4" ht="36" customHeight="1">
      <c r="A474" s="26">
        <v>469</v>
      </c>
      <c r="B474" s="25" t="s">
        <v>4268</v>
      </c>
      <c r="C474" s="8" t="s">
        <v>4269</v>
      </c>
      <c r="D474" s="8" t="s">
        <v>3868</v>
      </c>
    </row>
    <row r="475" spans="1:4" ht="36" customHeight="1">
      <c r="A475" s="26">
        <v>470</v>
      </c>
      <c r="B475" s="25" t="s">
        <v>4270</v>
      </c>
      <c r="C475" s="8" t="s">
        <v>4271</v>
      </c>
      <c r="D475" s="8" t="s">
        <v>3868</v>
      </c>
    </row>
    <row r="476" spans="1:4" ht="36" customHeight="1">
      <c r="A476" s="26">
        <v>471</v>
      </c>
      <c r="B476" s="25" t="s">
        <v>3070</v>
      </c>
      <c r="C476" s="8" t="s">
        <v>3071</v>
      </c>
      <c r="D476" s="8" t="s">
        <v>3879</v>
      </c>
    </row>
    <row r="477" spans="1:4" ht="36" customHeight="1">
      <c r="A477" s="26">
        <v>472</v>
      </c>
      <c r="B477" s="25" t="s">
        <v>4272</v>
      </c>
      <c r="C477" s="8" t="s">
        <v>4273</v>
      </c>
      <c r="D477" s="8" t="s">
        <v>3930</v>
      </c>
    </row>
    <row r="478" spans="1:4" ht="36" customHeight="1">
      <c r="A478" s="26">
        <v>473</v>
      </c>
      <c r="B478" s="25" t="s">
        <v>4070</v>
      </c>
      <c r="C478" s="8" t="s">
        <v>4071</v>
      </c>
      <c r="D478" s="8" t="s">
        <v>3879</v>
      </c>
    </row>
    <row r="479" spans="1:4" ht="36" customHeight="1">
      <c r="A479" s="26">
        <v>474</v>
      </c>
      <c r="B479" s="25" t="s">
        <v>2742</v>
      </c>
      <c r="C479" s="8" t="s">
        <v>2743</v>
      </c>
      <c r="D479" s="8" t="s">
        <v>3879</v>
      </c>
    </row>
    <row r="480" spans="1:4" ht="36" customHeight="1">
      <c r="A480" s="26">
        <v>475</v>
      </c>
      <c r="B480" s="25" t="s">
        <v>2742</v>
      </c>
      <c r="C480" s="8" t="s">
        <v>2743</v>
      </c>
      <c r="D480" s="8" t="s">
        <v>3879</v>
      </c>
    </row>
    <row r="481" spans="1:4" ht="36" customHeight="1">
      <c r="A481" s="26">
        <v>476</v>
      </c>
      <c r="B481" s="25" t="s">
        <v>4083</v>
      </c>
      <c r="C481" s="8" t="s">
        <v>4084</v>
      </c>
      <c r="D481" s="8" t="s">
        <v>3879</v>
      </c>
    </row>
    <row r="482" spans="1:4" ht="36" customHeight="1">
      <c r="A482" s="26">
        <v>477</v>
      </c>
      <c r="B482" s="25" t="s">
        <v>4195</v>
      </c>
      <c r="C482" s="8" t="s">
        <v>4196</v>
      </c>
      <c r="D482" s="8" t="s">
        <v>3879</v>
      </c>
    </row>
    <row r="483" spans="1:4" ht="36" customHeight="1">
      <c r="A483" s="26">
        <v>478</v>
      </c>
      <c r="B483" s="25" t="s">
        <v>2694</v>
      </c>
      <c r="C483" s="8" t="s">
        <v>2695</v>
      </c>
      <c r="D483" s="8" t="s">
        <v>3879</v>
      </c>
    </row>
    <row r="484" spans="1:4" ht="36" customHeight="1">
      <c r="A484" s="26">
        <v>479</v>
      </c>
      <c r="B484" s="25" t="s">
        <v>4062</v>
      </c>
      <c r="C484" s="8" t="s">
        <v>4063</v>
      </c>
      <c r="D484" s="8" t="s">
        <v>3879</v>
      </c>
    </row>
    <row r="485" spans="1:4" ht="36" customHeight="1">
      <c r="A485" s="26">
        <v>480</v>
      </c>
      <c r="B485" s="25" t="s">
        <v>3945</v>
      </c>
      <c r="C485" s="8" t="s">
        <v>3946</v>
      </c>
      <c r="D485" s="8" t="s">
        <v>3879</v>
      </c>
    </row>
    <row r="486" spans="1:4" ht="36" customHeight="1">
      <c r="A486" s="26">
        <v>481</v>
      </c>
      <c r="B486" s="25" t="s">
        <v>2805</v>
      </c>
      <c r="C486" s="8" t="s">
        <v>2806</v>
      </c>
      <c r="D486" s="8" t="s">
        <v>3879</v>
      </c>
    </row>
    <row r="487" spans="1:4" ht="36" customHeight="1">
      <c r="A487" s="26">
        <v>482</v>
      </c>
      <c r="B487" s="25" t="s">
        <v>4274</v>
      </c>
      <c r="C487" s="8" t="s">
        <v>4275</v>
      </c>
      <c r="D487" s="8" t="s">
        <v>3879</v>
      </c>
    </row>
    <row r="488" spans="1:4" ht="36" customHeight="1">
      <c r="A488" s="26">
        <v>483</v>
      </c>
      <c r="B488" s="25" t="s">
        <v>2394</v>
      </c>
      <c r="C488" s="8" t="s">
        <v>2395</v>
      </c>
      <c r="D488" s="8" t="s">
        <v>3879</v>
      </c>
    </row>
    <row r="489" spans="1:4" ht="36" customHeight="1">
      <c r="A489" s="26">
        <v>484</v>
      </c>
      <c r="B489" s="25" t="s">
        <v>4197</v>
      </c>
      <c r="C489" s="8" t="s">
        <v>4198</v>
      </c>
      <c r="D489" s="8" t="s">
        <v>3879</v>
      </c>
    </row>
    <row r="490" spans="1:4" ht="36" customHeight="1">
      <c r="A490" s="26">
        <v>485</v>
      </c>
      <c r="B490" s="25" t="s">
        <v>4276</v>
      </c>
      <c r="C490" s="8" t="s">
        <v>4277</v>
      </c>
      <c r="D490" s="8" t="s">
        <v>3879</v>
      </c>
    </row>
    <row r="491" spans="1:4" ht="36" customHeight="1">
      <c r="A491" s="26">
        <v>486</v>
      </c>
      <c r="B491" s="25" t="s">
        <v>4278</v>
      </c>
      <c r="C491" s="8" t="s">
        <v>4279</v>
      </c>
      <c r="D491" s="8" t="s">
        <v>3879</v>
      </c>
    </row>
    <row r="492" spans="1:4" ht="36" customHeight="1">
      <c r="A492" s="26">
        <v>487</v>
      </c>
      <c r="B492" s="25" t="s">
        <v>4280</v>
      </c>
      <c r="C492" s="8" t="s">
        <v>4281</v>
      </c>
      <c r="D492" s="8" t="s">
        <v>3879</v>
      </c>
    </row>
    <row r="493" spans="1:4" ht="36" customHeight="1">
      <c r="A493" s="26">
        <v>488</v>
      </c>
      <c r="B493" s="25" t="s">
        <v>3082</v>
      </c>
      <c r="C493" s="8" t="s">
        <v>3083</v>
      </c>
      <c r="D493" s="8" t="s">
        <v>3868</v>
      </c>
    </row>
    <row r="494" spans="1:4" ht="36" customHeight="1">
      <c r="A494" s="26">
        <v>489</v>
      </c>
      <c r="B494" s="25" t="s">
        <v>4282</v>
      </c>
      <c r="C494" s="8" t="s">
        <v>4283</v>
      </c>
      <c r="D494" s="8" t="s">
        <v>3868</v>
      </c>
    </row>
    <row r="495" spans="1:4" ht="36" customHeight="1">
      <c r="A495" s="26">
        <v>490</v>
      </c>
      <c r="B495" s="25" t="s">
        <v>3027</v>
      </c>
      <c r="C495" s="8" t="s">
        <v>3028</v>
      </c>
      <c r="D495" s="8" t="s">
        <v>3930</v>
      </c>
    </row>
    <row r="496" spans="1:4" ht="36" customHeight="1">
      <c r="A496" s="26">
        <v>491</v>
      </c>
      <c r="B496" s="25" t="s">
        <v>4284</v>
      </c>
      <c r="C496" s="8" t="s">
        <v>4285</v>
      </c>
      <c r="D496" s="8" t="s">
        <v>3930</v>
      </c>
    </row>
    <row r="497" spans="1:4" ht="36" customHeight="1">
      <c r="A497" s="26">
        <v>492</v>
      </c>
      <c r="B497" s="25" t="s">
        <v>4286</v>
      </c>
      <c r="C497" s="8" t="s">
        <v>4287</v>
      </c>
      <c r="D497" s="8" t="s">
        <v>3930</v>
      </c>
    </row>
    <row r="498" spans="1:4" ht="36" customHeight="1">
      <c r="A498" s="26">
        <v>493</v>
      </c>
      <c r="B498" s="25" t="s">
        <v>2385</v>
      </c>
      <c r="C498" s="8" t="s">
        <v>2386</v>
      </c>
      <c r="D498" s="8" t="s">
        <v>3879</v>
      </c>
    </row>
    <row r="499" spans="1:4" ht="36" customHeight="1">
      <c r="A499" s="26">
        <v>494</v>
      </c>
      <c r="B499" s="25" t="s">
        <v>4009</v>
      </c>
      <c r="C499" s="8" t="s">
        <v>4010</v>
      </c>
      <c r="D499" s="8" t="s">
        <v>3879</v>
      </c>
    </row>
    <row r="500" spans="1:4" ht="36" customHeight="1">
      <c r="A500" s="26">
        <v>495</v>
      </c>
      <c r="B500" s="25" t="s">
        <v>4288</v>
      </c>
      <c r="C500" s="8" t="s">
        <v>4289</v>
      </c>
      <c r="D500" s="8" t="s">
        <v>3879</v>
      </c>
    </row>
    <row r="501" spans="1:4" ht="36" customHeight="1">
      <c r="A501" s="26">
        <v>496</v>
      </c>
      <c r="B501" s="25" t="s">
        <v>4290</v>
      </c>
      <c r="C501" s="8" t="s">
        <v>4291</v>
      </c>
      <c r="D501" s="8" t="s">
        <v>3879</v>
      </c>
    </row>
    <row r="502" spans="1:4" ht="36" customHeight="1">
      <c r="A502" s="26">
        <v>497</v>
      </c>
      <c r="B502" s="25" t="s">
        <v>3935</v>
      </c>
      <c r="C502" s="8" t="s">
        <v>3936</v>
      </c>
      <c r="D502" s="8" t="s">
        <v>3879</v>
      </c>
    </row>
    <row r="503" spans="1:4" ht="36" customHeight="1">
      <c r="A503" s="26">
        <v>498</v>
      </c>
      <c r="B503" s="25" t="s">
        <v>4254</v>
      </c>
      <c r="C503" s="8" t="s">
        <v>4255</v>
      </c>
      <c r="D503" s="8" t="s">
        <v>3879</v>
      </c>
    </row>
    <row r="504" spans="1:4" ht="36" customHeight="1">
      <c r="A504" s="26">
        <v>499</v>
      </c>
      <c r="B504" s="25" t="s">
        <v>4254</v>
      </c>
      <c r="C504" s="8" t="s">
        <v>4255</v>
      </c>
      <c r="D504" s="8" t="s">
        <v>3879</v>
      </c>
    </row>
    <row r="505" spans="1:4" ht="36" customHeight="1">
      <c r="A505" s="26">
        <v>500</v>
      </c>
      <c r="B505" s="25" t="s">
        <v>2742</v>
      </c>
      <c r="C505" s="8" t="s">
        <v>2743</v>
      </c>
      <c r="D505" s="8" t="s">
        <v>3879</v>
      </c>
    </row>
    <row r="506" spans="1:4" ht="36" customHeight="1">
      <c r="A506" s="26">
        <v>501</v>
      </c>
      <c r="B506" s="25" t="s">
        <v>2346</v>
      </c>
      <c r="C506" s="8" t="s">
        <v>2347</v>
      </c>
      <c r="D506" s="8" t="s">
        <v>3879</v>
      </c>
    </row>
    <row r="507" spans="1:4" ht="36" customHeight="1">
      <c r="A507" s="26">
        <v>502</v>
      </c>
      <c r="B507" s="25" t="s">
        <v>2694</v>
      </c>
      <c r="C507" s="8" t="s">
        <v>2695</v>
      </c>
      <c r="D507" s="8" t="s">
        <v>3879</v>
      </c>
    </row>
    <row r="508" spans="1:4" ht="36" customHeight="1">
      <c r="A508" s="26">
        <v>503</v>
      </c>
      <c r="B508" s="25" t="s">
        <v>4292</v>
      </c>
      <c r="C508" s="8" t="s">
        <v>4293</v>
      </c>
      <c r="D508" s="8" t="s">
        <v>3879</v>
      </c>
    </row>
    <row r="509" spans="1:4" ht="36" customHeight="1">
      <c r="A509" s="26">
        <v>504</v>
      </c>
      <c r="B509" s="25" t="s">
        <v>4294</v>
      </c>
      <c r="C509" s="8" t="s">
        <v>4295</v>
      </c>
      <c r="D509" s="8" t="s">
        <v>3879</v>
      </c>
    </row>
    <row r="510" spans="1:4" ht="36" customHeight="1">
      <c r="A510" s="26">
        <v>505</v>
      </c>
      <c r="B510" s="25" t="s">
        <v>4274</v>
      </c>
      <c r="C510" s="8" t="s">
        <v>4275</v>
      </c>
      <c r="D510" s="8" t="s">
        <v>3879</v>
      </c>
    </row>
    <row r="511" spans="1:4" ht="36" customHeight="1">
      <c r="A511" s="26">
        <v>506</v>
      </c>
      <c r="B511" s="25" t="s">
        <v>4296</v>
      </c>
      <c r="C511" s="8" t="s">
        <v>4297</v>
      </c>
      <c r="D511" s="8" t="s">
        <v>3879</v>
      </c>
    </row>
    <row r="512" spans="1:4" ht="36" customHeight="1">
      <c r="A512" s="26">
        <v>507</v>
      </c>
      <c r="B512" s="25" t="s">
        <v>4296</v>
      </c>
      <c r="C512" s="8" t="s">
        <v>4297</v>
      </c>
      <c r="D512" s="8" t="s">
        <v>3879</v>
      </c>
    </row>
    <row r="513" spans="1:4" ht="36" customHeight="1">
      <c r="A513" s="26">
        <v>508</v>
      </c>
      <c r="B513" s="25" t="s">
        <v>4296</v>
      </c>
      <c r="C513" s="8" t="s">
        <v>4297</v>
      </c>
      <c r="D513" s="8" t="s">
        <v>3879</v>
      </c>
    </row>
    <row r="514" spans="1:4" ht="36" customHeight="1">
      <c r="A514" s="26">
        <v>509</v>
      </c>
      <c r="B514" s="25" t="s">
        <v>4145</v>
      </c>
      <c r="C514" s="8" t="s">
        <v>4146</v>
      </c>
      <c r="D514" s="8" t="s">
        <v>3879</v>
      </c>
    </row>
    <row r="515" spans="1:4" ht="36" customHeight="1">
      <c r="A515" s="26">
        <v>510</v>
      </c>
      <c r="B515" s="25" t="s">
        <v>4298</v>
      </c>
      <c r="C515" s="8" t="s">
        <v>4299</v>
      </c>
      <c r="D515" s="8" t="s">
        <v>3879</v>
      </c>
    </row>
    <row r="516" spans="1:4" ht="36" customHeight="1">
      <c r="A516" s="26">
        <v>511</v>
      </c>
      <c r="B516" s="25" t="s">
        <v>4300</v>
      </c>
      <c r="C516" s="8" t="s">
        <v>4301</v>
      </c>
      <c r="D516" s="8" t="s">
        <v>3879</v>
      </c>
    </row>
    <row r="517" spans="1:4" ht="36" customHeight="1">
      <c r="A517" s="26">
        <v>512</v>
      </c>
      <c r="B517" s="25" t="s">
        <v>4302</v>
      </c>
      <c r="C517" s="8" t="s">
        <v>4303</v>
      </c>
      <c r="D517" s="8" t="s">
        <v>3879</v>
      </c>
    </row>
    <row r="518" spans="1:4" ht="36" customHeight="1">
      <c r="A518" s="26">
        <v>513</v>
      </c>
      <c r="B518" s="25" t="s">
        <v>4304</v>
      </c>
      <c r="C518" s="8" t="s">
        <v>4305</v>
      </c>
      <c r="D518" s="8" t="s">
        <v>3879</v>
      </c>
    </row>
    <row r="519" spans="1:4" ht="36" customHeight="1">
      <c r="A519" s="26">
        <v>514</v>
      </c>
      <c r="B519" s="25" t="s">
        <v>4276</v>
      </c>
      <c r="C519" s="8" t="s">
        <v>4277</v>
      </c>
      <c r="D519" s="8" t="s">
        <v>3879</v>
      </c>
    </row>
    <row r="520" spans="1:4" ht="36" customHeight="1">
      <c r="A520" s="26">
        <v>515</v>
      </c>
      <c r="B520" s="25" t="s">
        <v>4276</v>
      </c>
      <c r="C520" s="8" t="s">
        <v>4277</v>
      </c>
      <c r="D520" s="8" t="s">
        <v>3879</v>
      </c>
    </row>
    <row r="521" spans="1:4" ht="36" customHeight="1">
      <c r="A521" s="26">
        <v>516</v>
      </c>
      <c r="B521" s="25" t="s">
        <v>4276</v>
      </c>
      <c r="C521" s="8" t="s">
        <v>4277</v>
      </c>
      <c r="D521" s="8" t="s">
        <v>3879</v>
      </c>
    </row>
    <row r="522" spans="1:4" ht="36" customHeight="1">
      <c r="A522" s="26">
        <v>517</v>
      </c>
      <c r="B522" s="25" t="s">
        <v>2652</v>
      </c>
      <c r="C522" s="8" t="s">
        <v>2653</v>
      </c>
      <c r="D522" s="8" t="s">
        <v>3879</v>
      </c>
    </row>
    <row r="523" spans="1:4" ht="36" customHeight="1">
      <c r="A523" s="26">
        <v>518</v>
      </c>
      <c r="B523" s="25" t="s">
        <v>4306</v>
      </c>
      <c r="C523" s="8" t="s">
        <v>4307</v>
      </c>
      <c r="D523" s="8" t="s">
        <v>3879</v>
      </c>
    </row>
    <row r="524" spans="1:4" ht="36" customHeight="1">
      <c r="A524" s="26">
        <v>519</v>
      </c>
      <c r="B524" s="25" t="s">
        <v>4308</v>
      </c>
      <c r="C524" s="8" t="s">
        <v>4309</v>
      </c>
      <c r="D524" s="8" t="s">
        <v>3879</v>
      </c>
    </row>
    <row r="525" spans="1:4" ht="36" customHeight="1">
      <c r="A525" s="26">
        <v>520</v>
      </c>
      <c r="B525" s="25" t="s">
        <v>4310</v>
      </c>
      <c r="C525" s="8" t="s">
        <v>4311</v>
      </c>
      <c r="D525" s="8" t="s">
        <v>3879</v>
      </c>
    </row>
    <row r="526" spans="1:4" ht="36" customHeight="1">
      <c r="A526" s="26">
        <v>521</v>
      </c>
      <c r="B526" s="25" t="s">
        <v>4312</v>
      </c>
      <c r="C526" s="8" t="s">
        <v>4313</v>
      </c>
      <c r="D526" s="8" t="s">
        <v>3879</v>
      </c>
    </row>
    <row r="527" spans="1:4" ht="36" customHeight="1">
      <c r="A527" s="26">
        <v>522</v>
      </c>
      <c r="B527" s="25" t="s">
        <v>4278</v>
      </c>
      <c r="C527" s="8" t="s">
        <v>4279</v>
      </c>
      <c r="D527" s="8" t="s">
        <v>3879</v>
      </c>
    </row>
    <row r="528" spans="1:4" ht="36" customHeight="1">
      <c r="A528" s="26">
        <v>523</v>
      </c>
      <c r="B528" s="25" t="s">
        <v>4264</v>
      </c>
      <c r="C528" s="8" t="s">
        <v>4265</v>
      </c>
      <c r="D528" s="8" t="s">
        <v>3879</v>
      </c>
    </row>
    <row r="529" spans="1:4" ht="36" customHeight="1">
      <c r="A529" s="26">
        <v>524</v>
      </c>
      <c r="B529" s="25" t="s">
        <v>4011</v>
      </c>
      <c r="C529" s="8" t="s">
        <v>4012</v>
      </c>
      <c r="D529" s="8" t="s">
        <v>3879</v>
      </c>
    </row>
    <row r="530" spans="1:4" ht="36" customHeight="1">
      <c r="A530" s="26">
        <v>525</v>
      </c>
      <c r="B530" s="25" t="s">
        <v>4248</v>
      </c>
      <c r="C530" s="8" t="s">
        <v>4249</v>
      </c>
      <c r="D530" s="8" t="s">
        <v>3879</v>
      </c>
    </row>
    <row r="531" spans="1:4" ht="36" customHeight="1">
      <c r="A531" s="26">
        <v>526</v>
      </c>
      <c r="B531" s="25" t="s">
        <v>4314</v>
      </c>
      <c r="C531" s="8" t="s">
        <v>4315</v>
      </c>
      <c r="D531" s="8" t="s">
        <v>3879</v>
      </c>
    </row>
    <row r="532" spans="1:4" ht="36" customHeight="1">
      <c r="A532" s="26">
        <v>527</v>
      </c>
      <c r="B532" s="25" t="s">
        <v>4316</v>
      </c>
      <c r="C532" s="8" t="s">
        <v>4317</v>
      </c>
      <c r="D532" s="8" t="s">
        <v>3868</v>
      </c>
    </row>
    <row r="533" spans="1:4" ht="36" customHeight="1">
      <c r="A533" s="26">
        <v>528</v>
      </c>
      <c r="B533" s="25" t="s">
        <v>4232</v>
      </c>
      <c r="C533" s="8" t="s">
        <v>4233</v>
      </c>
      <c r="D533" s="8" t="s">
        <v>3868</v>
      </c>
    </row>
    <row r="534" spans="1:4" ht="36" customHeight="1">
      <c r="A534" s="26">
        <v>529</v>
      </c>
      <c r="B534" s="25" t="s">
        <v>4318</v>
      </c>
      <c r="C534" s="8" t="s">
        <v>4319</v>
      </c>
      <c r="D534" s="8" t="s">
        <v>3930</v>
      </c>
    </row>
    <row r="535" spans="1:4" ht="36" customHeight="1">
      <c r="A535" s="26">
        <v>530</v>
      </c>
      <c r="B535" s="25" t="s">
        <v>4320</v>
      </c>
      <c r="C535" s="8" t="s">
        <v>4321</v>
      </c>
      <c r="D535" s="8" t="s">
        <v>3930</v>
      </c>
    </row>
    <row r="536" spans="1:4" ht="36" customHeight="1">
      <c r="A536" s="26">
        <v>531</v>
      </c>
      <c r="B536" s="25" t="s">
        <v>4322</v>
      </c>
      <c r="C536" s="8" t="s">
        <v>4323</v>
      </c>
      <c r="D536" s="8" t="s">
        <v>3930</v>
      </c>
    </row>
    <row r="537" spans="1:4" ht="36" customHeight="1">
      <c r="A537" s="26">
        <v>532</v>
      </c>
      <c r="B537" s="25" t="s">
        <v>4324</v>
      </c>
      <c r="C537" s="8" t="s">
        <v>4325</v>
      </c>
      <c r="D537" s="8" t="s">
        <v>3930</v>
      </c>
    </row>
    <row r="538" spans="1:4" ht="36" customHeight="1">
      <c r="A538" s="26">
        <v>533</v>
      </c>
      <c r="B538" s="25" t="s">
        <v>4326</v>
      </c>
      <c r="C538" s="8" t="s">
        <v>4327</v>
      </c>
      <c r="D538" s="8" t="s">
        <v>3930</v>
      </c>
    </row>
    <row r="539" spans="1:4" ht="36" customHeight="1">
      <c r="A539" s="26">
        <v>534</v>
      </c>
      <c r="B539" s="25" t="s">
        <v>4328</v>
      </c>
      <c r="C539" s="8" t="s">
        <v>4329</v>
      </c>
      <c r="D539" s="8" t="s">
        <v>3930</v>
      </c>
    </row>
    <row r="540" spans="1:4" ht="36" customHeight="1">
      <c r="A540" s="26">
        <v>535</v>
      </c>
      <c r="B540" s="25" t="s">
        <v>4330</v>
      </c>
      <c r="C540" s="8" t="s">
        <v>4331</v>
      </c>
      <c r="D540" s="8" t="s">
        <v>3930</v>
      </c>
    </row>
    <row r="541" spans="1:4" ht="36" customHeight="1">
      <c r="A541" s="26">
        <v>536</v>
      </c>
      <c r="B541" s="25" t="s">
        <v>4332</v>
      </c>
      <c r="C541" s="8" t="s">
        <v>4333</v>
      </c>
      <c r="D541" s="8" t="s">
        <v>3930</v>
      </c>
    </row>
    <row r="542" spans="1:4" ht="36" customHeight="1">
      <c r="A542" s="26">
        <v>537</v>
      </c>
      <c r="B542" s="25" t="s">
        <v>4334</v>
      </c>
      <c r="C542" s="8" t="s">
        <v>4335</v>
      </c>
      <c r="D542" s="8" t="s">
        <v>3930</v>
      </c>
    </row>
    <row r="543" spans="1:4" ht="36" customHeight="1">
      <c r="A543" s="26">
        <v>538</v>
      </c>
      <c r="B543" s="25" t="s">
        <v>2962</v>
      </c>
      <c r="C543" s="8" t="s">
        <v>2963</v>
      </c>
      <c r="D543" s="8" t="s">
        <v>3930</v>
      </c>
    </row>
    <row r="544" spans="1:4" ht="36" customHeight="1">
      <c r="A544" s="26">
        <v>539</v>
      </c>
      <c r="B544" s="25" t="s">
        <v>4336</v>
      </c>
      <c r="C544" s="8" t="s">
        <v>4337</v>
      </c>
      <c r="D544" s="8" t="s">
        <v>3930</v>
      </c>
    </row>
    <row r="545" spans="1:4" ht="36" customHeight="1">
      <c r="A545" s="26">
        <v>540</v>
      </c>
      <c r="B545" s="25" t="s">
        <v>4338</v>
      </c>
      <c r="C545" s="8" t="s">
        <v>4339</v>
      </c>
      <c r="D545" s="8" t="s">
        <v>3930</v>
      </c>
    </row>
    <row r="546" spans="1:4" ht="36" customHeight="1">
      <c r="A546" s="26">
        <v>541</v>
      </c>
      <c r="B546" s="25" t="s">
        <v>4340</v>
      </c>
      <c r="C546" s="8" t="s">
        <v>4341</v>
      </c>
      <c r="D546" s="8" t="s">
        <v>3930</v>
      </c>
    </row>
    <row r="547" spans="1:4" ht="36" customHeight="1">
      <c r="A547" s="26">
        <v>542</v>
      </c>
      <c r="B547" s="25" t="s">
        <v>4342</v>
      </c>
      <c r="C547" s="8" t="s">
        <v>4343</v>
      </c>
      <c r="D547" s="8" t="s">
        <v>3930</v>
      </c>
    </row>
    <row r="548" spans="1:4" ht="36" customHeight="1">
      <c r="A548" s="26">
        <v>543</v>
      </c>
      <c r="B548" s="25" t="s">
        <v>4344</v>
      </c>
      <c r="C548" s="8" t="s">
        <v>4345</v>
      </c>
      <c r="D548" s="8" t="s">
        <v>3930</v>
      </c>
    </row>
    <row r="549" spans="1:4" ht="36" customHeight="1">
      <c r="A549" s="26">
        <v>544</v>
      </c>
      <c r="B549" s="25" t="s">
        <v>4346</v>
      </c>
      <c r="C549" s="8" t="s">
        <v>4347</v>
      </c>
      <c r="D549" s="8" t="s">
        <v>3930</v>
      </c>
    </row>
    <row r="550" spans="1:4" ht="36" customHeight="1">
      <c r="A550" s="26">
        <v>545</v>
      </c>
      <c r="B550" s="25" t="s">
        <v>4348</v>
      </c>
      <c r="C550" s="8" t="s">
        <v>4349</v>
      </c>
      <c r="D550" s="8" t="s">
        <v>3930</v>
      </c>
    </row>
    <row r="551" spans="1:4" ht="36" customHeight="1">
      <c r="A551" s="26">
        <v>546</v>
      </c>
      <c r="B551" s="25" t="s">
        <v>2956</v>
      </c>
      <c r="C551" s="8" t="s">
        <v>2957</v>
      </c>
      <c r="D551" s="8" t="s">
        <v>3879</v>
      </c>
    </row>
    <row r="552" spans="1:4" ht="36" customHeight="1">
      <c r="A552" s="26">
        <v>547</v>
      </c>
      <c r="B552" s="25" t="s">
        <v>2956</v>
      </c>
      <c r="C552" s="8" t="s">
        <v>2957</v>
      </c>
      <c r="D552" s="8" t="s">
        <v>3879</v>
      </c>
    </row>
    <row r="553" spans="1:4" ht="36" customHeight="1">
      <c r="A553" s="26">
        <v>548</v>
      </c>
      <c r="B553" s="25" t="s">
        <v>2673</v>
      </c>
      <c r="C553" s="8" t="s">
        <v>2674</v>
      </c>
      <c r="D553" s="8" t="s">
        <v>3879</v>
      </c>
    </row>
    <row r="554" spans="1:4" ht="36" customHeight="1">
      <c r="A554" s="26">
        <v>549</v>
      </c>
      <c r="B554" s="25" t="s">
        <v>4135</v>
      </c>
      <c r="C554" s="8" t="s">
        <v>4136</v>
      </c>
      <c r="D554" s="8" t="s">
        <v>3879</v>
      </c>
    </row>
    <row r="555" spans="1:4" ht="36" customHeight="1">
      <c r="A555" s="26">
        <v>550</v>
      </c>
      <c r="B555" s="25" t="s">
        <v>2679</v>
      </c>
      <c r="C555" s="8" t="s">
        <v>2680</v>
      </c>
      <c r="D555" s="8" t="s">
        <v>3879</v>
      </c>
    </row>
    <row r="556" spans="1:4" ht="36" customHeight="1">
      <c r="A556" s="26">
        <v>551</v>
      </c>
      <c r="B556" s="25" t="s">
        <v>2679</v>
      </c>
      <c r="C556" s="8" t="s">
        <v>2680</v>
      </c>
      <c r="D556" s="8" t="s">
        <v>3879</v>
      </c>
    </row>
    <row r="557" spans="1:4" ht="36" customHeight="1">
      <c r="A557" s="26">
        <v>552</v>
      </c>
      <c r="B557" s="25" t="s">
        <v>2679</v>
      </c>
      <c r="C557" s="8" t="s">
        <v>2680</v>
      </c>
      <c r="D557" s="8" t="s">
        <v>3879</v>
      </c>
    </row>
    <row r="558" spans="1:4" ht="36" customHeight="1">
      <c r="A558" s="26">
        <v>553</v>
      </c>
      <c r="B558" s="25" t="s">
        <v>2679</v>
      </c>
      <c r="C558" s="8" t="s">
        <v>2680</v>
      </c>
      <c r="D558" s="8" t="s">
        <v>3879</v>
      </c>
    </row>
    <row r="559" spans="1:4" ht="36" customHeight="1">
      <c r="A559" s="26">
        <v>554</v>
      </c>
      <c r="B559" s="25" t="s">
        <v>2676</v>
      </c>
      <c r="C559" s="8" t="s">
        <v>2677</v>
      </c>
      <c r="D559" s="8" t="s">
        <v>3879</v>
      </c>
    </row>
    <row r="560" spans="1:4" ht="36" customHeight="1">
      <c r="A560" s="26">
        <v>555</v>
      </c>
      <c r="B560" s="25" t="s">
        <v>2676</v>
      </c>
      <c r="C560" s="8" t="s">
        <v>2677</v>
      </c>
      <c r="D560" s="8" t="s">
        <v>3879</v>
      </c>
    </row>
    <row r="561" spans="1:4" ht="36" customHeight="1">
      <c r="A561" s="26">
        <v>556</v>
      </c>
      <c r="B561" s="25" t="s">
        <v>2676</v>
      </c>
      <c r="C561" s="8" t="s">
        <v>2677</v>
      </c>
      <c r="D561" s="8" t="s">
        <v>3879</v>
      </c>
    </row>
    <row r="562" spans="1:4" ht="36" customHeight="1">
      <c r="A562" s="26">
        <v>557</v>
      </c>
      <c r="B562" s="25" t="s">
        <v>2676</v>
      </c>
      <c r="C562" s="8" t="s">
        <v>2677</v>
      </c>
      <c r="D562" s="8" t="s">
        <v>3879</v>
      </c>
    </row>
    <row r="563" spans="1:4" ht="36" customHeight="1">
      <c r="A563" s="26">
        <v>558</v>
      </c>
      <c r="B563" s="25" t="s">
        <v>2733</v>
      </c>
      <c r="C563" s="8" t="s">
        <v>2734</v>
      </c>
      <c r="D563" s="8" t="s">
        <v>3879</v>
      </c>
    </row>
    <row r="564" spans="1:4" ht="36" customHeight="1">
      <c r="A564" s="26">
        <v>559</v>
      </c>
      <c r="B564" s="25" t="s">
        <v>2733</v>
      </c>
      <c r="C564" s="8" t="s">
        <v>2734</v>
      </c>
      <c r="D564" s="8" t="s">
        <v>3879</v>
      </c>
    </row>
    <row r="565" spans="1:4" ht="36" customHeight="1">
      <c r="A565" s="26">
        <v>560</v>
      </c>
      <c r="B565" s="25" t="s">
        <v>2733</v>
      </c>
      <c r="C565" s="8" t="s">
        <v>2734</v>
      </c>
      <c r="D565" s="8" t="s">
        <v>3879</v>
      </c>
    </row>
    <row r="566" spans="1:4" ht="36" customHeight="1">
      <c r="A566" s="26">
        <v>561</v>
      </c>
      <c r="B566" s="25" t="s">
        <v>2733</v>
      </c>
      <c r="C566" s="8" t="s">
        <v>2734</v>
      </c>
      <c r="D566" s="8" t="s">
        <v>3879</v>
      </c>
    </row>
    <row r="567" spans="1:4" ht="36" customHeight="1">
      <c r="A567" s="26">
        <v>562</v>
      </c>
      <c r="B567" s="25" t="s">
        <v>2709</v>
      </c>
      <c r="C567" s="8" t="s">
        <v>2710</v>
      </c>
      <c r="D567" s="8" t="s">
        <v>3879</v>
      </c>
    </row>
    <row r="568" spans="1:4" ht="36" customHeight="1">
      <c r="A568" s="26">
        <v>563</v>
      </c>
      <c r="B568" s="25" t="s">
        <v>2385</v>
      </c>
      <c r="C568" s="8" t="s">
        <v>2386</v>
      </c>
      <c r="D568" s="8" t="s">
        <v>3879</v>
      </c>
    </row>
    <row r="569" spans="1:4" ht="36" customHeight="1">
      <c r="A569" s="26">
        <v>564</v>
      </c>
      <c r="B569" s="25" t="s">
        <v>2385</v>
      </c>
      <c r="C569" s="8" t="s">
        <v>2386</v>
      </c>
      <c r="D569" s="8" t="s">
        <v>3879</v>
      </c>
    </row>
    <row r="570" spans="1:4" ht="36" customHeight="1">
      <c r="A570" s="26">
        <v>565</v>
      </c>
      <c r="B570" s="25" t="s">
        <v>2436</v>
      </c>
      <c r="C570" s="8" t="s">
        <v>2437</v>
      </c>
      <c r="D570" s="8" t="s">
        <v>3879</v>
      </c>
    </row>
    <row r="571" spans="1:4" ht="36" customHeight="1">
      <c r="A571" s="26">
        <v>566</v>
      </c>
      <c r="B571" s="25" t="s">
        <v>4009</v>
      </c>
      <c r="C571" s="8" t="s">
        <v>4010</v>
      </c>
      <c r="D571" s="8" t="s">
        <v>3879</v>
      </c>
    </row>
    <row r="572" spans="1:4" ht="36" customHeight="1">
      <c r="A572" s="26">
        <v>567</v>
      </c>
      <c r="B572" s="25" t="s">
        <v>4009</v>
      </c>
      <c r="C572" s="8" t="s">
        <v>4010</v>
      </c>
      <c r="D572" s="8" t="s">
        <v>3879</v>
      </c>
    </row>
    <row r="573" spans="1:4" ht="36" customHeight="1">
      <c r="A573" s="26">
        <v>568</v>
      </c>
      <c r="B573" s="25" t="s">
        <v>4009</v>
      </c>
      <c r="C573" s="8" t="s">
        <v>4010</v>
      </c>
      <c r="D573" s="8" t="s">
        <v>3879</v>
      </c>
    </row>
    <row r="574" spans="1:4" ht="36" customHeight="1">
      <c r="A574" s="26">
        <v>569</v>
      </c>
      <c r="B574" s="25" t="s">
        <v>2778</v>
      </c>
      <c r="C574" s="8" t="s">
        <v>2779</v>
      </c>
      <c r="D574" s="8" t="s">
        <v>3879</v>
      </c>
    </row>
    <row r="575" spans="1:4" ht="36" customHeight="1">
      <c r="A575" s="26">
        <v>570</v>
      </c>
      <c r="B575" s="25" t="s">
        <v>2778</v>
      </c>
      <c r="C575" s="8" t="s">
        <v>2779</v>
      </c>
      <c r="D575" s="8" t="s">
        <v>3879</v>
      </c>
    </row>
    <row r="576" spans="1:4" ht="36" customHeight="1">
      <c r="A576" s="26">
        <v>571</v>
      </c>
      <c r="B576" s="25" t="s">
        <v>2646</v>
      </c>
      <c r="C576" s="8" t="s">
        <v>2647</v>
      </c>
      <c r="D576" s="8" t="s">
        <v>3879</v>
      </c>
    </row>
    <row r="577" spans="1:4" ht="36" customHeight="1">
      <c r="A577" s="26">
        <v>572</v>
      </c>
      <c r="B577" s="25" t="s">
        <v>2646</v>
      </c>
      <c r="C577" s="8" t="s">
        <v>2647</v>
      </c>
      <c r="D577" s="8" t="s">
        <v>3879</v>
      </c>
    </row>
    <row r="578" spans="1:4" ht="36" customHeight="1">
      <c r="A578" s="26">
        <v>573</v>
      </c>
      <c r="B578" s="25" t="s">
        <v>3061</v>
      </c>
      <c r="C578" s="8" t="s">
        <v>3062</v>
      </c>
      <c r="D578" s="8" t="s">
        <v>3879</v>
      </c>
    </row>
    <row r="579" spans="1:4" ht="36" customHeight="1">
      <c r="A579" s="26">
        <v>574</v>
      </c>
      <c r="B579" s="25" t="s">
        <v>2836</v>
      </c>
      <c r="C579" s="8" t="s">
        <v>2837</v>
      </c>
      <c r="D579" s="8" t="s">
        <v>3879</v>
      </c>
    </row>
    <row r="580" spans="1:4" ht="36" customHeight="1">
      <c r="A580" s="26">
        <v>575</v>
      </c>
      <c r="B580" s="25" t="s">
        <v>2836</v>
      </c>
      <c r="C580" s="8" t="s">
        <v>2837</v>
      </c>
      <c r="D580" s="8" t="s">
        <v>3879</v>
      </c>
    </row>
    <row r="581" spans="1:4" ht="36" customHeight="1">
      <c r="A581" s="26">
        <v>576</v>
      </c>
      <c r="B581" s="25" t="s">
        <v>2836</v>
      </c>
      <c r="C581" s="8" t="s">
        <v>2837</v>
      </c>
      <c r="D581" s="8" t="s">
        <v>3879</v>
      </c>
    </row>
    <row r="582" spans="1:4" ht="36" customHeight="1">
      <c r="A582" s="26">
        <v>577</v>
      </c>
      <c r="B582" s="25" t="s">
        <v>4070</v>
      </c>
      <c r="C582" s="8" t="s">
        <v>4071</v>
      </c>
      <c r="D582" s="8" t="s">
        <v>3879</v>
      </c>
    </row>
    <row r="583" spans="1:4" ht="36" customHeight="1">
      <c r="A583" s="26">
        <v>578</v>
      </c>
      <c r="B583" s="25" t="s">
        <v>4070</v>
      </c>
      <c r="C583" s="8" t="s">
        <v>4071</v>
      </c>
      <c r="D583" s="8" t="s">
        <v>3879</v>
      </c>
    </row>
    <row r="584" spans="1:4" ht="36" customHeight="1">
      <c r="A584" s="26">
        <v>579</v>
      </c>
      <c r="B584" s="25" t="s">
        <v>4070</v>
      </c>
      <c r="C584" s="8" t="s">
        <v>4071</v>
      </c>
      <c r="D584" s="8" t="s">
        <v>3879</v>
      </c>
    </row>
    <row r="585" spans="1:4" ht="36" customHeight="1">
      <c r="A585" s="26">
        <v>580</v>
      </c>
      <c r="B585" s="25" t="s">
        <v>4070</v>
      </c>
      <c r="C585" s="8" t="s">
        <v>4071</v>
      </c>
      <c r="D585" s="8" t="s">
        <v>3879</v>
      </c>
    </row>
    <row r="586" spans="1:4" ht="36" customHeight="1">
      <c r="A586" s="26">
        <v>581</v>
      </c>
      <c r="B586" s="25" t="s">
        <v>2953</v>
      </c>
      <c r="C586" s="8" t="s">
        <v>2954</v>
      </c>
      <c r="D586" s="8" t="s">
        <v>3879</v>
      </c>
    </row>
    <row r="587" spans="1:4" ht="36" customHeight="1">
      <c r="A587" s="26">
        <v>582</v>
      </c>
      <c r="B587" s="25" t="s">
        <v>2953</v>
      </c>
      <c r="C587" s="8" t="s">
        <v>2954</v>
      </c>
      <c r="D587" s="8" t="s">
        <v>3879</v>
      </c>
    </row>
    <row r="588" spans="1:4" ht="36" customHeight="1">
      <c r="A588" s="26">
        <v>583</v>
      </c>
      <c r="B588" s="25" t="s">
        <v>2953</v>
      </c>
      <c r="C588" s="8" t="s">
        <v>2954</v>
      </c>
      <c r="D588" s="8" t="s">
        <v>3879</v>
      </c>
    </row>
    <row r="589" spans="1:4" ht="36" customHeight="1">
      <c r="A589" s="26">
        <v>584</v>
      </c>
      <c r="B589" s="25" t="s">
        <v>4350</v>
      </c>
      <c r="C589" s="8" t="s">
        <v>4351</v>
      </c>
      <c r="D589" s="8" t="s">
        <v>3879</v>
      </c>
    </row>
    <row r="590" spans="1:4" ht="36" customHeight="1">
      <c r="A590" s="26">
        <v>585</v>
      </c>
      <c r="B590" s="25" t="s">
        <v>4350</v>
      </c>
      <c r="C590" s="8" t="s">
        <v>4351</v>
      </c>
      <c r="D590" s="8" t="s">
        <v>3879</v>
      </c>
    </row>
    <row r="591" spans="1:4" ht="36" customHeight="1">
      <c r="A591" s="26">
        <v>586</v>
      </c>
      <c r="B591" s="25" t="s">
        <v>4352</v>
      </c>
      <c r="C591" s="8" t="s">
        <v>4353</v>
      </c>
      <c r="D591" s="8" t="s">
        <v>3879</v>
      </c>
    </row>
    <row r="592" spans="1:4" ht="36" customHeight="1">
      <c r="A592" s="26">
        <v>587</v>
      </c>
      <c r="B592" s="25" t="s">
        <v>2754</v>
      </c>
      <c r="C592" s="8" t="s">
        <v>2755</v>
      </c>
      <c r="D592" s="8" t="s">
        <v>3879</v>
      </c>
    </row>
    <row r="593" spans="1:4" ht="36" customHeight="1">
      <c r="A593" s="26">
        <v>588</v>
      </c>
      <c r="B593" s="25" t="s">
        <v>2754</v>
      </c>
      <c r="C593" s="8" t="s">
        <v>2755</v>
      </c>
      <c r="D593" s="8" t="s">
        <v>3879</v>
      </c>
    </row>
    <row r="594" spans="1:4" ht="36" customHeight="1">
      <c r="A594" s="26">
        <v>589</v>
      </c>
      <c r="B594" s="25" t="s">
        <v>2754</v>
      </c>
      <c r="C594" s="8" t="s">
        <v>2755</v>
      </c>
      <c r="D594" s="8" t="s">
        <v>3879</v>
      </c>
    </row>
    <row r="595" spans="1:4" ht="36" customHeight="1">
      <c r="A595" s="26">
        <v>590</v>
      </c>
      <c r="B595" s="25" t="s">
        <v>2754</v>
      </c>
      <c r="C595" s="8" t="s">
        <v>2755</v>
      </c>
      <c r="D595" s="8" t="s">
        <v>3879</v>
      </c>
    </row>
    <row r="596" spans="1:4" ht="36" customHeight="1">
      <c r="A596" s="26">
        <v>591</v>
      </c>
      <c r="B596" s="25" t="s">
        <v>2842</v>
      </c>
      <c r="C596" s="8" t="s">
        <v>2843</v>
      </c>
      <c r="D596" s="8" t="s">
        <v>3879</v>
      </c>
    </row>
    <row r="597" spans="1:4" ht="36" customHeight="1">
      <c r="A597" s="26">
        <v>592</v>
      </c>
      <c r="B597" s="25" t="s">
        <v>2842</v>
      </c>
      <c r="C597" s="8" t="s">
        <v>2843</v>
      </c>
      <c r="D597" s="8" t="s">
        <v>3879</v>
      </c>
    </row>
    <row r="598" spans="1:4" ht="36" customHeight="1">
      <c r="A598" s="26">
        <v>593</v>
      </c>
      <c r="B598" s="25" t="s">
        <v>2842</v>
      </c>
      <c r="C598" s="8" t="s">
        <v>2843</v>
      </c>
      <c r="D598" s="8" t="s">
        <v>3879</v>
      </c>
    </row>
    <row r="599" spans="1:4" ht="36" customHeight="1">
      <c r="A599" s="26">
        <v>594</v>
      </c>
      <c r="B599" s="25" t="s">
        <v>4354</v>
      </c>
      <c r="C599" s="8" t="s">
        <v>4355</v>
      </c>
      <c r="D599" s="8" t="s">
        <v>3879</v>
      </c>
    </row>
    <row r="600" spans="1:4" ht="36" customHeight="1">
      <c r="A600" s="26">
        <v>595</v>
      </c>
      <c r="B600" s="25" t="s">
        <v>2724</v>
      </c>
      <c r="C600" s="8" t="s">
        <v>2725</v>
      </c>
      <c r="D600" s="8" t="s">
        <v>3879</v>
      </c>
    </row>
    <row r="601" spans="1:4" ht="36" customHeight="1">
      <c r="A601" s="26">
        <v>596</v>
      </c>
      <c r="B601" s="25" t="s">
        <v>2724</v>
      </c>
      <c r="C601" s="8" t="s">
        <v>2725</v>
      </c>
      <c r="D601" s="8" t="s">
        <v>3879</v>
      </c>
    </row>
    <row r="602" spans="1:4" ht="36" customHeight="1">
      <c r="A602" s="26">
        <v>597</v>
      </c>
      <c r="B602" s="25" t="s">
        <v>2724</v>
      </c>
      <c r="C602" s="8" t="s">
        <v>2725</v>
      </c>
      <c r="D602" s="8" t="s">
        <v>3879</v>
      </c>
    </row>
    <row r="603" spans="1:4" ht="36" customHeight="1">
      <c r="A603" s="26">
        <v>598</v>
      </c>
      <c r="B603" s="25" t="s">
        <v>3935</v>
      </c>
      <c r="C603" s="8" t="s">
        <v>3936</v>
      </c>
      <c r="D603" s="8" t="s">
        <v>3879</v>
      </c>
    </row>
    <row r="604" spans="1:4" ht="36" customHeight="1">
      <c r="A604" s="26">
        <v>599</v>
      </c>
      <c r="B604" s="25" t="s">
        <v>3935</v>
      </c>
      <c r="C604" s="8" t="s">
        <v>3936</v>
      </c>
      <c r="D604" s="8" t="s">
        <v>3879</v>
      </c>
    </row>
    <row r="605" spans="1:4" ht="36" customHeight="1">
      <c r="A605" s="26">
        <v>600</v>
      </c>
      <c r="B605" s="25" t="s">
        <v>3935</v>
      </c>
      <c r="C605" s="8" t="s">
        <v>3936</v>
      </c>
      <c r="D605" s="8" t="s">
        <v>3879</v>
      </c>
    </row>
    <row r="606" spans="1:4" ht="36" customHeight="1">
      <c r="A606" s="26">
        <v>601</v>
      </c>
      <c r="B606" s="25" t="s">
        <v>3935</v>
      </c>
      <c r="C606" s="8" t="s">
        <v>3936</v>
      </c>
      <c r="D606" s="8" t="s">
        <v>3879</v>
      </c>
    </row>
    <row r="607" spans="1:4" ht="36" customHeight="1">
      <c r="A607" s="26">
        <v>602</v>
      </c>
      <c r="B607" s="25" t="s">
        <v>3935</v>
      </c>
      <c r="C607" s="8" t="s">
        <v>3936</v>
      </c>
      <c r="D607" s="8" t="s">
        <v>3879</v>
      </c>
    </row>
    <row r="608" spans="1:4" ht="36" customHeight="1">
      <c r="A608" s="26">
        <v>603</v>
      </c>
      <c r="B608" s="25" t="s">
        <v>2418</v>
      </c>
      <c r="C608" s="8" t="s">
        <v>2419</v>
      </c>
      <c r="D608" s="8" t="s">
        <v>3879</v>
      </c>
    </row>
    <row r="609" spans="1:4" ht="36" customHeight="1">
      <c r="A609" s="26">
        <v>604</v>
      </c>
      <c r="B609" s="25" t="s">
        <v>2418</v>
      </c>
      <c r="C609" s="8" t="s">
        <v>2419</v>
      </c>
      <c r="D609" s="8" t="s">
        <v>3879</v>
      </c>
    </row>
    <row r="610" spans="1:4" ht="36" customHeight="1">
      <c r="A610" s="26">
        <v>605</v>
      </c>
      <c r="B610" s="25" t="s">
        <v>2397</v>
      </c>
      <c r="C610" s="8" t="s">
        <v>2398</v>
      </c>
      <c r="D610" s="8" t="s">
        <v>3879</v>
      </c>
    </row>
    <row r="611" spans="1:4" ht="36" customHeight="1">
      <c r="A611" s="26">
        <v>606</v>
      </c>
      <c r="B611" s="25" t="s">
        <v>2397</v>
      </c>
      <c r="C611" s="8" t="s">
        <v>2398</v>
      </c>
      <c r="D611" s="8" t="s">
        <v>3879</v>
      </c>
    </row>
    <row r="612" spans="1:4" ht="36" customHeight="1">
      <c r="A612" s="26">
        <v>607</v>
      </c>
      <c r="B612" s="25" t="s">
        <v>3949</v>
      </c>
      <c r="C612" s="8" t="s">
        <v>3950</v>
      </c>
      <c r="D612" s="8" t="s">
        <v>3879</v>
      </c>
    </row>
    <row r="613" spans="1:4" ht="36" customHeight="1">
      <c r="A613" s="26">
        <v>608</v>
      </c>
      <c r="B613" s="25" t="s">
        <v>2854</v>
      </c>
      <c r="C613" s="8" t="s">
        <v>2855</v>
      </c>
      <c r="D613" s="8" t="s">
        <v>3879</v>
      </c>
    </row>
    <row r="614" spans="1:4" ht="36" customHeight="1">
      <c r="A614" s="26">
        <v>609</v>
      </c>
      <c r="B614" s="25" t="s">
        <v>2854</v>
      </c>
      <c r="C614" s="8" t="s">
        <v>2855</v>
      </c>
      <c r="D614" s="8" t="s">
        <v>3879</v>
      </c>
    </row>
    <row r="615" spans="1:4" ht="36" customHeight="1">
      <c r="A615" s="26">
        <v>610</v>
      </c>
      <c r="B615" s="25" t="s">
        <v>2664</v>
      </c>
      <c r="C615" s="8" t="s">
        <v>2665</v>
      </c>
      <c r="D615" s="8" t="s">
        <v>3879</v>
      </c>
    </row>
    <row r="616" spans="1:4" ht="36" customHeight="1">
      <c r="A616" s="26">
        <v>611</v>
      </c>
      <c r="B616" s="25" t="s">
        <v>2823</v>
      </c>
      <c r="C616" s="8" t="s">
        <v>2824</v>
      </c>
      <c r="D616" s="8" t="s">
        <v>3879</v>
      </c>
    </row>
    <row r="617" spans="1:4" ht="36" customHeight="1">
      <c r="A617" s="26">
        <v>612</v>
      </c>
      <c r="B617" s="25" t="s">
        <v>2823</v>
      </c>
      <c r="C617" s="8" t="s">
        <v>2824</v>
      </c>
      <c r="D617" s="8" t="s">
        <v>3879</v>
      </c>
    </row>
    <row r="618" spans="1:4" ht="36" customHeight="1">
      <c r="A618" s="26">
        <v>613</v>
      </c>
      <c r="B618" s="25" t="s">
        <v>2823</v>
      </c>
      <c r="C618" s="8" t="s">
        <v>2824</v>
      </c>
      <c r="D618" s="8" t="s">
        <v>3879</v>
      </c>
    </row>
    <row r="619" spans="1:4" ht="36" customHeight="1">
      <c r="A619" s="26">
        <v>614</v>
      </c>
      <c r="B619" s="25" t="s">
        <v>2781</v>
      </c>
      <c r="C619" s="8" t="s">
        <v>2782</v>
      </c>
      <c r="D619" s="8" t="s">
        <v>3879</v>
      </c>
    </row>
    <row r="620" spans="1:4" ht="36" customHeight="1">
      <c r="A620" s="26">
        <v>615</v>
      </c>
      <c r="B620" s="25" t="s">
        <v>2781</v>
      </c>
      <c r="C620" s="8" t="s">
        <v>2782</v>
      </c>
      <c r="D620" s="8" t="s">
        <v>3879</v>
      </c>
    </row>
    <row r="621" spans="1:4" ht="36" customHeight="1">
      <c r="A621" s="26">
        <v>616</v>
      </c>
      <c r="B621" s="25" t="s">
        <v>2781</v>
      </c>
      <c r="C621" s="8" t="s">
        <v>2782</v>
      </c>
      <c r="D621" s="8" t="s">
        <v>3879</v>
      </c>
    </row>
    <row r="622" spans="1:4" ht="36" customHeight="1">
      <c r="A622" s="26">
        <v>617</v>
      </c>
      <c r="B622" s="25" t="s">
        <v>2781</v>
      </c>
      <c r="C622" s="8" t="s">
        <v>2782</v>
      </c>
      <c r="D622" s="8" t="s">
        <v>3879</v>
      </c>
    </row>
    <row r="623" spans="1:4" ht="36" customHeight="1">
      <c r="A623" s="26">
        <v>618</v>
      </c>
      <c r="B623" s="25" t="s">
        <v>2781</v>
      </c>
      <c r="C623" s="8" t="s">
        <v>2782</v>
      </c>
      <c r="D623" s="8" t="s">
        <v>3879</v>
      </c>
    </row>
    <row r="624" spans="1:4" ht="36" customHeight="1">
      <c r="A624" s="26">
        <v>619</v>
      </c>
      <c r="B624" s="25" t="s">
        <v>2667</v>
      </c>
      <c r="C624" s="8" t="s">
        <v>2668</v>
      </c>
      <c r="D624" s="8" t="s">
        <v>3879</v>
      </c>
    </row>
    <row r="625" spans="1:4" ht="36" customHeight="1">
      <c r="A625" s="26">
        <v>620</v>
      </c>
      <c r="B625" s="25" t="s">
        <v>2667</v>
      </c>
      <c r="C625" s="8" t="s">
        <v>2668</v>
      </c>
      <c r="D625" s="8" t="s">
        <v>3879</v>
      </c>
    </row>
    <row r="626" spans="1:4" ht="36" customHeight="1">
      <c r="A626" s="26">
        <v>621</v>
      </c>
      <c r="B626" s="25" t="s">
        <v>2748</v>
      </c>
      <c r="C626" s="8" t="s">
        <v>2749</v>
      </c>
      <c r="D626" s="8" t="s">
        <v>3879</v>
      </c>
    </row>
    <row r="627" spans="1:4" ht="36" customHeight="1">
      <c r="A627" s="26">
        <v>622</v>
      </c>
      <c r="B627" s="25" t="s">
        <v>2748</v>
      </c>
      <c r="C627" s="8" t="s">
        <v>2749</v>
      </c>
      <c r="D627" s="8" t="s">
        <v>3879</v>
      </c>
    </row>
    <row r="628" spans="1:4" ht="36" customHeight="1">
      <c r="A628" s="26">
        <v>623</v>
      </c>
      <c r="B628" s="25" t="s">
        <v>2748</v>
      </c>
      <c r="C628" s="8" t="s">
        <v>2749</v>
      </c>
      <c r="D628" s="8" t="s">
        <v>3879</v>
      </c>
    </row>
    <row r="629" spans="1:4" ht="36" customHeight="1">
      <c r="A629" s="26">
        <v>624</v>
      </c>
      <c r="B629" s="25" t="s">
        <v>2748</v>
      </c>
      <c r="C629" s="8" t="s">
        <v>2749</v>
      </c>
      <c r="D629" s="8" t="s">
        <v>3879</v>
      </c>
    </row>
    <row r="630" spans="1:4" ht="36" customHeight="1">
      <c r="A630" s="26">
        <v>625</v>
      </c>
      <c r="B630" s="25" t="s">
        <v>2748</v>
      </c>
      <c r="C630" s="8" t="s">
        <v>2749</v>
      </c>
      <c r="D630" s="8" t="s">
        <v>3879</v>
      </c>
    </row>
    <row r="631" spans="1:4" ht="36" customHeight="1">
      <c r="A631" s="26">
        <v>626</v>
      </c>
      <c r="B631" s="25" t="s">
        <v>2787</v>
      </c>
      <c r="C631" s="8" t="s">
        <v>2788</v>
      </c>
      <c r="D631" s="8" t="s">
        <v>3879</v>
      </c>
    </row>
    <row r="632" spans="1:4" ht="36" customHeight="1">
      <c r="A632" s="26">
        <v>627</v>
      </c>
      <c r="B632" s="25" t="s">
        <v>2787</v>
      </c>
      <c r="C632" s="8" t="s">
        <v>2788</v>
      </c>
      <c r="D632" s="8" t="s">
        <v>3879</v>
      </c>
    </row>
    <row r="633" spans="1:4" ht="36" customHeight="1">
      <c r="A633" s="26">
        <v>628</v>
      </c>
      <c r="B633" s="25" t="s">
        <v>4254</v>
      </c>
      <c r="C633" s="8" t="s">
        <v>4255</v>
      </c>
      <c r="D633" s="8" t="s">
        <v>3879</v>
      </c>
    </row>
    <row r="634" spans="1:4" ht="36" customHeight="1">
      <c r="A634" s="26">
        <v>629</v>
      </c>
      <c r="B634" s="25" t="s">
        <v>2751</v>
      </c>
      <c r="C634" s="8" t="s">
        <v>2752</v>
      </c>
      <c r="D634" s="8" t="s">
        <v>3879</v>
      </c>
    </row>
    <row r="635" spans="1:4" ht="36" customHeight="1">
      <c r="A635" s="26">
        <v>630</v>
      </c>
      <c r="B635" s="25" t="s">
        <v>2634</v>
      </c>
      <c r="C635" s="8" t="s">
        <v>2635</v>
      </c>
      <c r="D635" s="8" t="s">
        <v>3879</v>
      </c>
    </row>
    <row r="636" spans="1:4" ht="36" customHeight="1">
      <c r="A636" s="26">
        <v>631</v>
      </c>
      <c r="B636" s="25" t="s">
        <v>2634</v>
      </c>
      <c r="C636" s="8" t="s">
        <v>2635</v>
      </c>
      <c r="D636" s="8" t="s">
        <v>3879</v>
      </c>
    </row>
    <row r="637" spans="1:4" ht="36" customHeight="1">
      <c r="A637" s="26">
        <v>632</v>
      </c>
      <c r="B637" s="25" t="s">
        <v>2634</v>
      </c>
      <c r="C637" s="8" t="s">
        <v>2635</v>
      </c>
      <c r="D637" s="8" t="s">
        <v>3879</v>
      </c>
    </row>
    <row r="638" spans="1:4" ht="36" customHeight="1">
      <c r="A638" s="26">
        <v>633</v>
      </c>
      <c r="B638" s="25" t="s">
        <v>2634</v>
      </c>
      <c r="C638" s="8" t="s">
        <v>2635</v>
      </c>
      <c r="D638" s="8" t="s">
        <v>3879</v>
      </c>
    </row>
    <row r="639" spans="1:4" ht="36" customHeight="1">
      <c r="A639" s="26">
        <v>634</v>
      </c>
      <c r="B639" s="25" t="s">
        <v>2625</v>
      </c>
      <c r="C639" s="8" t="s">
        <v>2626</v>
      </c>
      <c r="D639" s="8" t="s">
        <v>3879</v>
      </c>
    </row>
    <row r="640" spans="1:4" ht="36" customHeight="1">
      <c r="A640" s="26">
        <v>635</v>
      </c>
      <c r="B640" s="25" t="s">
        <v>2625</v>
      </c>
      <c r="C640" s="8" t="s">
        <v>2626</v>
      </c>
      <c r="D640" s="8" t="s">
        <v>3879</v>
      </c>
    </row>
    <row r="641" spans="1:4" ht="36" customHeight="1">
      <c r="A641" s="26">
        <v>636</v>
      </c>
      <c r="B641" s="25" t="s">
        <v>2625</v>
      </c>
      <c r="C641" s="8" t="s">
        <v>2626</v>
      </c>
      <c r="D641" s="8" t="s">
        <v>3879</v>
      </c>
    </row>
    <row r="642" spans="1:4" ht="36" customHeight="1">
      <c r="A642" s="26">
        <v>637</v>
      </c>
      <c r="B642" s="25" t="s">
        <v>2637</v>
      </c>
      <c r="C642" s="8" t="s">
        <v>2638</v>
      </c>
      <c r="D642" s="8" t="s">
        <v>3879</v>
      </c>
    </row>
    <row r="643" spans="1:4" ht="36" customHeight="1">
      <c r="A643" s="26">
        <v>638</v>
      </c>
      <c r="B643" s="25" t="s">
        <v>4356</v>
      </c>
      <c r="C643" s="8" t="s">
        <v>4357</v>
      </c>
      <c r="D643" s="8" t="s">
        <v>3879</v>
      </c>
    </row>
    <row r="644" spans="1:4" ht="36" customHeight="1">
      <c r="A644" s="26">
        <v>639</v>
      </c>
      <c r="B644" s="25" t="s">
        <v>4356</v>
      </c>
      <c r="C644" s="8" t="s">
        <v>4357</v>
      </c>
      <c r="D644" s="8" t="s">
        <v>3879</v>
      </c>
    </row>
    <row r="645" spans="1:4" ht="36" customHeight="1">
      <c r="A645" s="26">
        <v>640</v>
      </c>
      <c r="B645" s="25" t="s">
        <v>4356</v>
      </c>
      <c r="C645" s="8" t="s">
        <v>4357</v>
      </c>
      <c r="D645" s="8" t="s">
        <v>3879</v>
      </c>
    </row>
    <row r="646" spans="1:4" ht="36" customHeight="1">
      <c r="A646" s="26">
        <v>641</v>
      </c>
      <c r="B646" s="25" t="s">
        <v>2763</v>
      </c>
      <c r="C646" s="8" t="s">
        <v>2764</v>
      </c>
      <c r="D646" s="8" t="s">
        <v>3879</v>
      </c>
    </row>
    <row r="647" spans="1:4" ht="36" customHeight="1">
      <c r="A647" s="26">
        <v>642</v>
      </c>
      <c r="B647" s="25" t="s">
        <v>3965</v>
      </c>
      <c r="C647" s="8" t="s">
        <v>3966</v>
      </c>
      <c r="D647" s="8" t="s">
        <v>3879</v>
      </c>
    </row>
    <row r="648" spans="1:4" ht="36" customHeight="1">
      <c r="A648" s="26">
        <v>643</v>
      </c>
      <c r="B648" s="25" t="s">
        <v>4358</v>
      </c>
      <c r="C648" s="8" t="s">
        <v>4359</v>
      </c>
      <c r="D648" s="8" t="s">
        <v>3879</v>
      </c>
    </row>
    <row r="649" spans="1:4" ht="36" customHeight="1">
      <c r="A649" s="26">
        <v>644</v>
      </c>
      <c r="B649" s="25" t="s">
        <v>3961</v>
      </c>
      <c r="C649" s="8" t="s">
        <v>3962</v>
      </c>
      <c r="D649" s="8" t="s">
        <v>3879</v>
      </c>
    </row>
    <row r="650" spans="1:4" ht="36" customHeight="1">
      <c r="A650" s="26">
        <v>645</v>
      </c>
      <c r="B650" s="25" t="s">
        <v>3961</v>
      </c>
      <c r="C650" s="8" t="s">
        <v>3962</v>
      </c>
      <c r="D650" s="8" t="s">
        <v>3879</v>
      </c>
    </row>
    <row r="651" spans="1:4" ht="36" customHeight="1">
      <c r="A651" s="26">
        <v>646</v>
      </c>
      <c r="B651" s="25" t="s">
        <v>2739</v>
      </c>
      <c r="C651" s="8" t="s">
        <v>2740</v>
      </c>
      <c r="D651" s="8" t="s">
        <v>3879</v>
      </c>
    </row>
    <row r="652" spans="1:4" ht="36" customHeight="1">
      <c r="A652" s="26">
        <v>647</v>
      </c>
      <c r="B652" s="25" t="s">
        <v>2739</v>
      </c>
      <c r="C652" s="8" t="s">
        <v>2740</v>
      </c>
      <c r="D652" s="8" t="s">
        <v>3879</v>
      </c>
    </row>
    <row r="653" spans="1:4" ht="36" customHeight="1">
      <c r="A653" s="26">
        <v>648</v>
      </c>
      <c r="B653" s="25" t="s">
        <v>2739</v>
      </c>
      <c r="C653" s="8" t="s">
        <v>2740</v>
      </c>
      <c r="D653" s="8" t="s">
        <v>3879</v>
      </c>
    </row>
    <row r="654" spans="1:4" ht="36" customHeight="1">
      <c r="A654" s="26">
        <v>649</v>
      </c>
      <c r="B654" s="25" t="s">
        <v>2739</v>
      </c>
      <c r="C654" s="8" t="s">
        <v>2740</v>
      </c>
      <c r="D654" s="8" t="s">
        <v>3879</v>
      </c>
    </row>
    <row r="655" spans="1:4" ht="36" customHeight="1">
      <c r="A655" s="26">
        <v>650</v>
      </c>
      <c r="B655" s="25" t="s">
        <v>2739</v>
      </c>
      <c r="C655" s="8" t="s">
        <v>2740</v>
      </c>
      <c r="D655" s="8" t="s">
        <v>3879</v>
      </c>
    </row>
    <row r="656" spans="1:4" ht="36" customHeight="1">
      <c r="A656" s="26">
        <v>651</v>
      </c>
      <c r="B656" s="25" t="s">
        <v>4360</v>
      </c>
      <c r="C656" s="8" t="s">
        <v>4361</v>
      </c>
      <c r="D656" s="8" t="s">
        <v>3879</v>
      </c>
    </row>
    <row r="657" spans="1:4" ht="36" customHeight="1">
      <c r="A657" s="26">
        <v>652</v>
      </c>
      <c r="B657" s="25" t="s">
        <v>2442</v>
      </c>
      <c r="C657" s="8" t="s">
        <v>2443</v>
      </c>
      <c r="D657" s="8" t="s">
        <v>3879</v>
      </c>
    </row>
    <row r="658" spans="1:4" ht="36" customHeight="1">
      <c r="A658" s="26">
        <v>653</v>
      </c>
      <c r="B658" s="25" t="s">
        <v>4362</v>
      </c>
      <c r="C658" s="8" t="s">
        <v>4363</v>
      </c>
      <c r="D658" s="8" t="s">
        <v>3879</v>
      </c>
    </row>
    <row r="659" spans="1:4" ht="36" customHeight="1">
      <c r="A659" s="26">
        <v>654</v>
      </c>
      <c r="B659" s="25" t="s">
        <v>4215</v>
      </c>
      <c r="C659" s="8" t="s">
        <v>4216</v>
      </c>
      <c r="D659" s="8" t="s">
        <v>3879</v>
      </c>
    </row>
    <row r="660" spans="1:4" ht="36" customHeight="1">
      <c r="A660" s="26">
        <v>655</v>
      </c>
      <c r="B660" s="25" t="s">
        <v>4364</v>
      </c>
      <c r="C660" s="8" t="s">
        <v>4365</v>
      </c>
      <c r="D660" s="8" t="s">
        <v>3879</v>
      </c>
    </row>
    <row r="661" spans="1:4" ht="36" customHeight="1">
      <c r="A661" s="26">
        <v>656</v>
      </c>
      <c r="B661" s="25" t="s">
        <v>4364</v>
      </c>
      <c r="C661" s="8" t="s">
        <v>4365</v>
      </c>
      <c r="D661" s="8" t="s">
        <v>3879</v>
      </c>
    </row>
    <row r="662" spans="1:4" ht="36" customHeight="1">
      <c r="A662" s="26">
        <v>657</v>
      </c>
      <c r="B662" s="25" t="s">
        <v>4364</v>
      </c>
      <c r="C662" s="8" t="s">
        <v>4365</v>
      </c>
      <c r="D662" s="8" t="s">
        <v>3879</v>
      </c>
    </row>
    <row r="663" spans="1:4" ht="36" customHeight="1">
      <c r="A663" s="26">
        <v>658</v>
      </c>
      <c r="B663" s="25" t="s">
        <v>4366</v>
      </c>
      <c r="C663" s="8" t="s">
        <v>4367</v>
      </c>
      <c r="D663" s="8" t="s">
        <v>3879</v>
      </c>
    </row>
    <row r="664" spans="1:4" ht="36" customHeight="1">
      <c r="A664" s="26">
        <v>659</v>
      </c>
      <c r="B664" s="25" t="s">
        <v>4366</v>
      </c>
      <c r="C664" s="8" t="s">
        <v>4367</v>
      </c>
      <c r="D664" s="8" t="s">
        <v>3879</v>
      </c>
    </row>
    <row r="665" spans="1:4" ht="36" customHeight="1">
      <c r="A665" s="26">
        <v>660</v>
      </c>
      <c r="B665" s="25" t="s">
        <v>2742</v>
      </c>
      <c r="C665" s="8" t="s">
        <v>2743</v>
      </c>
      <c r="D665" s="8" t="s">
        <v>3879</v>
      </c>
    </row>
    <row r="666" spans="1:4" ht="36" customHeight="1">
      <c r="A666" s="26">
        <v>661</v>
      </c>
      <c r="B666" s="25" t="s">
        <v>2742</v>
      </c>
      <c r="C666" s="8" t="s">
        <v>2743</v>
      </c>
      <c r="D666" s="8" t="s">
        <v>3879</v>
      </c>
    </row>
    <row r="667" spans="1:4" ht="36" customHeight="1">
      <c r="A667" s="26">
        <v>662</v>
      </c>
      <c r="B667" s="25" t="s">
        <v>2742</v>
      </c>
      <c r="C667" s="8" t="s">
        <v>2743</v>
      </c>
      <c r="D667" s="8" t="s">
        <v>3879</v>
      </c>
    </row>
    <row r="668" spans="1:4" ht="36" customHeight="1">
      <c r="A668" s="26">
        <v>663</v>
      </c>
      <c r="B668" s="25" t="s">
        <v>2742</v>
      </c>
      <c r="C668" s="8" t="s">
        <v>2743</v>
      </c>
      <c r="D668" s="8" t="s">
        <v>3879</v>
      </c>
    </row>
    <row r="669" spans="1:4" ht="36" customHeight="1">
      <c r="A669" s="26">
        <v>664</v>
      </c>
      <c r="B669" s="25" t="s">
        <v>4368</v>
      </c>
      <c r="C669" s="8" t="s">
        <v>4369</v>
      </c>
      <c r="D669" s="8" t="s">
        <v>3879</v>
      </c>
    </row>
    <row r="670" spans="1:4" ht="36" customHeight="1">
      <c r="A670" s="26">
        <v>665</v>
      </c>
      <c r="B670" s="25" t="s">
        <v>4370</v>
      </c>
      <c r="C670" s="8" t="s">
        <v>4371</v>
      </c>
      <c r="D670" s="8" t="s">
        <v>3879</v>
      </c>
    </row>
    <row r="671" spans="1:4" ht="36" customHeight="1">
      <c r="A671" s="26">
        <v>666</v>
      </c>
      <c r="B671" s="25" t="s">
        <v>4370</v>
      </c>
      <c r="C671" s="8" t="s">
        <v>4371</v>
      </c>
      <c r="D671" s="8" t="s">
        <v>3879</v>
      </c>
    </row>
    <row r="672" spans="1:4" ht="36" customHeight="1">
      <c r="A672" s="26">
        <v>667</v>
      </c>
      <c r="B672" s="25" t="s">
        <v>3910</v>
      </c>
      <c r="C672" s="8" t="s">
        <v>3911</v>
      </c>
      <c r="D672" s="8" t="s">
        <v>3879</v>
      </c>
    </row>
    <row r="673" spans="1:4" ht="36" customHeight="1">
      <c r="A673" s="26">
        <v>668</v>
      </c>
      <c r="B673" s="25" t="s">
        <v>4256</v>
      </c>
      <c r="C673" s="8" t="s">
        <v>4257</v>
      </c>
      <c r="D673" s="8" t="s">
        <v>3879</v>
      </c>
    </row>
    <row r="674" spans="1:4" ht="36" customHeight="1">
      <c r="A674" s="26">
        <v>669</v>
      </c>
      <c r="B674" s="25" t="s">
        <v>4256</v>
      </c>
      <c r="C674" s="8" t="s">
        <v>4257</v>
      </c>
      <c r="D674" s="8" t="s">
        <v>3879</v>
      </c>
    </row>
    <row r="675" spans="1:4" ht="36" customHeight="1">
      <c r="A675" s="26">
        <v>670</v>
      </c>
      <c r="B675" s="25" t="s">
        <v>4256</v>
      </c>
      <c r="C675" s="8" t="s">
        <v>4257</v>
      </c>
      <c r="D675" s="8" t="s">
        <v>3879</v>
      </c>
    </row>
    <row r="676" spans="1:4" ht="36" customHeight="1">
      <c r="A676" s="26">
        <v>671</v>
      </c>
      <c r="B676" s="25" t="s">
        <v>4372</v>
      </c>
      <c r="C676" s="8" t="s">
        <v>4373</v>
      </c>
      <c r="D676" s="8" t="s">
        <v>3879</v>
      </c>
    </row>
    <row r="677" spans="1:4" ht="36" customHeight="1">
      <c r="A677" s="26">
        <v>672</v>
      </c>
      <c r="B677" s="25" t="s">
        <v>2373</v>
      </c>
      <c r="C677" s="8" t="s">
        <v>2374</v>
      </c>
      <c r="D677" s="8" t="s">
        <v>3879</v>
      </c>
    </row>
    <row r="678" spans="1:4" ht="36" customHeight="1">
      <c r="A678" s="26">
        <v>673</v>
      </c>
      <c r="B678" s="25" t="s">
        <v>2640</v>
      </c>
      <c r="C678" s="8" t="s">
        <v>2641</v>
      </c>
      <c r="D678" s="8" t="s">
        <v>3879</v>
      </c>
    </row>
    <row r="679" spans="1:4" ht="36" customHeight="1">
      <c r="A679" s="26">
        <v>674</v>
      </c>
      <c r="B679" s="25" t="s">
        <v>2640</v>
      </c>
      <c r="C679" s="8" t="s">
        <v>2641</v>
      </c>
      <c r="D679" s="8" t="s">
        <v>3879</v>
      </c>
    </row>
    <row r="680" spans="1:4" ht="36" customHeight="1">
      <c r="A680" s="26">
        <v>675</v>
      </c>
      <c r="B680" s="25" t="s">
        <v>2640</v>
      </c>
      <c r="C680" s="8" t="s">
        <v>2641</v>
      </c>
      <c r="D680" s="8" t="s">
        <v>3879</v>
      </c>
    </row>
    <row r="681" spans="1:4" ht="36" customHeight="1">
      <c r="A681" s="26">
        <v>676</v>
      </c>
      <c r="B681" s="25" t="s">
        <v>2640</v>
      </c>
      <c r="C681" s="8" t="s">
        <v>2641</v>
      </c>
      <c r="D681" s="8" t="s">
        <v>3879</v>
      </c>
    </row>
    <row r="682" spans="1:4" ht="36" customHeight="1">
      <c r="A682" s="26">
        <v>677</v>
      </c>
      <c r="B682" s="25" t="s">
        <v>2640</v>
      </c>
      <c r="C682" s="8" t="s">
        <v>2641</v>
      </c>
      <c r="D682" s="8" t="s">
        <v>3879</v>
      </c>
    </row>
    <row r="683" spans="1:4" ht="36" customHeight="1">
      <c r="A683" s="26">
        <v>678</v>
      </c>
      <c r="B683" s="25" t="s">
        <v>2640</v>
      </c>
      <c r="C683" s="8" t="s">
        <v>2641</v>
      </c>
      <c r="D683" s="8" t="s">
        <v>3879</v>
      </c>
    </row>
    <row r="684" spans="1:4" ht="36" customHeight="1">
      <c r="A684" s="26">
        <v>679</v>
      </c>
      <c r="B684" s="25" t="s">
        <v>4374</v>
      </c>
      <c r="C684" s="8" t="s">
        <v>4375</v>
      </c>
      <c r="D684" s="8" t="s">
        <v>3879</v>
      </c>
    </row>
    <row r="685" spans="1:4" ht="36" customHeight="1">
      <c r="A685" s="26">
        <v>680</v>
      </c>
      <c r="B685" s="25" t="s">
        <v>4376</v>
      </c>
      <c r="C685" s="8" t="s">
        <v>4377</v>
      </c>
      <c r="D685" s="8" t="s">
        <v>3879</v>
      </c>
    </row>
    <row r="686" spans="1:4" ht="36" customHeight="1">
      <c r="A686" s="26">
        <v>681</v>
      </c>
      <c r="B686" s="25" t="s">
        <v>4378</v>
      </c>
      <c r="C686" s="8" t="s">
        <v>4379</v>
      </c>
      <c r="D686" s="8" t="s">
        <v>3879</v>
      </c>
    </row>
    <row r="687" spans="1:4" ht="36" customHeight="1">
      <c r="A687" s="26">
        <v>682</v>
      </c>
      <c r="B687" s="25" t="s">
        <v>4380</v>
      </c>
      <c r="C687" s="8" t="s">
        <v>4381</v>
      </c>
      <c r="D687" s="8" t="s">
        <v>3879</v>
      </c>
    </row>
    <row r="688" spans="1:4" ht="36" customHeight="1">
      <c r="A688" s="26">
        <v>683</v>
      </c>
      <c r="B688" s="25" t="s">
        <v>4382</v>
      </c>
      <c r="C688" s="8" t="s">
        <v>4383</v>
      </c>
      <c r="D688" s="8" t="s">
        <v>3879</v>
      </c>
    </row>
    <row r="689" spans="1:4" ht="36" customHeight="1">
      <c r="A689" s="26">
        <v>684</v>
      </c>
      <c r="B689" s="25" t="s">
        <v>4384</v>
      </c>
      <c r="C689" s="8" t="s">
        <v>4385</v>
      </c>
      <c r="D689" s="8" t="s">
        <v>3879</v>
      </c>
    </row>
    <row r="690" spans="1:4" ht="36" customHeight="1">
      <c r="A690" s="26">
        <v>685</v>
      </c>
      <c r="B690" s="25" t="s">
        <v>4386</v>
      </c>
      <c r="C690" s="8" t="s">
        <v>4387</v>
      </c>
      <c r="D690" s="8" t="s">
        <v>3879</v>
      </c>
    </row>
    <row r="691" spans="1:4" ht="36" customHeight="1">
      <c r="A691" s="26">
        <v>686</v>
      </c>
      <c r="B691" s="25" t="s">
        <v>4388</v>
      </c>
      <c r="C691" s="8" t="s">
        <v>4389</v>
      </c>
      <c r="D691" s="8" t="s">
        <v>3879</v>
      </c>
    </row>
    <row r="692" spans="1:4" ht="36" customHeight="1">
      <c r="A692" s="26">
        <v>687</v>
      </c>
      <c r="B692" s="25" t="s">
        <v>4390</v>
      </c>
      <c r="C692" s="8" t="s">
        <v>4391</v>
      </c>
      <c r="D692" s="8" t="s">
        <v>3879</v>
      </c>
    </row>
    <row r="693" spans="1:4" ht="36" customHeight="1">
      <c r="A693" s="26">
        <v>688</v>
      </c>
      <c r="B693" s="25" t="s">
        <v>2391</v>
      </c>
      <c r="C693" s="8" t="s">
        <v>2392</v>
      </c>
      <c r="D693" s="8" t="s">
        <v>3879</v>
      </c>
    </row>
    <row r="694" spans="1:4" ht="36" customHeight="1">
      <c r="A694" s="26">
        <v>689</v>
      </c>
      <c r="B694" s="25" t="s">
        <v>2391</v>
      </c>
      <c r="C694" s="8" t="s">
        <v>2392</v>
      </c>
      <c r="D694" s="8" t="s">
        <v>3879</v>
      </c>
    </row>
    <row r="695" spans="1:4" ht="36" customHeight="1">
      <c r="A695" s="26">
        <v>690</v>
      </c>
      <c r="B695" s="25" t="s">
        <v>4392</v>
      </c>
      <c r="C695" s="8" t="s">
        <v>4393</v>
      </c>
      <c r="D695" s="8" t="s">
        <v>3879</v>
      </c>
    </row>
    <row r="696" spans="1:4" ht="36" customHeight="1">
      <c r="A696" s="26">
        <v>691</v>
      </c>
      <c r="B696" s="25" t="s">
        <v>4023</v>
      </c>
      <c r="C696" s="8" t="s">
        <v>4024</v>
      </c>
      <c r="D696" s="8" t="s">
        <v>3879</v>
      </c>
    </row>
    <row r="697" spans="1:4" ht="36" customHeight="1">
      <c r="A697" s="26">
        <v>692</v>
      </c>
      <c r="B697" s="25" t="s">
        <v>4021</v>
      </c>
      <c r="C697" s="8" t="s">
        <v>4022</v>
      </c>
      <c r="D697" s="8" t="s">
        <v>3879</v>
      </c>
    </row>
    <row r="698" spans="1:4" ht="36" customHeight="1">
      <c r="A698" s="26">
        <v>693</v>
      </c>
      <c r="B698" s="25" t="s">
        <v>4021</v>
      </c>
      <c r="C698" s="8" t="s">
        <v>4022</v>
      </c>
      <c r="D698" s="8" t="s">
        <v>3879</v>
      </c>
    </row>
    <row r="699" spans="1:4" ht="36" customHeight="1">
      <c r="A699" s="26">
        <v>694</v>
      </c>
      <c r="B699" s="25" t="s">
        <v>4394</v>
      </c>
      <c r="C699" s="8" t="s">
        <v>4395</v>
      </c>
      <c r="D699" s="8" t="s">
        <v>3879</v>
      </c>
    </row>
    <row r="700" spans="1:4" ht="36" customHeight="1">
      <c r="A700" s="26">
        <v>695</v>
      </c>
      <c r="B700" s="25" t="s">
        <v>2839</v>
      </c>
      <c r="C700" s="8" t="s">
        <v>2840</v>
      </c>
      <c r="D700" s="8" t="s">
        <v>3879</v>
      </c>
    </row>
    <row r="701" spans="1:4" ht="36" customHeight="1">
      <c r="A701" s="26">
        <v>696</v>
      </c>
      <c r="B701" s="25" t="s">
        <v>2352</v>
      </c>
      <c r="C701" s="8" t="s">
        <v>2353</v>
      </c>
      <c r="D701" s="8" t="s">
        <v>3879</v>
      </c>
    </row>
    <row r="702" spans="1:4" ht="36" customHeight="1">
      <c r="A702" s="26">
        <v>697</v>
      </c>
      <c r="B702" s="25" t="s">
        <v>2682</v>
      </c>
      <c r="C702" s="8" t="s">
        <v>2683</v>
      </c>
      <c r="D702" s="8" t="s">
        <v>3879</v>
      </c>
    </row>
    <row r="703" spans="1:4" ht="36" customHeight="1">
      <c r="A703" s="26">
        <v>698</v>
      </c>
      <c r="B703" s="25" t="s">
        <v>2682</v>
      </c>
      <c r="C703" s="8" t="s">
        <v>2683</v>
      </c>
      <c r="D703" s="8" t="s">
        <v>3879</v>
      </c>
    </row>
    <row r="704" spans="1:4" ht="36" customHeight="1">
      <c r="A704" s="26">
        <v>699</v>
      </c>
      <c r="B704" s="25" t="s">
        <v>2682</v>
      </c>
      <c r="C704" s="8" t="s">
        <v>2683</v>
      </c>
      <c r="D704" s="8" t="s">
        <v>3879</v>
      </c>
    </row>
    <row r="705" spans="1:4" ht="36" customHeight="1">
      <c r="A705" s="26">
        <v>700</v>
      </c>
      <c r="B705" s="25" t="s">
        <v>2682</v>
      </c>
      <c r="C705" s="8" t="s">
        <v>2683</v>
      </c>
      <c r="D705" s="8" t="s">
        <v>3879</v>
      </c>
    </row>
    <row r="706" spans="1:4" ht="36" customHeight="1">
      <c r="A706" s="26">
        <v>701</v>
      </c>
      <c r="B706" s="25" t="s">
        <v>2793</v>
      </c>
      <c r="C706" s="8" t="s">
        <v>2794</v>
      </c>
      <c r="D706" s="8" t="s">
        <v>3879</v>
      </c>
    </row>
    <row r="707" spans="1:4" ht="36" customHeight="1">
      <c r="A707" s="26">
        <v>702</v>
      </c>
      <c r="B707" s="25" t="s">
        <v>2793</v>
      </c>
      <c r="C707" s="8" t="s">
        <v>2794</v>
      </c>
      <c r="D707" s="8" t="s">
        <v>3879</v>
      </c>
    </row>
    <row r="708" spans="1:4" ht="36" customHeight="1">
      <c r="A708" s="26">
        <v>703</v>
      </c>
      <c r="B708" s="25" t="s">
        <v>4396</v>
      </c>
      <c r="C708" s="8" t="s">
        <v>4397</v>
      </c>
      <c r="D708" s="8" t="s">
        <v>3879</v>
      </c>
    </row>
    <row r="709" spans="1:4" ht="36" customHeight="1">
      <c r="A709" s="26">
        <v>704</v>
      </c>
      <c r="B709" s="25" t="s">
        <v>2358</v>
      </c>
      <c r="C709" s="8" t="s">
        <v>2359</v>
      </c>
      <c r="D709" s="8" t="s">
        <v>3879</v>
      </c>
    </row>
    <row r="710" spans="1:4" ht="36" customHeight="1">
      <c r="A710" s="26">
        <v>705</v>
      </c>
      <c r="B710" s="25" t="s">
        <v>4398</v>
      </c>
      <c r="C710" s="8" t="s">
        <v>4399</v>
      </c>
      <c r="D710" s="8" t="s">
        <v>3879</v>
      </c>
    </row>
    <row r="711" spans="1:4" ht="36" customHeight="1">
      <c r="A711" s="26">
        <v>706</v>
      </c>
      <c r="B711" s="25" t="s">
        <v>4083</v>
      </c>
      <c r="C711" s="8" t="s">
        <v>4084</v>
      </c>
      <c r="D711" s="8" t="s">
        <v>3879</v>
      </c>
    </row>
    <row r="712" spans="1:4" ht="36" customHeight="1">
      <c r="A712" s="26">
        <v>707</v>
      </c>
      <c r="B712" s="25" t="s">
        <v>4083</v>
      </c>
      <c r="C712" s="8" t="s">
        <v>4084</v>
      </c>
      <c r="D712" s="8" t="s">
        <v>3879</v>
      </c>
    </row>
    <row r="713" spans="1:4" ht="36" customHeight="1">
      <c r="A713" s="26">
        <v>708</v>
      </c>
      <c r="B713" s="25" t="s">
        <v>4083</v>
      </c>
      <c r="C713" s="8" t="s">
        <v>4084</v>
      </c>
      <c r="D713" s="8" t="s">
        <v>3879</v>
      </c>
    </row>
    <row r="714" spans="1:4" ht="36" customHeight="1">
      <c r="A714" s="26">
        <v>709</v>
      </c>
      <c r="B714" s="25" t="s">
        <v>4083</v>
      </c>
      <c r="C714" s="8" t="s">
        <v>4084</v>
      </c>
      <c r="D714" s="8" t="s">
        <v>3879</v>
      </c>
    </row>
    <row r="715" spans="1:4" ht="36" customHeight="1">
      <c r="A715" s="26">
        <v>710</v>
      </c>
      <c r="B715" s="25" t="s">
        <v>4083</v>
      </c>
      <c r="C715" s="8" t="s">
        <v>4084</v>
      </c>
      <c r="D715" s="8" t="s">
        <v>3879</v>
      </c>
    </row>
    <row r="716" spans="1:4" ht="36" customHeight="1">
      <c r="A716" s="26">
        <v>711</v>
      </c>
      <c r="B716" s="25" t="s">
        <v>4083</v>
      </c>
      <c r="C716" s="8" t="s">
        <v>4084</v>
      </c>
      <c r="D716" s="8" t="s">
        <v>3879</v>
      </c>
    </row>
    <row r="717" spans="1:4" ht="36" customHeight="1">
      <c r="A717" s="26">
        <v>712</v>
      </c>
      <c r="B717" s="25" t="s">
        <v>4083</v>
      </c>
      <c r="C717" s="8" t="s">
        <v>4084</v>
      </c>
      <c r="D717" s="8" t="s">
        <v>3879</v>
      </c>
    </row>
    <row r="718" spans="1:4" ht="36" customHeight="1">
      <c r="A718" s="26">
        <v>713</v>
      </c>
      <c r="B718" s="25" t="s">
        <v>4083</v>
      </c>
      <c r="C718" s="8" t="s">
        <v>4084</v>
      </c>
      <c r="D718" s="8" t="s">
        <v>3879</v>
      </c>
    </row>
    <row r="719" spans="1:4" ht="36" customHeight="1">
      <c r="A719" s="26">
        <v>714</v>
      </c>
      <c r="B719" s="25" t="s">
        <v>4400</v>
      </c>
      <c r="C719" s="8" t="s">
        <v>4401</v>
      </c>
      <c r="D719" s="8" t="s">
        <v>3879</v>
      </c>
    </row>
    <row r="720" spans="1:4" ht="36" customHeight="1">
      <c r="A720" s="26">
        <v>715</v>
      </c>
      <c r="B720" s="25" t="s">
        <v>4038</v>
      </c>
      <c r="C720" s="8" t="s">
        <v>4039</v>
      </c>
      <c r="D720" s="8" t="s">
        <v>3879</v>
      </c>
    </row>
    <row r="721" spans="1:4" ht="36" customHeight="1">
      <c r="A721" s="26">
        <v>716</v>
      </c>
      <c r="B721" s="25" t="s">
        <v>4038</v>
      </c>
      <c r="C721" s="8" t="s">
        <v>4039</v>
      </c>
      <c r="D721" s="8" t="s">
        <v>3879</v>
      </c>
    </row>
    <row r="722" spans="1:4" ht="36" customHeight="1">
      <c r="A722" s="26">
        <v>717</v>
      </c>
      <c r="B722" s="25" t="s">
        <v>4038</v>
      </c>
      <c r="C722" s="8" t="s">
        <v>4039</v>
      </c>
      <c r="D722" s="8" t="s">
        <v>3879</v>
      </c>
    </row>
    <row r="723" spans="1:4" ht="36" customHeight="1">
      <c r="A723" s="26">
        <v>718</v>
      </c>
      <c r="B723" s="25" t="s">
        <v>4038</v>
      </c>
      <c r="C723" s="8" t="s">
        <v>4039</v>
      </c>
      <c r="D723" s="8" t="s">
        <v>3879</v>
      </c>
    </row>
    <row r="724" spans="1:4" ht="36" customHeight="1">
      <c r="A724" s="26">
        <v>719</v>
      </c>
      <c r="B724" s="25" t="s">
        <v>4038</v>
      </c>
      <c r="C724" s="8" t="s">
        <v>4039</v>
      </c>
      <c r="D724" s="8" t="s">
        <v>3879</v>
      </c>
    </row>
    <row r="725" spans="1:4" ht="36" customHeight="1">
      <c r="A725" s="26">
        <v>720</v>
      </c>
      <c r="B725" s="25" t="s">
        <v>4038</v>
      </c>
      <c r="C725" s="8" t="s">
        <v>4039</v>
      </c>
      <c r="D725" s="8" t="s">
        <v>3879</v>
      </c>
    </row>
    <row r="726" spans="1:4" ht="36" customHeight="1">
      <c r="A726" s="26">
        <v>721</v>
      </c>
      <c r="B726" s="25" t="s">
        <v>4038</v>
      </c>
      <c r="C726" s="8" t="s">
        <v>4039</v>
      </c>
      <c r="D726" s="8" t="s">
        <v>3879</v>
      </c>
    </row>
    <row r="727" spans="1:4" ht="36" customHeight="1">
      <c r="A727" s="26">
        <v>722</v>
      </c>
      <c r="B727" s="25" t="s">
        <v>4038</v>
      </c>
      <c r="C727" s="8" t="s">
        <v>4039</v>
      </c>
      <c r="D727" s="8" t="s">
        <v>3879</v>
      </c>
    </row>
    <row r="728" spans="1:4" ht="36" customHeight="1">
      <c r="A728" s="26">
        <v>723</v>
      </c>
      <c r="B728" s="25" t="s">
        <v>4038</v>
      </c>
      <c r="C728" s="8" t="s">
        <v>4039</v>
      </c>
      <c r="D728" s="8" t="s">
        <v>3879</v>
      </c>
    </row>
    <row r="729" spans="1:4" ht="36" customHeight="1">
      <c r="A729" s="26">
        <v>724</v>
      </c>
      <c r="B729" s="25" t="s">
        <v>4025</v>
      </c>
      <c r="C729" s="8" t="s">
        <v>4026</v>
      </c>
      <c r="D729" s="8" t="s">
        <v>3879</v>
      </c>
    </row>
    <row r="730" spans="1:4" ht="36" customHeight="1">
      <c r="A730" s="26">
        <v>725</v>
      </c>
      <c r="B730" s="25" t="s">
        <v>4025</v>
      </c>
      <c r="C730" s="8" t="s">
        <v>4026</v>
      </c>
      <c r="D730" s="8" t="s">
        <v>3879</v>
      </c>
    </row>
    <row r="731" spans="1:4" ht="36" customHeight="1">
      <c r="A731" s="26">
        <v>726</v>
      </c>
      <c r="B731" s="25" t="s">
        <v>4025</v>
      </c>
      <c r="C731" s="8" t="s">
        <v>4026</v>
      </c>
      <c r="D731" s="8" t="s">
        <v>3879</v>
      </c>
    </row>
    <row r="732" spans="1:4" ht="36" customHeight="1">
      <c r="A732" s="26">
        <v>727</v>
      </c>
      <c r="B732" s="25" t="s">
        <v>4025</v>
      </c>
      <c r="C732" s="8" t="s">
        <v>4026</v>
      </c>
      <c r="D732" s="8" t="s">
        <v>3879</v>
      </c>
    </row>
    <row r="733" spans="1:4" ht="36" customHeight="1">
      <c r="A733" s="26">
        <v>728</v>
      </c>
      <c r="B733" s="25" t="s">
        <v>4025</v>
      </c>
      <c r="C733" s="8" t="s">
        <v>4026</v>
      </c>
      <c r="D733" s="8" t="s">
        <v>3879</v>
      </c>
    </row>
    <row r="734" spans="1:4" ht="36" customHeight="1">
      <c r="A734" s="26">
        <v>729</v>
      </c>
      <c r="B734" s="25" t="s">
        <v>4025</v>
      </c>
      <c r="C734" s="8" t="s">
        <v>4026</v>
      </c>
      <c r="D734" s="8" t="s">
        <v>3879</v>
      </c>
    </row>
    <row r="735" spans="1:4" ht="36" customHeight="1">
      <c r="A735" s="26">
        <v>730</v>
      </c>
      <c r="B735" s="25" t="s">
        <v>4025</v>
      </c>
      <c r="C735" s="8" t="s">
        <v>4026</v>
      </c>
      <c r="D735" s="8" t="s">
        <v>3879</v>
      </c>
    </row>
    <row r="736" spans="1:4" ht="36" customHeight="1">
      <c r="A736" s="26">
        <v>731</v>
      </c>
      <c r="B736" s="25" t="s">
        <v>4217</v>
      </c>
      <c r="C736" s="8" t="s">
        <v>4218</v>
      </c>
      <c r="D736" s="8" t="s">
        <v>3879</v>
      </c>
    </row>
    <row r="737" spans="1:4" ht="36" customHeight="1">
      <c r="A737" s="26">
        <v>732</v>
      </c>
      <c r="B737" s="25" t="s">
        <v>3982</v>
      </c>
      <c r="C737" s="8" t="s">
        <v>3983</v>
      </c>
      <c r="D737" s="8" t="s">
        <v>3879</v>
      </c>
    </row>
    <row r="738" spans="1:4" ht="36" customHeight="1">
      <c r="A738" s="26">
        <v>733</v>
      </c>
      <c r="B738" s="25" t="s">
        <v>3982</v>
      </c>
      <c r="C738" s="8" t="s">
        <v>3983</v>
      </c>
      <c r="D738" s="8" t="s">
        <v>3879</v>
      </c>
    </row>
    <row r="739" spans="1:4" ht="36" customHeight="1">
      <c r="A739" s="26">
        <v>734</v>
      </c>
      <c r="B739" s="25" t="s">
        <v>2703</v>
      </c>
      <c r="C739" s="8" t="s">
        <v>2704</v>
      </c>
      <c r="D739" s="8" t="s">
        <v>3879</v>
      </c>
    </row>
    <row r="740" spans="1:4" ht="36" customHeight="1">
      <c r="A740" s="26">
        <v>735</v>
      </c>
      <c r="B740" s="25" t="s">
        <v>2703</v>
      </c>
      <c r="C740" s="8" t="s">
        <v>2704</v>
      </c>
      <c r="D740" s="8" t="s">
        <v>3879</v>
      </c>
    </row>
    <row r="741" spans="1:4" ht="36" customHeight="1">
      <c r="A741" s="26">
        <v>736</v>
      </c>
      <c r="B741" s="25" t="s">
        <v>4402</v>
      </c>
      <c r="C741" s="8" t="s">
        <v>4403</v>
      </c>
      <c r="D741" s="8" t="s">
        <v>3879</v>
      </c>
    </row>
    <row r="742" spans="1:4" ht="36" customHeight="1">
      <c r="A742" s="26">
        <v>737</v>
      </c>
      <c r="B742" s="25" t="s">
        <v>4404</v>
      </c>
      <c r="C742" s="8" t="s">
        <v>4405</v>
      </c>
      <c r="D742" s="8" t="s">
        <v>3879</v>
      </c>
    </row>
    <row r="743" spans="1:4" ht="36" customHeight="1">
      <c r="A743" s="26">
        <v>738</v>
      </c>
      <c r="B743" s="25" t="s">
        <v>2670</v>
      </c>
      <c r="C743" s="8" t="s">
        <v>2671</v>
      </c>
      <c r="D743" s="8" t="s">
        <v>3879</v>
      </c>
    </row>
    <row r="744" spans="1:4" ht="36" customHeight="1">
      <c r="A744" s="26">
        <v>739</v>
      </c>
      <c r="B744" s="25" t="s">
        <v>2670</v>
      </c>
      <c r="C744" s="8" t="s">
        <v>2671</v>
      </c>
      <c r="D744" s="8" t="s">
        <v>3879</v>
      </c>
    </row>
    <row r="745" spans="1:4" ht="36" customHeight="1">
      <c r="A745" s="26">
        <v>740</v>
      </c>
      <c r="B745" s="25" t="s">
        <v>4406</v>
      </c>
      <c r="C745" s="8" t="s">
        <v>4407</v>
      </c>
      <c r="D745" s="8" t="s">
        <v>3879</v>
      </c>
    </row>
    <row r="746" spans="1:4" ht="36" customHeight="1">
      <c r="A746" s="26">
        <v>741</v>
      </c>
      <c r="B746" s="25" t="s">
        <v>4406</v>
      </c>
      <c r="C746" s="8" t="s">
        <v>4407</v>
      </c>
      <c r="D746" s="8" t="s">
        <v>3879</v>
      </c>
    </row>
    <row r="747" spans="1:4" ht="36" customHeight="1">
      <c r="A747" s="26">
        <v>742</v>
      </c>
      <c r="B747" s="25" t="s">
        <v>4408</v>
      </c>
      <c r="C747" s="8" t="s">
        <v>4409</v>
      </c>
      <c r="D747" s="8" t="s">
        <v>3879</v>
      </c>
    </row>
    <row r="748" spans="1:4" ht="36" customHeight="1">
      <c r="A748" s="26">
        <v>743</v>
      </c>
      <c r="B748" s="25" t="s">
        <v>4195</v>
      </c>
      <c r="C748" s="8" t="s">
        <v>4196</v>
      </c>
      <c r="D748" s="8" t="s">
        <v>3879</v>
      </c>
    </row>
    <row r="749" spans="1:4" ht="36" customHeight="1">
      <c r="A749" s="26">
        <v>744</v>
      </c>
      <c r="B749" s="25" t="s">
        <v>4195</v>
      </c>
      <c r="C749" s="8" t="s">
        <v>4196</v>
      </c>
      <c r="D749" s="8" t="s">
        <v>3879</v>
      </c>
    </row>
    <row r="750" spans="1:4" ht="36" customHeight="1">
      <c r="A750" s="26">
        <v>745</v>
      </c>
      <c r="B750" s="25" t="s">
        <v>4195</v>
      </c>
      <c r="C750" s="8" t="s">
        <v>4196</v>
      </c>
      <c r="D750" s="8" t="s">
        <v>3879</v>
      </c>
    </row>
    <row r="751" spans="1:4" ht="36" customHeight="1">
      <c r="A751" s="26">
        <v>746</v>
      </c>
      <c r="B751" s="25" t="s">
        <v>4195</v>
      </c>
      <c r="C751" s="8" t="s">
        <v>4196</v>
      </c>
      <c r="D751" s="8" t="s">
        <v>3879</v>
      </c>
    </row>
    <row r="752" spans="1:4" ht="36" customHeight="1">
      <c r="A752" s="26">
        <v>747</v>
      </c>
      <c r="B752" s="25" t="s">
        <v>4195</v>
      </c>
      <c r="C752" s="8" t="s">
        <v>4196</v>
      </c>
      <c r="D752" s="8" t="s">
        <v>3879</v>
      </c>
    </row>
    <row r="753" spans="1:4" ht="36" customHeight="1">
      <c r="A753" s="26">
        <v>748</v>
      </c>
      <c r="B753" s="25" t="s">
        <v>4195</v>
      </c>
      <c r="C753" s="8" t="s">
        <v>4196</v>
      </c>
      <c r="D753" s="8" t="s">
        <v>3879</v>
      </c>
    </row>
    <row r="754" spans="1:4" ht="36" customHeight="1">
      <c r="A754" s="26">
        <v>749</v>
      </c>
      <c r="B754" s="25" t="s">
        <v>4195</v>
      </c>
      <c r="C754" s="8" t="s">
        <v>4196</v>
      </c>
      <c r="D754" s="8" t="s">
        <v>3879</v>
      </c>
    </row>
    <row r="755" spans="1:4" ht="36" customHeight="1">
      <c r="A755" s="26">
        <v>750</v>
      </c>
      <c r="B755" s="25" t="s">
        <v>4410</v>
      </c>
      <c r="C755" s="8" t="s">
        <v>4411</v>
      </c>
      <c r="D755" s="8" t="s">
        <v>3879</v>
      </c>
    </row>
    <row r="756" spans="1:4" ht="36" customHeight="1">
      <c r="A756" s="26">
        <v>751</v>
      </c>
      <c r="B756" s="25" t="s">
        <v>4412</v>
      </c>
      <c r="C756" s="8" t="s">
        <v>4413</v>
      </c>
      <c r="D756" s="8" t="s">
        <v>3879</v>
      </c>
    </row>
    <row r="757" spans="1:4" ht="36" customHeight="1">
      <c r="A757" s="26">
        <v>752</v>
      </c>
      <c r="B757" s="25" t="s">
        <v>4414</v>
      </c>
      <c r="C757" s="8" t="s">
        <v>4415</v>
      </c>
      <c r="D757" s="8" t="s">
        <v>3879</v>
      </c>
    </row>
    <row r="758" spans="1:4" ht="36" customHeight="1">
      <c r="A758" s="26">
        <v>753</v>
      </c>
      <c r="B758" s="25" t="s">
        <v>4414</v>
      </c>
      <c r="C758" s="8" t="s">
        <v>4415</v>
      </c>
      <c r="D758" s="8" t="s">
        <v>3879</v>
      </c>
    </row>
    <row r="759" spans="1:4" ht="36" customHeight="1">
      <c r="A759" s="26">
        <v>754</v>
      </c>
      <c r="B759" s="25" t="s">
        <v>4414</v>
      </c>
      <c r="C759" s="8" t="s">
        <v>4415</v>
      </c>
      <c r="D759" s="8" t="s">
        <v>3879</v>
      </c>
    </row>
    <row r="760" spans="1:4" ht="36" customHeight="1">
      <c r="A760" s="26">
        <v>755</v>
      </c>
      <c r="B760" s="25" t="s">
        <v>4416</v>
      </c>
      <c r="C760" s="8" t="s">
        <v>4417</v>
      </c>
      <c r="D760" s="8" t="s">
        <v>3879</v>
      </c>
    </row>
    <row r="761" spans="1:4" ht="36" customHeight="1">
      <c r="A761" s="26">
        <v>756</v>
      </c>
      <c r="B761" s="25" t="s">
        <v>4418</v>
      </c>
      <c r="C761" s="8" t="s">
        <v>4419</v>
      </c>
      <c r="D761" s="8" t="s">
        <v>3879</v>
      </c>
    </row>
    <row r="762" spans="1:4" ht="36" customHeight="1">
      <c r="A762" s="26">
        <v>757</v>
      </c>
      <c r="B762" s="25" t="s">
        <v>2346</v>
      </c>
      <c r="C762" s="8" t="s">
        <v>2347</v>
      </c>
      <c r="D762" s="8" t="s">
        <v>3879</v>
      </c>
    </row>
    <row r="763" spans="1:4" ht="36" customHeight="1">
      <c r="A763" s="26">
        <v>758</v>
      </c>
      <c r="B763" s="25" t="s">
        <v>2346</v>
      </c>
      <c r="C763" s="8" t="s">
        <v>2347</v>
      </c>
      <c r="D763" s="8" t="s">
        <v>3879</v>
      </c>
    </row>
    <row r="764" spans="1:4" ht="36" customHeight="1">
      <c r="A764" s="26">
        <v>759</v>
      </c>
      <c r="B764" s="25" t="s">
        <v>2346</v>
      </c>
      <c r="C764" s="8" t="s">
        <v>2347</v>
      </c>
      <c r="D764" s="8" t="s">
        <v>3879</v>
      </c>
    </row>
    <row r="765" spans="1:4" ht="36" customHeight="1">
      <c r="A765" s="26">
        <v>760</v>
      </c>
      <c r="B765" s="25" t="s">
        <v>2346</v>
      </c>
      <c r="C765" s="8" t="s">
        <v>2347</v>
      </c>
      <c r="D765" s="8" t="s">
        <v>3879</v>
      </c>
    </row>
    <row r="766" spans="1:4" ht="36" customHeight="1">
      <c r="A766" s="26">
        <v>761</v>
      </c>
      <c r="B766" s="25" t="s">
        <v>2346</v>
      </c>
      <c r="C766" s="8" t="s">
        <v>2347</v>
      </c>
      <c r="D766" s="8" t="s">
        <v>3879</v>
      </c>
    </row>
    <row r="767" spans="1:4" ht="36" customHeight="1">
      <c r="A767" s="26">
        <v>762</v>
      </c>
      <c r="B767" s="25" t="s">
        <v>2826</v>
      </c>
      <c r="C767" s="8" t="s">
        <v>2827</v>
      </c>
      <c r="D767" s="8" t="s">
        <v>3879</v>
      </c>
    </row>
    <row r="768" spans="1:4" ht="36" customHeight="1">
      <c r="A768" s="26">
        <v>763</v>
      </c>
      <c r="B768" s="25" t="s">
        <v>2826</v>
      </c>
      <c r="C768" s="8" t="s">
        <v>2827</v>
      </c>
      <c r="D768" s="8" t="s">
        <v>3879</v>
      </c>
    </row>
    <row r="769" spans="1:4" ht="36" customHeight="1">
      <c r="A769" s="26">
        <v>764</v>
      </c>
      <c r="B769" s="25" t="s">
        <v>2727</v>
      </c>
      <c r="C769" s="8" t="s">
        <v>2728</v>
      </c>
      <c r="D769" s="8" t="s">
        <v>3879</v>
      </c>
    </row>
    <row r="770" spans="1:4" ht="36" customHeight="1">
      <c r="A770" s="26">
        <v>765</v>
      </c>
      <c r="B770" s="25" t="s">
        <v>2727</v>
      </c>
      <c r="C770" s="8" t="s">
        <v>2728</v>
      </c>
      <c r="D770" s="8" t="s">
        <v>3879</v>
      </c>
    </row>
    <row r="771" spans="1:4" ht="36" customHeight="1">
      <c r="A771" s="26">
        <v>766</v>
      </c>
      <c r="B771" s="25" t="s">
        <v>2727</v>
      </c>
      <c r="C771" s="8" t="s">
        <v>2728</v>
      </c>
      <c r="D771" s="8" t="s">
        <v>3879</v>
      </c>
    </row>
    <row r="772" spans="1:4" ht="36" customHeight="1">
      <c r="A772" s="26">
        <v>767</v>
      </c>
      <c r="B772" s="25" t="s">
        <v>4420</v>
      </c>
      <c r="C772" s="8" t="s">
        <v>4421</v>
      </c>
      <c r="D772" s="8" t="s">
        <v>3879</v>
      </c>
    </row>
    <row r="773" spans="1:4" ht="36" customHeight="1">
      <c r="A773" s="26">
        <v>768</v>
      </c>
      <c r="B773" s="25" t="s">
        <v>4420</v>
      </c>
      <c r="C773" s="8" t="s">
        <v>4421</v>
      </c>
      <c r="D773" s="8" t="s">
        <v>3879</v>
      </c>
    </row>
    <row r="774" spans="1:4" ht="36" customHeight="1">
      <c r="A774" s="26">
        <v>769</v>
      </c>
      <c r="B774" s="25" t="s">
        <v>4420</v>
      </c>
      <c r="C774" s="8" t="s">
        <v>4421</v>
      </c>
      <c r="D774" s="8" t="s">
        <v>3879</v>
      </c>
    </row>
    <row r="775" spans="1:4" ht="36" customHeight="1">
      <c r="A775" s="26">
        <v>770</v>
      </c>
      <c r="B775" s="25" t="s">
        <v>2817</v>
      </c>
      <c r="C775" s="8" t="s">
        <v>2818</v>
      </c>
      <c r="D775" s="8" t="s">
        <v>3879</v>
      </c>
    </row>
    <row r="776" spans="1:4" ht="36" customHeight="1">
      <c r="A776" s="26">
        <v>771</v>
      </c>
      <c r="B776" s="25" t="s">
        <v>2817</v>
      </c>
      <c r="C776" s="8" t="s">
        <v>2818</v>
      </c>
      <c r="D776" s="8" t="s">
        <v>3879</v>
      </c>
    </row>
    <row r="777" spans="1:4" ht="36" customHeight="1">
      <c r="A777" s="26">
        <v>772</v>
      </c>
      <c r="B777" s="25" t="s">
        <v>2817</v>
      </c>
      <c r="C777" s="8" t="s">
        <v>2818</v>
      </c>
      <c r="D777" s="8" t="s">
        <v>3879</v>
      </c>
    </row>
    <row r="778" spans="1:4" ht="36" customHeight="1">
      <c r="A778" s="26">
        <v>773</v>
      </c>
      <c r="B778" s="25" t="s">
        <v>2817</v>
      </c>
      <c r="C778" s="8" t="s">
        <v>2818</v>
      </c>
      <c r="D778" s="8" t="s">
        <v>3879</v>
      </c>
    </row>
    <row r="779" spans="1:4" ht="36" customHeight="1">
      <c r="A779" s="26">
        <v>774</v>
      </c>
      <c r="B779" s="25" t="s">
        <v>2817</v>
      </c>
      <c r="C779" s="8" t="s">
        <v>2818</v>
      </c>
      <c r="D779" s="8" t="s">
        <v>3879</v>
      </c>
    </row>
    <row r="780" spans="1:4" ht="36" customHeight="1">
      <c r="A780" s="26">
        <v>775</v>
      </c>
      <c r="B780" s="25" t="s">
        <v>3951</v>
      </c>
      <c r="C780" s="8" t="s">
        <v>3952</v>
      </c>
      <c r="D780" s="8" t="s">
        <v>3879</v>
      </c>
    </row>
    <row r="781" spans="1:4" ht="36" customHeight="1">
      <c r="A781" s="26">
        <v>776</v>
      </c>
      <c r="B781" s="25" t="s">
        <v>3951</v>
      </c>
      <c r="C781" s="8" t="s">
        <v>3952</v>
      </c>
      <c r="D781" s="8" t="s">
        <v>3879</v>
      </c>
    </row>
    <row r="782" spans="1:4" ht="36" customHeight="1">
      <c r="A782" s="26">
        <v>777</v>
      </c>
      <c r="B782" s="25" t="s">
        <v>2694</v>
      </c>
      <c r="C782" s="8" t="s">
        <v>2695</v>
      </c>
      <c r="D782" s="8" t="s">
        <v>3879</v>
      </c>
    </row>
    <row r="783" spans="1:4" ht="36" customHeight="1">
      <c r="A783" s="26">
        <v>778</v>
      </c>
      <c r="B783" s="25" t="s">
        <v>4077</v>
      </c>
      <c r="C783" s="8" t="s">
        <v>4078</v>
      </c>
      <c r="D783" s="8" t="s">
        <v>3879</v>
      </c>
    </row>
    <row r="784" spans="1:4" ht="36" customHeight="1">
      <c r="A784" s="26">
        <v>779</v>
      </c>
      <c r="B784" s="25" t="s">
        <v>4422</v>
      </c>
      <c r="C784" s="8" t="s">
        <v>4423</v>
      </c>
      <c r="D784" s="8" t="s">
        <v>3879</v>
      </c>
    </row>
    <row r="785" spans="1:4" ht="36" customHeight="1">
      <c r="A785" s="26">
        <v>780</v>
      </c>
      <c r="B785" s="25" t="s">
        <v>4424</v>
      </c>
      <c r="C785" s="8" t="s">
        <v>4425</v>
      </c>
      <c r="D785" s="8" t="s">
        <v>3879</v>
      </c>
    </row>
    <row r="786" spans="1:4" ht="36" customHeight="1">
      <c r="A786" s="26">
        <v>781</v>
      </c>
      <c r="B786" s="25" t="s">
        <v>4426</v>
      </c>
      <c r="C786" s="8" t="s">
        <v>4427</v>
      </c>
      <c r="D786" s="8" t="s">
        <v>3879</v>
      </c>
    </row>
    <row r="787" spans="1:4" ht="36" customHeight="1">
      <c r="A787" s="26">
        <v>782</v>
      </c>
      <c r="B787" s="25" t="s">
        <v>2412</v>
      </c>
      <c r="C787" s="8" t="s">
        <v>2413</v>
      </c>
      <c r="D787" s="8" t="s">
        <v>3879</v>
      </c>
    </row>
    <row r="788" spans="1:4" ht="36" customHeight="1">
      <c r="A788" s="26">
        <v>783</v>
      </c>
      <c r="B788" s="25" t="s">
        <v>2412</v>
      </c>
      <c r="C788" s="8" t="s">
        <v>2413</v>
      </c>
      <c r="D788" s="8" t="s">
        <v>3879</v>
      </c>
    </row>
    <row r="789" spans="1:4" ht="36" customHeight="1">
      <c r="A789" s="26">
        <v>784</v>
      </c>
      <c r="B789" s="25" t="s">
        <v>2427</v>
      </c>
      <c r="C789" s="8" t="s">
        <v>2428</v>
      </c>
      <c r="D789" s="8" t="s">
        <v>3879</v>
      </c>
    </row>
    <row r="790" spans="1:4" ht="36" customHeight="1">
      <c r="A790" s="26">
        <v>785</v>
      </c>
      <c r="B790" s="25" t="s">
        <v>2427</v>
      </c>
      <c r="C790" s="8" t="s">
        <v>2428</v>
      </c>
      <c r="D790" s="8" t="s">
        <v>3879</v>
      </c>
    </row>
    <row r="791" spans="1:4" ht="36" customHeight="1">
      <c r="A791" s="26">
        <v>786</v>
      </c>
      <c r="B791" s="25" t="s">
        <v>4292</v>
      </c>
      <c r="C791" s="8" t="s">
        <v>4293</v>
      </c>
      <c r="D791" s="8" t="s">
        <v>3879</v>
      </c>
    </row>
    <row r="792" spans="1:4" ht="36" customHeight="1">
      <c r="A792" s="26">
        <v>787</v>
      </c>
      <c r="B792" s="25" t="s">
        <v>4292</v>
      </c>
      <c r="C792" s="8" t="s">
        <v>4293</v>
      </c>
      <c r="D792" s="8" t="s">
        <v>3879</v>
      </c>
    </row>
    <row r="793" spans="1:4" ht="36" customHeight="1">
      <c r="A793" s="26">
        <v>788</v>
      </c>
      <c r="B793" s="25" t="s">
        <v>4292</v>
      </c>
      <c r="C793" s="8" t="s">
        <v>4293</v>
      </c>
      <c r="D793" s="8" t="s">
        <v>3879</v>
      </c>
    </row>
    <row r="794" spans="1:4" ht="36" customHeight="1">
      <c r="A794" s="26">
        <v>789</v>
      </c>
      <c r="B794" s="25" t="s">
        <v>2661</v>
      </c>
      <c r="C794" s="8" t="s">
        <v>2662</v>
      </c>
      <c r="D794" s="8" t="s">
        <v>3879</v>
      </c>
    </row>
    <row r="795" spans="1:4" ht="36" customHeight="1">
      <c r="A795" s="26">
        <v>790</v>
      </c>
      <c r="B795" s="25" t="s">
        <v>2661</v>
      </c>
      <c r="C795" s="8" t="s">
        <v>2662</v>
      </c>
      <c r="D795" s="8" t="s">
        <v>3879</v>
      </c>
    </row>
    <row r="796" spans="1:4" ht="36" customHeight="1">
      <c r="A796" s="26">
        <v>791</v>
      </c>
      <c r="B796" s="25" t="s">
        <v>2661</v>
      </c>
      <c r="C796" s="8" t="s">
        <v>2662</v>
      </c>
      <c r="D796" s="8" t="s">
        <v>3879</v>
      </c>
    </row>
    <row r="797" spans="1:4" ht="36" customHeight="1">
      <c r="A797" s="26">
        <v>792</v>
      </c>
      <c r="B797" s="25" t="s">
        <v>3945</v>
      </c>
      <c r="C797" s="8" t="s">
        <v>3946</v>
      </c>
      <c r="D797" s="8" t="s">
        <v>3879</v>
      </c>
    </row>
    <row r="798" spans="1:4" ht="36" customHeight="1">
      <c r="A798" s="26">
        <v>793</v>
      </c>
      <c r="B798" s="25" t="s">
        <v>4428</v>
      </c>
      <c r="C798" s="8" t="s">
        <v>4429</v>
      </c>
      <c r="D798" s="8" t="s">
        <v>3879</v>
      </c>
    </row>
    <row r="799" spans="1:4" ht="36" customHeight="1">
      <c r="A799" s="26">
        <v>794</v>
      </c>
      <c r="B799" s="25" t="s">
        <v>4430</v>
      </c>
      <c r="C799" s="8" t="s">
        <v>4431</v>
      </c>
      <c r="D799" s="8" t="s">
        <v>3879</v>
      </c>
    </row>
    <row r="800" spans="1:4" ht="36" customHeight="1">
      <c r="A800" s="26">
        <v>795</v>
      </c>
      <c r="B800" s="25" t="s">
        <v>4432</v>
      </c>
      <c r="C800" s="8" t="s">
        <v>4433</v>
      </c>
      <c r="D800" s="8" t="s">
        <v>3879</v>
      </c>
    </row>
    <row r="801" spans="1:4" ht="36" customHeight="1">
      <c r="A801" s="26">
        <v>796</v>
      </c>
      <c r="B801" s="25" t="s">
        <v>2968</v>
      </c>
      <c r="C801" s="8" t="s">
        <v>2969</v>
      </c>
      <c r="D801" s="8" t="s">
        <v>3879</v>
      </c>
    </row>
    <row r="802" spans="1:4" ht="36" customHeight="1">
      <c r="A802" s="26">
        <v>797</v>
      </c>
      <c r="B802" s="25" t="s">
        <v>2968</v>
      </c>
      <c r="C802" s="8" t="s">
        <v>2969</v>
      </c>
      <c r="D802" s="8" t="s">
        <v>3879</v>
      </c>
    </row>
    <row r="803" spans="1:4" ht="36" customHeight="1">
      <c r="A803" s="26">
        <v>798</v>
      </c>
      <c r="B803" s="25" t="s">
        <v>4434</v>
      </c>
      <c r="C803" s="8" t="s">
        <v>4435</v>
      </c>
      <c r="D803" s="8" t="s">
        <v>3879</v>
      </c>
    </row>
    <row r="804" spans="1:4" ht="36" customHeight="1">
      <c r="A804" s="26">
        <v>799</v>
      </c>
      <c r="B804" s="25" t="s">
        <v>2718</v>
      </c>
      <c r="C804" s="8" t="s">
        <v>2719</v>
      </c>
      <c r="D804" s="8" t="s">
        <v>3879</v>
      </c>
    </row>
    <row r="805" spans="1:4" ht="36" customHeight="1">
      <c r="A805" s="26">
        <v>800</v>
      </c>
      <c r="B805" s="25" t="s">
        <v>2718</v>
      </c>
      <c r="C805" s="8" t="s">
        <v>2719</v>
      </c>
      <c r="D805" s="8" t="s">
        <v>3879</v>
      </c>
    </row>
    <row r="806" spans="1:4" ht="36" customHeight="1">
      <c r="A806" s="26">
        <v>801</v>
      </c>
      <c r="B806" s="25" t="s">
        <v>4436</v>
      </c>
      <c r="C806" s="8" t="s">
        <v>4437</v>
      </c>
      <c r="D806" s="8" t="s">
        <v>3879</v>
      </c>
    </row>
    <row r="807" spans="1:4" ht="36" customHeight="1">
      <c r="A807" s="26">
        <v>802</v>
      </c>
      <c r="B807" s="25" t="s">
        <v>4436</v>
      </c>
      <c r="C807" s="8" t="s">
        <v>4437</v>
      </c>
      <c r="D807" s="8" t="s">
        <v>3879</v>
      </c>
    </row>
    <row r="808" spans="1:4" ht="36" customHeight="1">
      <c r="A808" s="26">
        <v>803</v>
      </c>
      <c r="B808" s="25" t="s">
        <v>4294</v>
      </c>
      <c r="C808" s="8" t="s">
        <v>4295</v>
      </c>
      <c r="D808" s="8" t="s">
        <v>3879</v>
      </c>
    </row>
    <row r="809" spans="1:4" ht="36" customHeight="1">
      <c r="A809" s="26">
        <v>804</v>
      </c>
      <c r="B809" s="25" t="s">
        <v>4294</v>
      </c>
      <c r="C809" s="8" t="s">
        <v>4295</v>
      </c>
      <c r="D809" s="8" t="s">
        <v>3879</v>
      </c>
    </row>
    <row r="810" spans="1:4" ht="36" customHeight="1">
      <c r="A810" s="26">
        <v>805</v>
      </c>
      <c r="B810" s="25" t="s">
        <v>2805</v>
      </c>
      <c r="C810" s="8" t="s">
        <v>2806</v>
      </c>
      <c r="D810" s="8" t="s">
        <v>3879</v>
      </c>
    </row>
    <row r="811" spans="1:4" ht="36" customHeight="1">
      <c r="A811" s="26">
        <v>806</v>
      </c>
      <c r="B811" s="25" t="s">
        <v>4438</v>
      </c>
      <c r="C811" s="8" t="s">
        <v>4439</v>
      </c>
      <c r="D811" s="8" t="s">
        <v>3879</v>
      </c>
    </row>
    <row r="812" spans="1:4" ht="36" customHeight="1">
      <c r="A812" s="26">
        <v>807</v>
      </c>
      <c r="B812" s="25" t="s">
        <v>4440</v>
      </c>
      <c r="C812" s="8" t="s">
        <v>4441</v>
      </c>
      <c r="D812" s="8" t="s">
        <v>3879</v>
      </c>
    </row>
    <row r="813" spans="1:4" ht="36" customHeight="1">
      <c r="A813" s="26">
        <v>808</v>
      </c>
      <c r="B813" s="25" t="s">
        <v>4064</v>
      </c>
      <c r="C813" s="8" t="s">
        <v>4065</v>
      </c>
      <c r="D813" s="8" t="s">
        <v>3879</v>
      </c>
    </row>
    <row r="814" spans="1:4" ht="36" customHeight="1">
      <c r="A814" s="26">
        <v>809</v>
      </c>
      <c r="B814" s="25" t="s">
        <v>4064</v>
      </c>
      <c r="C814" s="8" t="s">
        <v>4065</v>
      </c>
      <c r="D814" s="8" t="s">
        <v>3879</v>
      </c>
    </row>
    <row r="815" spans="1:4" ht="36" customHeight="1">
      <c r="A815" s="26">
        <v>810</v>
      </c>
      <c r="B815" s="25" t="s">
        <v>4442</v>
      </c>
      <c r="C815" s="8" t="s">
        <v>4443</v>
      </c>
      <c r="D815" s="8" t="s">
        <v>3879</v>
      </c>
    </row>
    <row r="816" spans="1:4" ht="36" customHeight="1">
      <c r="A816" s="26">
        <v>811</v>
      </c>
      <c r="B816" s="25" t="s">
        <v>4444</v>
      </c>
      <c r="C816" s="8" t="s">
        <v>4445</v>
      </c>
      <c r="D816" s="8" t="s">
        <v>3879</v>
      </c>
    </row>
    <row r="817" spans="1:4" ht="36" customHeight="1">
      <c r="A817" s="26">
        <v>812</v>
      </c>
      <c r="B817" s="25" t="s">
        <v>4167</v>
      </c>
      <c r="C817" s="8" t="s">
        <v>4168</v>
      </c>
      <c r="D817" s="8" t="s">
        <v>3879</v>
      </c>
    </row>
    <row r="818" spans="1:4" ht="36" customHeight="1">
      <c r="A818" s="26">
        <v>813</v>
      </c>
      <c r="B818" s="25" t="s">
        <v>4167</v>
      </c>
      <c r="C818" s="8" t="s">
        <v>4168</v>
      </c>
      <c r="D818" s="8" t="s">
        <v>3879</v>
      </c>
    </row>
    <row r="819" spans="1:4" ht="36" customHeight="1">
      <c r="A819" s="26">
        <v>814</v>
      </c>
      <c r="B819" s="25" t="s">
        <v>4167</v>
      </c>
      <c r="C819" s="8" t="s">
        <v>4168</v>
      </c>
      <c r="D819" s="8" t="s">
        <v>3879</v>
      </c>
    </row>
    <row r="820" spans="1:4" ht="36" customHeight="1">
      <c r="A820" s="26">
        <v>815</v>
      </c>
      <c r="B820" s="25" t="s">
        <v>4446</v>
      </c>
      <c r="C820" s="8" t="s">
        <v>4447</v>
      </c>
      <c r="D820" s="8" t="s">
        <v>3879</v>
      </c>
    </row>
    <row r="821" spans="1:4" ht="36" customHeight="1">
      <c r="A821" s="26">
        <v>816</v>
      </c>
      <c r="B821" s="25" t="s">
        <v>2769</v>
      </c>
      <c r="C821" s="8" t="s">
        <v>2770</v>
      </c>
      <c r="D821" s="8" t="s">
        <v>3879</v>
      </c>
    </row>
    <row r="822" spans="1:4" ht="36" customHeight="1">
      <c r="A822" s="26">
        <v>817</v>
      </c>
      <c r="B822" s="25" t="s">
        <v>4169</v>
      </c>
      <c r="C822" s="8" t="s">
        <v>4170</v>
      </c>
      <c r="D822" s="8" t="s">
        <v>3879</v>
      </c>
    </row>
    <row r="823" spans="1:4" ht="36" customHeight="1">
      <c r="A823" s="26">
        <v>818</v>
      </c>
      <c r="B823" s="25" t="s">
        <v>4171</v>
      </c>
      <c r="C823" s="8" t="s">
        <v>4172</v>
      </c>
      <c r="D823" s="8" t="s">
        <v>3879</v>
      </c>
    </row>
    <row r="824" spans="1:4" ht="36" customHeight="1">
      <c r="A824" s="26">
        <v>819</v>
      </c>
      <c r="B824" s="25" t="s">
        <v>2433</v>
      </c>
      <c r="C824" s="8" t="s">
        <v>2434</v>
      </c>
      <c r="D824" s="8" t="s">
        <v>3879</v>
      </c>
    </row>
    <row r="825" spans="1:4" ht="36" customHeight="1">
      <c r="A825" s="26">
        <v>820</v>
      </c>
      <c r="B825" s="25" t="s">
        <v>2433</v>
      </c>
      <c r="C825" s="8" t="s">
        <v>2434</v>
      </c>
      <c r="D825" s="8" t="s">
        <v>3879</v>
      </c>
    </row>
    <row r="826" spans="1:4" ht="36" customHeight="1">
      <c r="A826" s="26">
        <v>821</v>
      </c>
      <c r="B826" s="25" t="s">
        <v>2433</v>
      </c>
      <c r="C826" s="8" t="s">
        <v>2434</v>
      </c>
      <c r="D826" s="8" t="s">
        <v>3879</v>
      </c>
    </row>
    <row r="827" spans="1:4" ht="36" customHeight="1">
      <c r="A827" s="26">
        <v>822</v>
      </c>
      <c r="B827" s="25" t="s">
        <v>2388</v>
      </c>
      <c r="C827" s="8" t="s">
        <v>2389</v>
      </c>
      <c r="D827" s="8" t="s">
        <v>3879</v>
      </c>
    </row>
    <row r="828" spans="1:4" ht="36" customHeight="1">
      <c r="A828" s="26">
        <v>823</v>
      </c>
      <c r="B828" s="25" t="s">
        <v>2388</v>
      </c>
      <c r="C828" s="8" t="s">
        <v>2389</v>
      </c>
      <c r="D828" s="8" t="s">
        <v>3879</v>
      </c>
    </row>
    <row r="829" spans="1:4" ht="36" customHeight="1">
      <c r="A829" s="26">
        <v>824</v>
      </c>
      <c r="B829" s="25" t="s">
        <v>2388</v>
      </c>
      <c r="C829" s="8" t="s">
        <v>2389</v>
      </c>
      <c r="D829" s="8" t="s">
        <v>3879</v>
      </c>
    </row>
    <row r="830" spans="1:4" ht="36" customHeight="1">
      <c r="A830" s="26">
        <v>825</v>
      </c>
      <c r="B830" s="25" t="s">
        <v>2349</v>
      </c>
      <c r="C830" s="8" t="s">
        <v>2350</v>
      </c>
      <c r="D830" s="8" t="s">
        <v>3879</v>
      </c>
    </row>
    <row r="831" spans="1:4" ht="36" customHeight="1">
      <c r="A831" s="26">
        <v>826</v>
      </c>
      <c r="B831" s="25" t="s">
        <v>4448</v>
      </c>
      <c r="C831" s="8" t="s">
        <v>1071</v>
      </c>
      <c r="D831" s="8" t="s">
        <v>3879</v>
      </c>
    </row>
    <row r="832" spans="1:4" ht="36" customHeight="1">
      <c r="A832" s="26">
        <v>827</v>
      </c>
      <c r="B832" s="25" t="s">
        <v>2814</v>
      </c>
      <c r="C832" s="8" t="s">
        <v>2815</v>
      </c>
      <c r="D832" s="8" t="s">
        <v>3879</v>
      </c>
    </row>
    <row r="833" spans="1:4" ht="36" customHeight="1">
      <c r="A833" s="26">
        <v>828</v>
      </c>
      <c r="B833" s="25" t="s">
        <v>2814</v>
      </c>
      <c r="C833" s="8" t="s">
        <v>2815</v>
      </c>
      <c r="D833" s="8" t="s">
        <v>3879</v>
      </c>
    </row>
    <row r="834" spans="1:4" ht="36" customHeight="1">
      <c r="A834" s="26">
        <v>829</v>
      </c>
      <c r="B834" s="25" t="s">
        <v>4141</v>
      </c>
      <c r="C834" s="8" t="s">
        <v>4142</v>
      </c>
      <c r="D834" s="8" t="s">
        <v>3879</v>
      </c>
    </row>
    <row r="835" spans="1:4" ht="36" customHeight="1">
      <c r="A835" s="26">
        <v>830</v>
      </c>
      <c r="B835" s="25" t="s">
        <v>4141</v>
      </c>
      <c r="C835" s="8" t="s">
        <v>4142</v>
      </c>
      <c r="D835" s="8" t="s">
        <v>3879</v>
      </c>
    </row>
    <row r="836" spans="1:4" ht="36" customHeight="1">
      <c r="A836" s="26">
        <v>831</v>
      </c>
      <c r="B836" s="25" t="s">
        <v>4141</v>
      </c>
      <c r="C836" s="8" t="s">
        <v>4142</v>
      </c>
      <c r="D836" s="8" t="s">
        <v>3879</v>
      </c>
    </row>
    <row r="837" spans="1:4" ht="36" customHeight="1">
      <c r="A837" s="26">
        <v>832</v>
      </c>
      <c r="B837" s="25" t="s">
        <v>4143</v>
      </c>
      <c r="C837" s="8" t="s">
        <v>4144</v>
      </c>
      <c r="D837" s="8" t="s">
        <v>3879</v>
      </c>
    </row>
    <row r="838" spans="1:4" ht="36" customHeight="1">
      <c r="A838" s="26">
        <v>833</v>
      </c>
      <c r="B838" s="25" t="s">
        <v>2766</v>
      </c>
      <c r="C838" s="8" t="s">
        <v>2767</v>
      </c>
      <c r="D838" s="8" t="s">
        <v>3879</v>
      </c>
    </row>
    <row r="839" spans="1:4" ht="36" customHeight="1">
      <c r="A839" s="26">
        <v>834</v>
      </c>
      <c r="B839" s="25" t="s">
        <v>2766</v>
      </c>
      <c r="C839" s="8" t="s">
        <v>2767</v>
      </c>
      <c r="D839" s="8" t="s">
        <v>3879</v>
      </c>
    </row>
    <row r="840" spans="1:4" ht="36" customHeight="1">
      <c r="A840" s="26">
        <v>835</v>
      </c>
      <c r="B840" s="25" t="s">
        <v>2766</v>
      </c>
      <c r="C840" s="8" t="s">
        <v>2767</v>
      </c>
      <c r="D840" s="8" t="s">
        <v>3879</v>
      </c>
    </row>
    <row r="841" spans="1:4" ht="36" customHeight="1">
      <c r="A841" s="26">
        <v>836</v>
      </c>
      <c r="B841" s="25" t="s">
        <v>2766</v>
      </c>
      <c r="C841" s="8" t="s">
        <v>2767</v>
      </c>
      <c r="D841" s="8" t="s">
        <v>3879</v>
      </c>
    </row>
    <row r="842" spans="1:4" ht="36" customHeight="1">
      <c r="A842" s="26">
        <v>837</v>
      </c>
      <c r="B842" s="25" t="s">
        <v>2766</v>
      </c>
      <c r="C842" s="8" t="s">
        <v>2767</v>
      </c>
      <c r="D842" s="8" t="s">
        <v>3879</v>
      </c>
    </row>
    <row r="843" spans="1:4" ht="36" customHeight="1">
      <c r="A843" s="26">
        <v>838</v>
      </c>
      <c r="B843" s="25" t="s">
        <v>2829</v>
      </c>
      <c r="C843" s="8" t="s">
        <v>2830</v>
      </c>
      <c r="D843" s="8" t="s">
        <v>3879</v>
      </c>
    </row>
    <row r="844" spans="1:4" ht="36" customHeight="1">
      <c r="A844" s="26">
        <v>839</v>
      </c>
      <c r="B844" s="25" t="s">
        <v>2721</v>
      </c>
      <c r="C844" s="8" t="s">
        <v>2722</v>
      </c>
      <c r="D844" s="8" t="s">
        <v>3879</v>
      </c>
    </row>
    <row r="845" spans="1:4" ht="36" customHeight="1">
      <c r="A845" s="26">
        <v>840</v>
      </c>
      <c r="B845" s="25" t="s">
        <v>2649</v>
      </c>
      <c r="C845" s="8" t="s">
        <v>2650</v>
      </c>
      <c r="D845" s="8" t="s">
        <v>3879</v>
      </c>
    </row>
    <row r="846" spans="1:4" ht="36" customHeight="1">
      <c r="A846" s="26">
        <v>841</v>
      </c>
      <c r="B846" s="25" t="s">
        <v>4449</v>
      </c>
      <c r="C846" s="8" t="s">
        <v>4450</v>
      </c>
      <c r="D846" s="8" t="s">
        <v>3879</v>
      </c>
    </row>
    <row r="847" spans="1:4" ht="36" customHeight="1">
      <c r="A847" s="26">
        <v>842</v>
      </c>
      <c r="B847" s="25" t="s">
        <v>4451</v>
      </c>
      <c r="C847" s="8" t="s">
        <v>4452</v>
      </c>
      <c r="D847" s="8" t="s">
        <v>3879</v>
      </c>
    </row>
    <row r="848" spans="1:4" ht="36" customHeight="1">
      <c r="A848" s="26">
        <v>843</v>
      </c>
      <c r="B848" s="25" t="s">
        <v>4451</v>
      </c>
      <c r="C848" s="8" t="s">
        <v>4452</v>
      </c>
      <c r="D848" s="8" t="s">
        <v>3879</v>
      </c>
    </row>
    <row r="849" spans="1:4" ht="36" customHeight="1">
      <c r="A849" s="26">
        <v>844</v>
      </c>
      <c r="B849" s="25" t="s">
        <v>4451</v>
      </c>
      <c r="C849" s="8" t="s">
        <v>4452</v>
      </c>
      <c r="D849" s="8" t="s">
        <v>3879</v>
      </c>
    </row>
    <row r="850" spans="1:4" ht="36" customHeight="1">
      <c r="A850" s="26">
        <v>845</v>
      </c>
      <c r="B850" s="25" t="s">
        <v>4117</v>
      </c>
      <c r="C850" s="8" t="s">
        <v>4118</v>
      </c>
      <c r="D850" s="8" t="s">
        <v>3879</v>
      </c>
    </row>
    <row r="851" spans="1:4" ht="36" customHeight="1">
      <c r="A851" s="26">
        <v>846</v>
      </c>
      <c r="B851" s="25" t="s">
        <v>4117</v>
      </c>
      <c r="C851" s="8" t="s">
        <v>4118</v>
      </c>
      <c r="D851" s="8" t="s">
        <v>3879</v>
      </c>
    </row>
    <row r="852" spans="1:4" ht="36" customHeight="1">
      <c r="A852" s="26">
        <v>847</v>
      </c>
      <c r="B852" s="25" t="s">
        <v>4298</v>
      </c>
      <c r="C852" s="8" t="s">
        <v>4299</v>
      </c>
      <c r="D852" s="8" t="s">
        <v>3879</v>
      </c>
    </row>
    <row r="853" spans="1:4" ht="36" customHeight="1">
      <c r="A853" s="26">
        <v>848</v>
      </c>
      <c r="B853" s="25" t="s">
        <v>4298</v>
      </c>
      <c r="C853" s="8" t="s">
        <v>4299</v>
      </c>
      <c r="D853" s="8" t="s">
        <v>3879</v>
      </c>
    </row>
    <row r="854" spans="1:4" ht="36" customHeight="1">
      <c r="A854" s="26">
        <v>849</v>
      </c>
      <c r="B854" s="25" t="s">
        <v>4453</v>
      </c>
      <c r="C854" s="8" t="s">
        <v>4454</v>
      </c>
      <c r="D854" s="8" t="s">
        <v>3879</v>
      </c>
    </row>
    <row r="855" spans="1:4" ht="36" customHeight="1">
      <c r="A855" s="26">
        <v>850</v>
      </c>
      <c r="B855" s="25" t="s">
        <v>4453</v>
      </c>
      <c r="C855" s="8" t="s">
        <v>4454</v>
      </c>
      <c r="D855" s="8" t="s">
        <v>3879</v>
      </c>
    </row>
    <row r="856" spans="1:4" ht="36" customHeight="1">
      <c r="A856" s="26">
        <v>851</v>
      </c>
      <c r="B856" s="25" t="s">
        <v>4453</v>
      </c>
      <c r="C856" s="8" t="s">
        <v>4454</v>
      </c>
      <c r="D856" s="8" t="s">
        <v>3879</v>
      </c>
    </row>
    <row r="857" spans="1:4" ht="36" customHeight="1">
      <c r="A857" s="26">
        <v>852</v>
      </c>
      <c r="B857" s="25" t="s">
        <v>4455</v>
      </c>
      <c r="C857" s="8" t="s">
        <v>4456</v>
      </c>
      <c r="D857" s="8" t="s">
        <v>3879</v>
      </c>
    </row>
    <row r="858" spans="1:4" ht="36" customHeight="1">
      <c r="A858" s="26">
        <v>853</v>
      </c>
      <c r="B858" s="25" t="s">
        <v>4457</v>
      </c>
      <c r="C858" s="8" t="s">
        <v>4458</v>
      </c>
      <c r="D858" s="8" t="s">
        <v>3879</v>
      </c>
    </row>
    <row r="859" spans="1:4" ht="36" customHeight="1">
      <c r="A859" s="26">
        <v>854</v>
      </c>
      <c r="B859" s="25" t="s">
        <v>4457</v>
      </c>
      <c r="C859" s="8" t="s">
        <v>4458</v>
      </c>
      <c r="D859" s="8" t="s">
        <v>3879</v>
      </c>
    </row>
    <row r="860" spans="1:4" ht="36" customHeight="1">
      <c r="A860" s="26">
        <v>855</v>
      </c>
      <c r="B860" s="25" t="s">
        <v>4457</v>
      </c>
      <c r="C860" s="8" t="s">
        <v>4458</v>
      </c>
      <c r="D860" s="8" t="s">
        <v>3879</v>
      </c>
    </row>
    <row r="861" spans="1:4" ht="36" customHeight="1">
      <c r="A861" s="26">
        <v>856</v>
      </c>
      <c r="B861" s="25" t="s">
        <v>4457</v>
      </c>
      <c r="C861" s="8" t="s">
        <v>4458</v>
      </c>
      <c r="D861" s="8" t="s">
        <v>3879</v>
      </c>
    </row>
    <row r="862" spans="1:4" ht="36" customHeight="1">
      <c r="A862" s="26">
        <v>857</v>
      </c>
      <c r="B862" s="25" t="s">
        <v>4457</v>
      </c>
      <c r="C862" s="8" t="s">
        <v>4458</v>
      </c>
      <c r="D862" s="8" t="s">
        <v>3879</v>
      </c>
    </row>
    <row r="863" spans="1:4" ht="36" customHeight="1">
      <c r="A863" s="26">
        <v>858</v>
      </c>
      <c r="B863" s="25" t="s">
        <v>4459</v>
      </c>
      <c r="C863" s="8" t="s">
        <v>4460</v>
      </c>
      <c r="D863" s="8" t="s">
        <v>3879</v>
      </c>
    </row>
    <row r="864" spans="1:4" ht="36" customHeight="1">
      <c r="A864" s="26">
        <v>859</v>
      </c>
      <c r="B864" s="25" t="s">
        <v>4459</v>
      </c>
      <c r="C864" s="8" t="s">
        <v>4460</v>
      </c>
      <c r="D864" s="8" t="s">
        <v>3879</v>
      </c>
    </row>
    <row r="865" spans="1:4" ht="36" customHeight="1">
      <c r="A865" s="26">
        <v>860</v>
      </c>
      <c r="B865" s="25" t="s">
        <v>2715</v>
      </c>
      <c r="C865" s="8" t="s">
        <v>2716</v>
      </c>
      <c r="D865" s="8" t="s">
        <v>3879</v>
      </c>
    </row>
    <row r="866" spans="1:4" ht="36" customHeight="1">
      <c r="A866" s="26">
        <v>861</v>
      </c>
      <c r="B866" s="25" t="s">
        <v>2715</v>
      </c>
      <c r="C866" s="8" t="s">
        <v>2716</v>
      </c>
      <c r="D866" s="8" t="s">
        <v>3879</v>
      </c>
    </row>
    <row r="867" spans="1:4" ht="36" customHeight="1">
      <c r="A867" s="26">
        <v>862</v>
      </c>
      <c r="B867" s="25" t="s">
        <v>4221</v>
      </c>
      <c r="C867" s="8" t="s">
        <v>4222</v>
      </c>
      <c r="D867" s="8" t="s">
        <v>3879</v>
      </c>
    </row>
    <row r="868" spans="1:4" ht="36" customHeight="1">
      <c r="A868" s="26">
        <v>863</v>
      </c>
      <c r="B868" s="25" t="s">
        <v>4221</v>
      </c>
      <c r="C868" s="8" t="s">
        <v>4222</v>
      </c>
      <c r="D868" s="8" t="s">
        <v>3879</v>
      </c>
    </row>
    <row r="869" spans="1:4" ht="36" customHeight="1">
      <c r="A869" s="26">
        <v>864</v>
      </c>
      <c r="B869" s="25" t="s">
        <v>4221</v>
      </c>
      <c r="C869" s="8" t="s">
        <v>4222</v>
      </c>
      <c r="D869" s="8" t="s">
        <v>3879</v>
      </c>
    </row>
    <row r="870" spans="1:4" ht="36" customHeight="1">
      <c r="A870" s="26">
        <v>865</v>
      </c>
      <c r="B870" s="25" t="s">
        <v>4221</v>
      </c>
      <c r="C870" s="8" t="s">
        <v>4222</v>
      </c>
      <c r="D870" s="8" t="s">
        <v>3879</v>
      </c>
    </row>
    <row r="871" spans="1:4" ht="36" customHeight="1">
      <c r="A871" s="26">
        <v>866</v>
      </c>
      <c r="B871" s="25" t="s">
        <v>2376</v>
      </c>
      <c r="C871" s="8" t="s">
        <v>2377</v>
      </c>
      <c r="D871" s="8" t="s">
        <v>3879</v>
      </c>
    </row>
    <row r="872" spans="1:4" ht="36" customHeight="1">
      <c r="A872" s="26">
        <v>867</v>
      </c>
      <c r="B872" s="25" t="s">
        <v>4197</v>
      </c>
      <c r="C872" s="8" t="s">
        <v>4198</v>
      </c>
      <c r="D872" s="8" t="s">
        <v>3879</v>
      </c>
    </row>
    <row r="873" spans="1:4" ht="36" customHeight="1">
      <c r="A873" s="26">
        <v>868</v>
      </c>
      <c r="B873" s="25" t="s">
        <v>4197</v>
      </c>
      <c r="C873" s="8" t="s">
        <v>4198</v>
      </c>
      <c r="D873" s="8" t="s">
        <v>3879</v>
      </c>
    </row>
    <row r="874" spans="1:4" ht="36" customHeight="1">
      <c r="A874" s="26">
        <v>869</v>
      </c>
      <c r="B874" s="25" t="s">
        <v>4197</v>
      </c>
      <c r="C874" s="8" t="s">
        <v>4198</v>
      </c>
      <c r="D874" s="8" t="s">
        <v>3879</v>
      </c>
    </row>
    <row r="875" spans="1:4" ht="36" customHeight="1">
      <c r="A875" s="26">
        <v>870</v>
      </c>
      <c r="B875" s="25" t="s">
        <v>4197</v>
      </c>
      <c r="C875" s="8" t="s">
        <v>4198</v>
      </c>
      <c r="D875" s="8" t="s">
        <v>3879</v>
      </c>
    </row>
    <row r="876" spans="1:4" ht="36" customHeight="1">
      <c r="A876" s="26">
        <v>871</v>
      </c>
      <c r="B876" s="25" t="s">
        <v>4461</v>
      </c>
      <c r="C876" s="8" t="s">
        <v>4462</v>
      </c>
      <c r="D876" s="8" t="s">
        <v>3879</v>
      </c>
    </row>
    <row r="877" spans="1:4" ht="36" customHeight="1">
      <c r="A877" s="26">
        <v>872</v>
      </c>
      <c r="B877" s="25" t="s">
        <v>2811</v>
      </c>
      <c r="C877" s="8" t="s">
        <v>2812</v>
      </c>
      <c r="D877" s="8" t="s">
        <v>3879</v>
      </c>
    </row>
    <row r="878" spans="1:4" ht="36" customHeight="1">
      <c r="A878" s="26">
        <v>873</v>
      </c>
      <c r="B878" s="25" t="s">
        <v>2811</v>
      </c>
      <c r="C878" s="8" t="s">
        <v>2812</v>
      </c>
      <c r="D878" s="8" t="s">
        <v>3879</v>
      </c>
    </row>
    <row r="879" spans="1:4" ht="36" customHeight="1">
      <c r="A879" s="26">
        <v>874</v>
      </c>
      <c r="B879" s="25" t="s">
        <v>4463</v>
      </c>
      <c r="C879" s="8" t="s">
        <v>4464</v>
      </c>
      <c r="D879" s="8" t="s">
        <v>3879</v>
      </c>
    </row>
    <row r="880" spans="1:4" ht="36" customHeight="1">
      <c r="A880" s="26">
        <v>875</v>
      </c>
      <c r="B880" s="25" t="s">
        <v>4463</v>
      </c>
      <c r="C880" s="8" t="s">
        <v>4464</v>
      </c>
      <c r="D880" s="8" t="s">
        <v>3879</v>
      </c>
    </row>
    <row r="881" spans="1:4" ht="36" customHeight="1">
      <c r="A881" s="26">
        <v>876</v>
      </c>
      <c r="B881" s="25" t="s">
        <v>4463</v>
      </c>
      <c r="C881" s="8" t="s">
        <v>4464</v>
      </c>
      <c r="D881" s="8" t="s">
        <v>3879</v>
      </c>
    </row>
    <row r="882" spans="1:4" ht="36" customHeight="1">
      <c r="A882" s="26">
        <v>877</v>
      </c>
      <c r="B882" s="25" t="s">
        <v>4463</v>
      </c>
      <c r="C882" s="8" t="s">
        <v>4464</v>
      </c>
      <c r="D882" s="8" t="s">
        <v>3879</v>
      </c>
    </row>
    <row r="883" spans="1:4" ht="36" customHeight="1">
      <c r="A883" s="26">
        <v>878</v>
      </c>
      <c r="B883" s="25" t="s">
        <v>4463</v>
      </c>
      <c r="C883" s="8" t="s">
        <v>4464</v>
      </c>
      <c r="D883" s="8" t="s">
        <v>3879</v>
      </c>
    </row>
    <row r="884" spans="1:4" ht="36" customHeight="1">
      <c r="A884" s="26">
        <v>879</v>
      </c>
      <c r="B884" s="25" t="s">
        <v>2406</v>
      </c>
      <c r="C884" s="8" t="s">
        <v>2407</v>
      </c>
      <c r="D884" s="8" t="s">
        <v>3879</v>
      </c>
    </row>
    <row r="885" spans="1:4" ht="36" customHeight="1">
      <c r="A885" s="26">
        <v>880</v>
      </c>
      <c r="B885" s="25" t="s">
        <v>2406</v>
      </c>
      <c r="C885" s="8" t="s">
        <v>2407</v>
      </c>
      <c r="D885" s="8" t="s">
        <v>3879</v>
      </c>
    </row>
    <row r="886" spans="1:4" ht="36" customHeight="1">
      <c r="A886" s="26">
        <v>881</v>
      </c>
      <c r="B886" s="25" t="s">
        <v>2406</v>
      </c>
      <c r="C886" s="8" t="s">
        <v>2407</v>
      </c>
      <c r="D886" s="8" t="s">
        <v>3879</v>
      </c>
    </row>
    <row r="887" spans="1:4" ht="36" customHeight="1">
      <c r="A887" s="26">
        <v>882</v>
      </c>
      <c r="B887" s="25" t="s">
        <v>2406</v>
      </c>
      <c r="C887" s="8" t="s">
        <v>2407</v>
      </c>
      <c r="D887" s="8" t="s">
        <v>3879</v>
      </c>
    </row>
    <row r="888" spans="1:4" ht="36" customHeight="1">
      <c r="A888" s="26">
        <v>883</v>
      </c>
      <c r="B888" s="25" t="s">
        <v>2406</v>
      </c>
      <c r="C888" s="8" t="s">
        <v>2407</v>
      </c>
      <c r="D888" s="8" t="s">
        <v>3879</v>
      </c>
    </row>
    <row r="889" spans="1:4" ht="36" customHeight="1">
      <c r="A889" s="26">
        <v>884</v>
      </c>
      <c r="B889" s="25" t="s">
        <v>2406</v>
      </c>
      <c r="C889" s="8" t="s">
        <v>2407</v>
      </c>
      <c r="D889" s="8" t="s">
        <v>3879</v>
      </c>
    </row>
    <row r="890" spans="1:4" ht="36" customHeight="1">
      <c r="A890" s="26">
        <v>885</v>
      </c>
      <c r="B890" s="25" t="s">
        <v>2406</v>
      </c>
      <c r="C890" s="8" t="s">
        <v>2407</v>
      </c>
      <c r="D890" s="8" t="s">
        <v>3879</v>
      </c>
    </row>
    <row r="891" spans="1:4" ht="36" customHeight="1">
      <c r="A891" s="26">
        <v>886</v>
      </c>
      <c r="B891" s="25" t="s">
        <v>4091</v>
      </c>
      <c r="C891" s="8" t="s">
        <v>4092</v>
      </c>
      <c r="D891" s="8" t="s">
        <v>3879</v>
      </c>
    </row>
    <row r="892" spans="1:4" ht="36" customHeight="1">
      <c r="A892" s="26">
        <v>887</v>
      </c>
      <c r="B892" s="25" t="s">
        <v>4091</v>
      </c>
      <c r="C892" s="8" t="s">
        <v>4092</v>
      </c>
      <c r="D892" s="8" t="s">
        <v>3879</v>
      </c>
    </row>
    <row r="893" spans="1:4" ht="36" customHeight="1">
      <c r="A893" s="26">
        <v>888</v>
      </c>
      <c r="B893" s="25" t="s">
        <v>4091</v>
      </c>
      <c r="C893" s="8" t="s">
        <v>4092</v>
      </c>
      <c r="D893" s="8" t="s">
        <v>3879</v>
      </c>
    </row>
    <row r="894" spans="1:4" ht="36" customHeight="1">
      <c r="A894" s="26">
        <v>889</v>
      </c>
      <c r="B894" s="25" t="s">
        <v>4091</v>
      </c>
      <c r="C894" s="8" t="s">
        <v>4092</v>
      </c>
      <c r="D894" s="8" t="s">
        <v>3879</v>
      </c>
    </row>
    <row r="895" spans="1:4" ht="36" customHeight="1">
      <c r="A895" s="26">
        <v>890</v>
      </c>
      <c r="B895" s="25" t="s">
        <v>4091</v>
      </c>
      <c r="C895" s="8" t="s">
        <v>4092</v>
      </c>
      <c r="D895" s="8" t="s">
        <v>3879</v>
      </c>
    </row>
    <row r="896" spans="1:4" ht="36" customHeight="1">
      <c r="A896" s="26">
        <v>891</v>
      </c>
      <c r="B896" s="25" t="s">
        <v>4465</v>
      </c>
      <c r="C896" s="8" t="s">
        <v>4466</v>
      </c>
      <c r="D896" s="8" t="s">
        <v>3879</v>
      </c>
    </row>
    <row r="897" spans="1:4" ht="36" customHeight="1">
      <c r="A897" s="26">
        <v>892</v>
      </c>
      <c r="B897" s="25" t="s">
        <v>4465</v>
      </c>
      <c r="C897" s="8" t="s">
        <v>4466</v>
      </c>
      <c r="D897" s="8" t="s">
        <v>3879</v>
      </c>
    </row>
    <row r="898" spans="1:4" ht="36" customHeight="1">
      <c r="A898" s="26">
        <v>893</v>
      </c>
      <c r="B898" s="25" t="s">
        <v>4465</v>
      </c>
      <c r="C898" s="8" t="s">
        <v>4466</v>
      </c>
      <c r="D898" s="8" t="s">
        <v>3879</v>
      </c>
    </row>
    <row r="899" spans="1:4" ht="36" customHeight="1">
      <c r="A899" s="26">
        <v>894</v>
      </c>
      <c r="B899" s="25" t="s">
        <v>4465</v>
      </c>
      <c r="C899" s="8" t="s">
        <v>4466</v>
      </c>
      <c r="D899" s="8" t="s">
        <v>3879</v>
      </c>
    </row>
    <row r="900" spans="1:4" ht="36" customHeight="1">
      <c r="A900" s="26">
        <v>895</v>
      </c>
      <c r="B900" s="25" t="s">
        <v>4465</v>
      </c>
      <c r="C900" s="8" t="s">
        <v>4466</v>
      </c>
      <c r="D900" s="8" t="s">
        <v>3879</v>
      </c>
    </row>
    <row r="901" spans="1:4" ht="36" customHeight="1">
      <c r="A901" s="26">
        <v>896</v>
      </c>
      <c r="B901" s="25" t="s">
        <v>4155</v>
      </c>
      <c r="C901" s="8" t="s">
        <v>4156</v>
      </c>
      <c r="D901" s="8" t="s">
        <v>3879</v>
      </c>
    </row>
    <row r="902" spans="1:4" ht="36" customHeight="1">
      <c r="A902" s="26">
        <v>897</v>
      </c>
      <c r="B902" s="25" t="s">
        <v>4155</v>
      </c>
      <c r="C902" s="8" t="s">
        <v>4156</v>
      </c>
      <c r="D902" s="8" t="s">
        <v>3879</v>
      </c>
    </row>
    <row r="903" spans="1:4" ht="36" customHeight="1">
      <c r="A903" s="26">
        <v>898</v>
      </c>
      <c r="B903" s="25" t="s">
        <v>4155</v>
      </c>
      <c r="C903" s="8" t="s">
        <v>4156</v>
      </c>
      <c r="D903" s="8" t="s">
        <v>3879</v>
      </c>
    </row>
    <row r="904" spans="1:4" ht="36" customHeight="1">
      <c r="A904" s="26">
        <v>899</v>
      </c>
      <c r="B904" s="25" t="s">
        <v>4467</v>
      </c>
      <c r="C904" s="8" t="s">
        <v>4468</v>
      </c>
      <c r="D904" s="8" t="s">
        <v>3879</v>
      </c>
    </row>
    <row r="905" spans="1:4" ht="36" customHeight="1">
      <c r="A905" s="26">
        <v>900</v>
      </c>
      <c r="B905" s="25" t="s">
        <v>3912</v>
      </c>
      <c r="C905" s="8" t="s">
        <v>3913</v>
      </c>
      <c r="D905" s="8" t="s">
        <v>3879</v>
      </c>
    </row>
    <row r="906" spans="1:4" ht="36" customHeight="1">
      <c r="A906" s="26">
        <v>901</v>
      </c>
      <c r="B906" s="25" t="s">
        <v>4469</v>
      </c>
      <c r="C906" s="8" t="s">
        <v>4470</v>
      </c>
      <c r="D906" s="8" t="s">
        <v>3879</v>
      </c>
    </row>
    <row r="907" spans="1:4" ht="36" customHeight="1">
      <c r="A907" s="26">
        <v>902</v>
      </c>
      <c r="B907" s="25" t="s">
        <v>4471</v>
      </c>
      <c r="C907" s="8" t="s">
        <v>4472</v>
      </c>
      <c r="D907" s="8" t="s">
        <v>3879</v>
      </c>
    </row>
    <row r="908" spans="1:4" ht="36" customHeight="1">
      <c r="A908" s="26">
        <v>903</v>
      </c>
      <c r="B908" s="25" t="s">
        <v>4471</v>
      </c>
      <c r="C908" s="8" t="s">
        <v>4472</v>
      </c>
      <c r="D908" s="8" t="s">
        <v>3879</v>
      </c>
    </row>
    <row r="909" spans="1:4" ht="36" customHeight="1">
      <c r="A909" s="26">
        <v>904</v>
      </c>
      <c r="B909" s="25" t="s">
        <v>4471</v>
      </c>
      <c r="C909" s="8" t="s">
        <v>4472</v>
      </c>
      <c r="D909" s="8" t="s">
        <v>3879</v>
      </c>
    </row>
    <row r="910" spans="1:4" ht="36" customHeight="1">
      <c r="A910" s="26">
        <v>905</v>
      </c>
      <c r="B910" s="25" t="s">
        <v>2403</v>
      </c>
      <c r="C910" s="8" t="s">
        <v>2404</v>
      </c>
      <c r="D910" s="8" t="s">
        <v>3879</v>
      </c>
    </row>
    <row r="911" spans="1:4" ht="36" customHeight="1">
      <c r="A911" s="26">
        <v>906</v>
      </c>
      <c r="B911" s="25" t="s">
        <v>4473</v>
      </c>
      <c r="C911" s="8" t="s">
        <v>4474</v>
      </c>
      <c r="D911" s="8" t="s">
        <v>3879</v>
      </c>
    </row>
    <row r="912" spans="1:4" ht="36" customHeight="1">
      <c r="A912" s="26">
        <v>907</v>
      </c>
      <c r="B912" s="25" t="s">
        <v>4107</v>
      </c>
      <c r="C912" s="8" t="s">
        <v>4108</v>
      </c>
      <c r="D912" s="8" t="s">
        <v>3879</v>
      </c>
    </row>
    <row r="913" spans="1:4" ht="36" customHeight="1">
      <c r="A913" s="26">
        <v>908</v>
      </c>
      <c r="B913" s="25" t="s">
        <v>4223</v>
      </c>
      <c r="C913" s="8" t="s">
        <v>4224</v>
      </c>
      <c r="D913" s="8" t="s">
        <v>3879</v>
      </c>
    </row>
    <row r="914" spans="1:4" ht="36" customHeight="1">
      <c r="A914" s="26">
        <v>909</v>
      </c>
      <c r="B914" s="25" t="s">
        <v>2631</v>
      </c>
      <c r="C914" s="8" t="s">
        <v>2632</v>
      </c>
      <c r="D914" s="8" t="s">
        <v>3879</v>
      </c>
    </row>
    <row r="915" spans="1:4" ht="36" customHeight="1">
      <c r="A915" s="26">
        <v>910</v>
      </c>
      <c r="B915" s="25" t="s">
        <v>2745</v>
      </c>
      <c r="C915" s="8" t="s">
        <v>2746</v>
      </c>
      <c r="D915" s="8" t="s">
        <v>3879</v>
      </c>
    </row>
    <row r="916" spans="1:4" ht="36" customHeight="1">
      <c r="A916" s="26">
        <v>911</v>
      </c>
      <c r="B916" s="25" t="s">
        <v>4475</v>
      </c>
      <c r="C916" s="8" t="s">
        <v>4476</v>
      </c>
      <c r="D916" s="8" t="s">
        <v>3879</v>
      </c>
    </row>
    <row r="917" spans="1:4" ht="36" customHeight="1">
      <c r="A917" s="26">
        <v>912</v>
      </c>
      <c r="B917" s="25" t="s">
        <v>2445</v>
      </c>
      <c r="C917" s="8" t="s">
        <v>2446</v>
      </c>
      <c r="D917" s="8" t="s">
        <v>3879</v>
      </c>
    </row>
    <row r="918" spans="1:4" ht="36" customHeight="1">
      <c r="A918" s="26">
        <v>913</v>
      </c>
      <c r="B918" s="25" t="s">
        <v>4121</v>
      </c>
      <c r="C918" s="8" t="s">
        <v>4122</v>
      </c>
      <c r="D918" s="8" t="s">
        <v>3879</v>
      </c>
    </row>
    <row r="919" spans="1:4" ht="36" customHeight="1">
      <c r="A919" s="26">
        <v>914</v>
      </c>
      <c r="B919" s="25" t="s">
        <v>4477</v>
      </c>
      <c r="C919" s="8" t="s">
        <v>4478</v>
      </c>
      <c r="D919" s="8" t="s">
        <v>3879</v>
      </c>
    </row>
    <row r="920" spans="1:4" ht="36" customHeight="1">
      <c r="A920" s="26">
        <v>915</v>
      </c>
      <c r="B920" s="25" t="s">
        <v>3926</v>
      </c>
      <c r="C920" s="8" t="s">
        <v>3927</v>
      </c>
      <c r="D920" s="8" t="s">
        <v>3879</v>
      </c>
    </row>
    <row r="921" spans="1:4" ht="36" customHeight="1">
      <c r="A921" s="26">
        <v>916</v>
      </c>
      <c r="B921" s="25" t="s">
        <v>4479</v>
      </c>
      <c r="C921" s="8" t="s">
        <v>4480</v>
      </c>
      <c r="D921" s="8" t="s">
        <v>3879</v>
      </c>
    </row>
    <row r="922" spans="1:4" ht="36" customHeight="1">
      <c r="A922" s="26">
        <v>917</v>
      </c>
      <c r="B922" s="25" t="s">
        <v>4481</v>
      </c>
      <c r="C922" s="8" t="s">
        <v>4482</v>
      </c>
      <c r="D922" s="8" t="s">
        <v>3879</v>
      </c>
    </row>
    <row r="923" spans="1:4" ht="36" customHeight="1">
      <c r="A923" s="26">
        <v>918</v>
      </c>
      <c r="B923" s="25" t="s">
        <v>4481</v>
      </c>
      <c r="C923" s="8" t="s">
        <v>4482</v>
      </c>
      <c r="D923" s="8" t="s">
        <v>3879</v>
      </c>
    </row>
    <row r="924" spans="1:4" ht="36" customHeight="1">
      <c r="A924" s="26">
        <v>919</v>
      </c>
      <c r="B924" s="25" t="s">
        <v>3986</v>
      </c>
      <c r="C924" s="8" t="s">
        <v>3987</v>
      </c>
      <c r="D924" s="8" t="s">
        <v>3879</v>
      </c>
    </row>
    <row r="925" spans="1:4" ht="36" customHeight="1">
      <c r="A925" s="26">
        <v>920</v>
      </c>
      <c r="B925" s="25" t="s">
        <v>3986</v>
      </c>
      <c r="C925" s="8" t="s">
        <v>3987</v>
      </c>
      <c r="D925" s="8" t="s">
        <v>3879</v>
      </c>
    </row>
    <row r="926" spans="1:4" ht="36" customHeight="1">
      <c r="A926" s="26">
        <v>921</v>
      </c>
      <c r="B926" s="25" t="s">
        <v>4483</v>
      </c>
      <c r="C926" s="8" t="s">
        <v>4484</v>
      </c>
      <c r="D926" s="8" t="s">
        <v>3879</v>
      </c>
    </row>
    <row r="927" spans="1:4" ht="36" customHeight="1">
      <c r="A927" s="26">
        <v>922</v>
      </c>
      <c r="B927" s="25" t="s">
        <v>2772</v>
      </c>
      <c r="C927" s="8" t="s">
        <v>2773</v>
      </c>
      <c r="D927" s="8" t="s">
        <v>3879</v>
      </c>
    </row>
    <row r="928" spans="1:4" ht="36" customHeight="1">
      <c r="A928" s="26">
        <v>923</v>
      </c>
      <c r="B928" s="25" t="s">
        <v>2772</v>
      </c>
      <c r="C928" s="8" t="s">
        <v>2773</v>
      </c>
      <c r="D928" s="8" t="s">
        <v>3879</v>
      </c>
    </row>
    <row r="929" spans="1:4" ht="36" customHeight="1">
      <c r="A929" s="26">
        <v>924</v>
      </c>
      <c r="B929" s="25" t="s">
        <v>2772</v>
      </c>
      <c r="C929" s="8" t="s">
        <v>2773</v>
      </c>
      <c r="D929" s="8" t="s">
        <v>3879</v>
      </c>
    </row>
    <row r="930" spans="1:4" ht="36" customHeight="1">
      <c r="A930" s="26">
        <v>925</v>
      </c>
      <c r="B930" s="25" t="s">
        <v>2772</v>
      </c>
      <c r="C930" s="8" t="s">
        <v>2773</v>
      </c>
      <c r="D930" s="8" t="s">
        <v>3879</v>
      </c>
    </row>
    <row r="931" spans="1:4" ht="36" customHeight="1">
      <c r="A931" s="26">
        <v>926</v>
      </c>
      <c r="B931" s="25" t="s">
        <v>2772</v>
      </c>
      <c r="C931" s="8" t="s">
        <v>2773</v>
      </c>
      <c r="D931" s="8" t="s">
        <v>3879</v>
      </c>
    </row>
    <row r="932" spans="1:4" ht="36" customHeight="1">
      <c r="A932" s="26">
        <v>927</v>
      </c>
      <c r="B932" s="25" t="s">
        <v>2409</v>
      </c>
      <c r="C932" s="8" t="s">
        <v>2410</v>
      </c>
      <c r="D932" s="8" t="s">
        <v>3879</v>
      </c>
    </row>
    <row r="933" spans="1:4" ht="36" customHeight="1">
      <c r="A933" s="26">
        <v>928</v>
      </c>
      <c r="B933" s="25" t="s">
        <v>4093</v>
      </c>
      <c r="C933" s="8" t="s">
        <v>4094</v>
      </c>
      <c r="D933" s="8" t="s">
        <v>3879</v>
      </c>
    </row>
    <row r="934" spans="1:4" ht="36" customHeight="1">
      <c r="A934" s="26">
        <v>929</v>
      </c>
      <c r="B934" s="25" t="s">
        <v>3976</v>
      </c>
      <c r="C934" s="8" t="s">
        <v>3977</v>
      </c>
      <c r="D934" s="8" t="s">
        <v>3879</v>
      </c>
    </row>
    <row r="935" spans="1:4" ht="36" customHeight="1">
      <c r="A935" s="26">
        <v>930</v>
      </c>
      <c r="B935" s="25" t="s">
        <v>3976</v>
      </c>
      <c r="C935" s="8" t="s">
        <v>3977</v>
      </c>
      <c r="D935" s="8" t="s">
        <v>3879</v>
      </c>
    </row>
    <row r="936" spans="1:4" ht="36" customHeight="1">
      <c r="A936" s="26">
        <v>931</v>
      </c>
      <c r="B936" s="25" t="s">
        <v>2658</v>
      </c>
      <c r="C936" s="8" t="s">
        <v>2659</v>
      </c>
      <c r="D936" s="8" t="s">
        <v>3879</v>
      </c>
    </row>
    <row r="937" spans="1:4" ht="36" customHeight="1">
      <c r="A937" s="26">
        <v>932</v>
      </c>
      <c r="B937" s="25" t="s">
        <v>2658</v>
      </c>
      <c r="C937" s="8" t="s">
        <v>2659</v>
      </c>
      <c r="D937" s="8" t="s">
        <v>3879</v>
      </c>
    </row>
    <row r="938" spans="1:4" ht="36" customHeight="1">
      <c r="A938" s="26">
        <v>933</v>
      </c>
      <c r="B938" s="25" t="s">
        <v>2658</v>
      </c>
      <c r="C938" s="8" t="s">
        <v>2659</v>
      </c>
      <c r="D938" s="8" t="s">
        <v>3879</v>
      </c>
    </row>
    <row r="939" spans="1:4" ht="36" customHeight="1">
      <c r="A939" s="26">
        <v>934</v>
      </c>
      <c r="B939" s="25" t="s">
        <v>4044</v>
      </c>
      <c r="C939" s="8" t="s">
        <v>4045</v>
      </c>
      <c r="D939" s="8" t="s">
        <v>3879</v>
      </c>
    </row>
    <row r="940" spans="1:4" ht="36" customHeight="1">
      <c r="A940" s="26">
        <v>935</v>
      </c>
      <c r="B940" s="25" t="s">
        <v>4044</v>
      </c>
      <c r="C940" s="8" t="s">
        <v>4045</v>
      </c>
      <c r="D940" s="8" t="s">
        <v>3879</v>
      </c>
    </row>
    <row r="941" spans="1:4" ht="36" customHeight="1">
      <c r="A941" s="26">
        <v>936</v>
      </c>
      <c r="B941" s="25" t="s">
        <v>4485</v>
      </c>
      <c r="C941" s="8" t="s">
        <v>4486</v>
      </c>
      <c r="D941" s="8" t="s">
        <v>3879</v>
      </c>
    </row>
    <row r="942" spans="1:4" ht="36" customHeight="1">
      <c r="A942" s="26">
        <v>937</v>
      </c>
      <c r="B942" s="25" t="s">
        <v>4485</v>
      </c>
      <c r="C942" s="8" t="s">
        <v>4486</v>
      </c>
      <c r="D942" s="8" t="s">
        <v>3879</v>
      </c>
    </row>
    <row r="943" spans="1:4" ht="36" customHeight="1">
      <c r="A943" s="26">
        <v>938</v>
      </c>
      <c r="B943" s="25" t="s">
        <v>4487</v>
      </c>
      <c r="C943" s="8" t="s">
        <v>4488</v>
      </c>
      <c r="D943" s="8" t="s">
        <v>3879</v>
      </c>
    </row>
    <row r="944" spans="1:4" ht="36" customHeight="1">
      <c r="A944" s="26">
        <v>939</v>
      </c>
      <c r="B944" s="25" t="s">
        <v>4487</v>
      </c>
      <c r="C944" s="8" t="s">
        <v>4488</v>
      </c>
      <c r="D944" s="8" t="s">
        <v>3879</v>
      </c>
    </row>
    <row r="945" spans="1:4" ht="36" customHeight="1">
      <c r="A945" s="26">
        <v>940</v>
      </c>
      <c r="B945" s="25" t="s">
        <v>4001</v>
      </c>
      <c r="C945" s="8" t="s">
        <v>4002</v>
      </c>
      <c r="D945" s="8" t="s">
        <v>3879</v>
      </c>
    </row>
    <row r="946" spans="1:4" ht="36" customHeight="1">
      <c r="A946" s="26">
        <v>941</v>
      </c>
      <c r="B946" s="25" t="s">
        <v>4489</v>
      </c>
      <c r="C946" s="8" t="s">
        <v>4490</v>
      </c>
      <c r="D946" s="8" t="s">
        <v>3879</v>
      </c>
    </row>
    <row r="947" spans="1:4" ht="36" customHeight="1">
      <c r="A947" s="26">
        <v>942</v>
      </c>
      <c r="B947" s="25" t="s">
        <v>4489</v>
      </c>
      <c r="C947" s="8" t="s">
        <v>4490</v>
      </c>
      <c r="D947" s="8" t="s">
        <v>3879</v>
      </c>
    </row>
    <row r="948" spans="1:4" ht="36" customHeight="1">
      <c r="A948" s="26">
        <v>943</v>
      </c>
      <c r="B948" s="25" t="s">
        <v>4491</v>
      </c>
      <c r="C948" s="8" t="s">
        <v>4492</v>
      </c>
      <c r="D948" s="8" t="s">
        <v>3879</v>
      </c>
    </row>
    <row r="949" spans="1:4" ht="36" customHeight="1">
      <c r="A949" s="26">
        <v>944</v>
      </c>
      <c r="B949" s="25" t="s">
        <v>4491</v>
      </c>
      <c r="C949" s="8" t="s">
        <v>4492</v>
      </c>
      <c r="D949" s="8" t="s">
        <v>3879</v>
      </c>
    </row>
    <row r="950" spans="1:4" ht="36" customHeight="1">
      <c r="A950" s="26">
        <v>945</v>
      </c>
      <c r="B950" s="25" t="s">
        <v>4493</v>
      </c>
      <c r="C950" s="8" t="s">
        <v>4494</v>
      </c>
      <c r="D950" s="8" t="s">
        <v>3879</v>
      </c>
    </row>
    <row r="951" spans="1:4" ht="36" customHeight="1">
      <c r="A951" s="26">
        <v>946</v>
      </c>
      <c r="B951" s="25" t="s">
        <v>4493</v>
      </c>
      <c r="C951" s="8" t="s">
        <v>4494</v>
      </c>
      <c r="D951" s="8" t="s">
        <v>3879</v>
      </c>
    </row>
    <row r="952" spans="1:4" ht="36" customHeight="1">
      <c r="A952" s="26">
        <v>947</v>
      </c>
      <c r="B952" s="25" t="s">
        <v>4495</v>
      </c>
      <c r="C952" s="8" t="s">
        <v>4496</v>
      </c>
      <c r="D952" s="8" t="s">
        <v>3879</v>
      </c>
    </row>
    <row r="953" spans="1:4" ht="36" customHeight="1">
      <c r="A953" s="26">
        <v>948</v>
      </c>
      <c r="B953" s="25" t="s">
        <v>4497</v>
      </c>
      <c r="C953" s="8" t="s">
        <v>4498</v>
      </c>
      <c r="D953" s="8" t="s">
        <v>3879</v>
      </c>
    </row>
    <row r="954" spans="1:4" ht="36" customHeight="1">
      <c r="A954" s="26">
        <v>949</v>
      </c>
      <c r="B954" s="25" t="s">
        <v>4499</v>
      </c>
      <c r="C954" s="8" t="s">
        <v>4500</v>
      </c>
      <c r="D954" s="8" t="s">
        <v>3879</v>
      </c>
    </row>
    <row r="955" spans="1:4" ht="36" customHeight="1">
      <c r="A955" s="26">
        <v>950</v>
      </c>
      <c r="B955" s="25" t="s">
        <v>2820</v>
      </c>
      <c r="C955" s="8" t="s">
        <v>2821</v>
      </c>
      <c r="D955" s="8" t="s">
        <v>3879</v>
      </c>
    </row>
    <row r="956" spans="1:4" ht="36" customHeight="1">
      <c r="A956" s="26">
        <v>951</v>
      </c>
      <c r="B956" s="25" t="s">
        <v>4304</v>
      </c>
      <c r="C956" s="8" t="s">
        <v>4305</v>
      </c>
      <c r="D956" s="8" t="s">
        <v>3879</v>
      </c>
    </row>
    <row r="957" spans="1:4" ht="36" customHeight="1">
      <c r="A957" s="26">
        <v>952</v>
      </c>
      <c r="B957" s="25" t="s">
        <v>4501</v>
      </c>
      <c r="C957" s="8" t="s">
        <v>4502</v>
      </c>
      <c r="D957" s="8" t="s">
        <v>3879</v>
      </c>
    </row>
    <row r="958" spans="1:4" ht="36" customHeight="1">
      <c r="A958" s="26">
        <v>953</v>
      </c>
      <c r="B958" s="25" t="s">
        <v>4503</v>
      </c>
      <c r="C958" s="8" t="s">
        <v>4504</v>
      </c>
      <c r="D958" s="8" t="s">
        <v>3879</v>
      </c>
    </row>
    <row r="959" spans="1:4" ht="36" customHeight="1">
      <c r="A959" s="26">
        <v>954</v>
      </c>
      <c r="B959" s="25" t="s">
        <v>4505</v>
      </c>
      <c r="C959" s="8" t="s">
        <v>4506</v>
      </c>
      <c r="D959" s="8" t="s">
        <v>3879</v>
      </c>
    </row>
    <row r="960" spans="1:4" ht="36" customHeight="1">
      <c r="A960" s="26">
        <v>955</v>
      </c>
      <c r="B960" s="25" t="s">
        <v>4276</v>
      </c>
      <c r="C960" s="8" t="s">
        <v>4277</v>
      </c>
      <c r="D960" s="8" t="s">
        <v>3879</v>
      </c>
    </row>
    <row r="961" spans="1:4" ht="36" customHeight="1">
      <c r="A961" s="26">
        <v>956</v>
      </c>
      <c r="B961" s="25" t="s">
        <v>4507</v>
      </c>
      <c r="C961" s="8" t="s">
        <v>4508</v>
      </c>
      <c r="D961" s="8" t="s">
        <v>3879</v>
      </c>
    </row>
    <row r="962" spans="1:4" ht="36" customHeight="1">
      <c r="A962" s="26">
        <v>957</v>
      </c>
      <c r="B962" s="25" t="s">
        <v>4072</v>
      </c>
      <c r="C962" s="8" t="s">
        <v>4073</v>
      </c>
      <c r="D962" s="8" t="s">
        <v>3879</v>
      </c>
    </row>
    <row r="963" spans="1:4" ht="36" customHeight="1">
      <c r="A963" s="26">
        <v>958</v>
      </c>
      <c r="B963" s="25" t="s">
        <v>4225</v>
      </c>
      <c r="C963" s="8" t="s">
        <v>4226</v>
      </c>
      <c r="D963" s="8" t="s">
        <v>3879</v>
      </c>
    </row>
    <row r="964" spans="1:4" ht="36" customHeight="1">
      <c r="A964" s="26">
        <v>959</v>
      </c>
      <c r="B964" s="25" t="s">
        <v>4225</v>
      </c>
      <c r="C964" s="8" t="s">
        <v>4226</v>
      </c>
      <c r="D964" s="8" t="s">
        <v>3879</v>
      </c>
    </row>
    <row r="965" spans="1:4" ht="36" customHeight="1">
      <c r="A965" s="26">
        <v>960</v>
      </c>
      <c r="B965" s="25" t="s">
        <v>4509</v>
      </c>
      <c r="C965" s="8" t="s">
        <v>4510</v>
      </c>
      <c r="D965" s="8" t="s">
        <v>3879</v>
      </c>
    </row>
    <row r="966" spans="1:4" ht="36" customHeight="1">
      <c r="A966" s="26">
        <v>961</v>
      </c>
      <c r="B966" s="25" t="s">
        <v>4509</v>
      </c>
      <c r="C966" s="8" t="s">
        <v>4510</v>
      </c>
      <c r="D966" s="8" t="s">
        <v>3879</v>
      </c>
    </row>
    <row r="967" spans="1:4" ht="36" customHeight="1">
      <c r="A967" s="26">
        <v>962</v>
      </c>
      <c r="B967" s="25" t="s">
        <v>4509</v>
      </c>
      <c r="C967" s="8" t="s">
        <v>4510</v>
      </c>
      <c r="D967" s="8" t="s">
        <v>3879</v>
      </c>
    </row>
    <row r="968" spans="1:4" ht="36" customHeight="1">
      <c r="A968" s="26">
        <v>963</v>
      </c>
      <c r="B968" s="25" t="s">
        <v>4511</v>
      </c>
      <c r="C968" s="8" t="s">
        <v>4512</v>
      </c>
      <c r="D968" s="8" t="s">
        <v>3879</v>
      </c>
    </row>
    <row r="969" spans="1:4" ht="36" customHeight="1">
      <c r="A969" s="26">
        <v>964</v>
      </c>
      <c r="B969" s="25" t="s">
        <v>4513</v>
      </c>
      <c r="C969" s="8" t="s">
        <v>4514</v>
      </c>
      <c r="D969" s="8" t="s">
        <v>3879</v>
      </c>
    </row>
    <row r="970" spans="1:4" ht="36" customHeight="1">
      <c r="A970" s="26">
        <v>965</v>
      </c>
      <c r="B970" s="25" t="s">
        <v>4306</v>
      </c>
      <c r="C970" s="8" t="s">
        <v>4307</v>
      </c>
      <c r="D970" s="8" t="s">
        <v>3879</v>
      </c>
    </row>
    <row r="971" spans="1:4" ht="36" customHeight="1">
      <c r="A971" s="26">
        <v>966</v>
      </c>
      <c r="B971" s="25" t="s">
        <v>3939</v>
      </c>
      <c r="C971" s="8" t="s">
        <v>3940</v>
      </c>
      <c r="D971" s="8" t="s">
        <v>3879</v>
      </c>
    </row>
    <row r="972" spans="1:4" ht="36" customHeight="1">
      <c r="A972" s="26">
        <v>967</v>
      </c>
      <c r="B972" s="25" t="s">
        <v>3939</v>
      </c>
      <c r="C972" s="8" t="s">
        <v>3940</v>
      </c>
      <c r="D972" s="8" t="s">
        <v>3879</v>
      </c>
    </row>
    <row r="973" spans="1:4" ht="36" customHeight="1">
      <c r="A973" s="26">
        <v>968</v>
      </c>
      <c r="B973" s="25" t="s">
        <v>4310</v>
      </c>
      <c r="C973" s="8" t="s">
        <v>4311</v>
      </c>
      <c r="D973" s="8" t="s">
        <v>3879</v>
      </c>
    </row>
    <row r="974" spans="1:4" ht="36" customHeight="1">
      <c r="A974" s="26">
        <v>969</v>
      </c>
      <c r="B974" s="25" t="s">
        <v>3916</v>
      </c>
      <c r="C974" s="8" t="s">
        <v>3917</v>
      </c>
      <c r="D974" s="8" t="s">
        <v>3879</v>
      </c>
    </row>
    <row r="975" spans="1:4" ht="36" customHeight="1">
      <c r="A975" s="26">
        <v>970</v>
      </c>
      <c r="B975" s="25" t="s">
        <v>4515</v>
      </c>
      <c r="C975" s="8" t="s">
        <v>4516</v>
      </c>
      <c r="D975" s="8" t="s">
        <v>3879</v>
      </c>
    </row>
    <row r="976" spans="1:4" ht="36" customHeight="1">
      <c r="A976" s="26">
        <v>971</v>
      </c>
      <c r="B976" s="25" t="s">
        <v>4515</v>
      </c>
      <c r="C976" s="8" t="s">
        <v>4516</v>
      </c>
      <c r="D976" s="8" t="s">
        <v>3879</v>
      </c>
    </row>
    <row r="977" spans="1:4" ht="36" customHeight="1">
      <c r="A977" s="26">
        <v>972</v>
      </c>
      <c r="B977" s="25" t="s">
        <v>4515</v>
      </c>
      <c r="C977" s="8" t="s">
        <v>4516</v>
      </c>
      <c r="D977" s="8" t="s">
        <v>3879</v>
      </c>
    </row>
    <row r="978" spans="1:4" ht="36" customHeight="1">
      <c r="A978" s="26">
        <v>973</v>
      </c>
      <c r="B978" s="25" t="s">
        <v>4262</v>
      </c>
      <c r="C978" s="8" t="s">
        <v>4263</v>
      </c>
      <c r="D978" s="8" t="s">
        <v>3879</v>
      </c>
    </row>
    <row r="979" spans="1:4" ht="36" customHeight="1">
      <c r="A979" s="26">
        <v>974</v>
      </c>
      <c r="B979" s="25" t="s">
        <v>4262</v>
      </c>
      <c r="C979" s="8" t="s">
        <v>4263</v>
      </c>
      <c r="D979" s="8" t="s">
        <v>3879</v>
      </c>
    </row>
    <row r="980" spans="1:4" ht="36" customHeight="1">
      <c r="A980" s="26">
        <v>975</v>
      </c>
      <c r="B980" s="25" t="s">
        <v>4517</v>
      </c>
      <c r="C980" s="8" t="s">
        <v>4518</v>
      </c>
      <c r="D980" s="8" t="s">
        <v>3879</v>
      </c>
    </row>
    <row r="981" spans="1:4" ht="36" customHeight="1">
      <c r="A981" s="26">
        <v>976</v>
      </c>
      <c r="B981" s="25" t="s">
        <v>4519</v>
      </c>
      <c r="C981" s="8" t="s">
        <v>4520</v>
      </c>
      <c r="D981" s="8" t="s">
        <v>3879</v>
      </c>
    </row>
    <row r="982" spans="1:4" ht="36" customHeight="1">
      <c r="A982" s="26">
        <v>977</v>
      </c>
      <c r="B982" s="25" t="s">
        <v>4519</v>
      </c>
      <c r="C982" s="8" t="s">
        <v>4520</v>
      </c>
      <c r="D982" s="8" t="s">
        <v>3879</v>
      </c>
    </row>
    <row r="983" spans="1:4" ht="36" customHeight="1">
      <c r="A983" s="26">
        <v>978</v>
      </c>
      <c r="B983" s="25" t="s">
        <v>2655</v>
      </c>
      <c r="C983" s="8" t="s">
        <v>2656</v>
      </c>
      <c r="D983" s="8" t="s">
        <v>3879</v>
      </c>
    </row>
    <row r="984" spans="1:4" ht="36" customHeight="1">
      <c r="A984" s="26">
        <v>979</v>
      </c>
      <c r="B984" s="25" t="s">
        <v>4521</v>
      </c>
      <c r="C984" s="8" t="s">
        <v>4522</v>
      </c>
      <c r="D984" s="8" t="s">
        <v>3879</v>
      </c>
    </row>
    <row r="985" spans="1:4" ht="36" customHeight="1">
      <c r="A985" s="26">
        <v>980</v>
      </c>
      <c r="B985" s="25" t="s">
        <v>4523</v>
      </c>
      <c r="C985" s="8" t="s">
        <v>4524</v>
      </c>
      <c r="D985" s="8" t="s">
        <v>3879</v>
      </c>
    </row>
    <row r="986" spans="1:4" ht="36" customHeight="1">
      <c r="A986" s="26">
        <v>981</v>
      </c>
      <c r="B986" s="25" t="s">
        <v>4525</v>
      </c>
      <c r="C986" s="8" t="s">
        <v>4526</v>
      </c>
      <c r="D986" s="8" t="s">
        <v>3879</v>
      </c>
    </row>
    <row r="987" spans="1:4" ht="36" customHeight="1">
      <c r="A987" s="26">
        <v>982</v>
      </c>
      <c r="B987" s="25" t="s">
        <v>4527</v>
      </c>
      <c r="C987" s="8" t="s">
        <v>4528</v>
      </c>
      <c r="D987" s="8" t="s">
        <v>3879</v>
      </c>
    </row>
    <row r="988" spans="1:4" ht="36" customHeight="1">
      <c r="A988" s="26">
        <v>983</v>
      </c>
      <c r="B988" s="25" t="s">
        <v>4527</v>
      </c>
      <c r="C988" s="8" t="s">
        <v>4528</v>
      </c>
      <c r="D988" s="8" t="s">
        <v>3879</v>
      </c>
    </row>
    <row r="989" spans="1:4" ht="36" customHeight="1">
      <c r="A989" s="26">
        <v>984</v>
      </c>
      <c r="B989" s="25" t="s">
        <v>4527</v>
      </c>
      <c r="C989" s="8" t="s">
        <v>4528</v>
      </c>
      <c r="D989" s="8" t="s">
        <v>3879</v>
      </c>
    </row>
    <row r="990" spans="1:4" ht="36" customHeight="1">
      <c r="A990" s="26">
        <v>985</v>
      </c>
      <c r="B990" s="25" t="s">
        <v>4527</v>
      </c>
      <c r="C990" s="8" t="s">
        <v>4528</v>
      </c>
      <c r="D990" s="8" t="s">
        <v>3879</v>
      </c>
    </row>
    <row r="991" spans="1:4" ht="36" customHeight="1">
      <c r="A991" s="26">
        <v>986</v>
      </c>
      <c r="B991" s="25" t="s">
        <v>4527</v>
      </c>
      <c r="C991" s="8" t="s">
        <v>4528</v>
      </c>
      <c r="D991" s="8" t="s">
        <v>3879</v>
      </c>
    </row>
    <row r="992" spans="1:4" ht="36" customHeight="1">
      <c r="A992" s="26">
        <v>987</v>
      </c>
      <c r="B992" s="25" t="s">
        <v>4529</v>
      </c>
      <c r="C992" s="8" t="s">
        <v>4530</v>
      </c>
      <c r="D992" s="8" t="s">
        <v>3879</v>
      </c>
    </row>
    <row r="993" spans="1:4" ht="36" customHeight="1">
      <c r="A993" s="26">
        <v>988</v>
      </c>
      <c r="B993" s="25" t="s">
        <v>2691</v>
      </c>
      <c r="C993" s="8" t="s">
        <v>2692</v>
      </c>
      <c r="D993" s="8" t="s">
        <v>3879</v>
      </c>
    </row>
    <row r="994" spans="1:4" ht="36" customHeight="1">
      <c r="A994" s="26">
        <v>989</v>
      </c>
      <c r="B994" s="25" t="s">
        <v>2691</v>
      </c>
      <c r="C994" s="8" t="s">
        <v>2692</v>
      </c>
      <c r="D994" s="8" t="s">
        <v>3879</v>
      </c>
    </row>
    <row r="995" spans="1:4" ht="36" customHeight="1">
      <c r="A995" s="26">
        <v>990</v>
      </c>
      <c r="B995" s="25" t="s">
        <v>4531</v>
      </c>
      <c r="C995" s="8" t="s">
        <v>4532</v>
      </c>
      <c r="D995" s="8" t="s">
        <v>3879</v>
      </c>
    </row>
    <row r="996" spans="1:4" ht="36" customHeight="1">
      <c r="A996" s="26">
        <v>991</v>
      </c>
      <c r="B996" s="25" t="s">
        <v>4533</v>
      </c>
      <c r="C996" s="8" t="s">
        <v>4534</v>
      </c>
      <c r="D996" s="8" t="s">
        <v>3879</v>
      </c>
    </row>
    <row r="997" spans="1:4" ht="36" customHeight="1">
      <c r="A997" s="26">
        <v>992</v>
      </c>
      <c r="B997" s="25" t="s">
        <v>4535</v>
      </c>
      <c r="C997" s="8" t="s">
        <v>4536</v>
      </c>
      <c r="D997" s="8" t="s">
        <v>3879</v>
      </c>
    </row>
    <row r="998" spans="1:4" ht="36" customHeight="1">
      <c r="A998" s="26">
        <v>993</v>
      </c>
      <c r="B998" s="25" t="s">
        <v>4537</v>
      </c>
      <c r="C998" s="8" t="s">
        <v>4538</v>
      </c>
      <c r="D998" s="8" t="s">
        <v>3879</v>
      </c>
    </row>
    <row r="999" spans="1:4" ht="36" customHeight="1">
      <c r="A999" s="26">
        <v>994</v>
      </c>
      <c r="B999" s="25" t="s">
        <v>4537</v>
      </c>
      <c r="C999" s="8" t="s">
        <v>4538</v>
      </c>
      <c r="D999" s="8" t="s">
        <v>3879</v>
      </c>
    </row>
    <row r="1000" spans="1:4" ht="36" customHeight="1">
      <c r="A1000" s="26">
        <v>995</v>
      </c>
      <c r="B1000" s="25" t="s">
        <v>3970</v>
      </c>
      <c r="C1000" s="8" t="s">
        <v>3971</v>
      </c>
      <c r="D1000" s="8" t="s">
        <v>3879</v>
      </c>
    </row>
    <row r="1001" spans="1:4" ht="36" customHeight="1">
      <c r="A1001" s="26">
        <v>996</v>
      </c>
      <c r="B1001" s="25" t="s">
        <v>4278</v>
      </c>
      <c r="C1001" s="8" t="s">
        <v>4279</v>
      </c>
      <c r="D1001" s="8" t="s">
        <v>3879</v>
      </c>
    </row>
    <row r="1002" spans="1:4" ht="36" customHeight="1">
      <c r="A1002" s="26">
        <v>997</v>
      </c>
      <c r="B1002" s="25" t="s">
        <v>4539</v>
      </c>
      <c r="C1002" s="8" t="s">
        <v>4540</v>
      </c>
      <c r="D1002" s="8" t="s">
        <v>3879</v>
      </c>
    </row>
    <row r="1003" spans="1:4" ht="36" customHeight="1">
      <c r="A1003" s="26">
        <v>998</v>
      </c>
      <c r="B1003" s="25" t="s">
        <v>4541</v>
      </c>
      <c r="C1003" s="8" t="s">
        <v>4542</v>
      </c>
      <c r="D1003" s="8" t="s">
        <v>3879</v>
      </c>
    </row>
    <row r="1004" spans="1:4" ht="36" customHeight="1">
      <c r="A1004" s="26">
        <v>999</v>
      </c>
      <c r="B1004" s="25" t="s">
        <v>4543</v>
      </c>
      <c r="C1004" s="8" t="s">
        <v>4544</v>
      </c>
      <c r="D1004" s="8" t="s">
        <v>3879</v>
      </c>
    </row>
    <row r="1005" spans="1:4" ht="36" customHeight="1">
      <c r="A1005" s="26">
        <v>1000</v>
      </c>
      <c r="B1005" s="25" t="s">
        <v>4545</v>
      </c>
      <c r="C1005" s="8" t="s">
        <v>4546</v>
      </c>
      <c r="D1005" s="8" t="s">
        <v>3879</v>
      </c>
    </row>
    <row r="1006" spans="1:4" ht="36" customHeight="1">
      <c r="A1006" s="26">
        <v>1001</v>
      </c>
      <c r="B1006" s="25" t="s">
        <v>4547</v>
      </c>
      <c r="C1006" s="8" t="s">
        <v>4548</v>
      </c>
      <c r="D1006" s="8" t="s">
        <v>3879</v>
      </c>
    </row>
    <row r="1007" spans="1:4" ht="36" customHeight="1">
      <c r="A1007" s="26">
        <v>1002</v>
      </c>
      <c r="B1007" s="25" t="s">
        <v>4547</v>
      </c>
      <c r="C1007" s="8" t="s">
        <v>4548</v>
      </c>
      <c r="D1007" s="8" t="s">
        <v>3879</v>
      </c>
    </row>
    <row r="1008" spans="1:4" ht="36" customHeight="1">
      <c r="A1008" s="26">
        <v>1003</v>
      </c>
      <c r="B1008" s="25" t="s">
        <v>4549</v>
      </c>
      <c r="C1008" s="8" t="s">
        <v>4550</v>
      </c>
      <c r="D1008" s="8" t="s">
        <v>3879</v>
      </c>
    </row>
    <row r="1009" spans="1:4" ht="36" customHeight="1">
      <c r="A1009" s="26">
        <v>1004</v>
      </c>
      <c r="B1009" s="25" t="s">
        <v>4264</v>
      </c>
      <c r="C1009" s="8" t="s">
        <v>4265</v>
      </c>
      <c r="D1009" s="8" t="s">
        <v>3879</v>
      </c>
    </row>
    <row r="1010" spans="1:4" ht="36" customHeight="1">
      <c r="A1010" s="26">
        <v>1005</v>
      </c>
      <c r="B1010" s="25" t="s">
        <v>4264</v>
      </c>
      <c r="C1010" s="8" t="s">
        <v>4265</v>
      </c>
      <c r="D1010" s="8" t="s">
        <v>3879</v>
      </c>
    </row>
    <row r="1011" spans="1:4" ht="36" customHeight="1">
      <c r="A1011" s="26">
        <v>1006</v>
      </c>
      <c r="B1011" s="25" t="s">
        <v>2700</v>
      </c>
      <c r="C1011" s="8" t="s">
        <v>2701</v>
      </c>
      <c r="D1011" s="8" t="s">
        <v>3879</v>
      </c>
    </row>
    <row r="1012" spans="1:4" ht="36" customHeight="1">
      <c r="A1012" s="26">
        <v>1007</v>
      </c>
      <c r="B1012" s="25" t="s">
        <v>2379</v>
      </c>
      <c r="C1012" s="8" t="s">
        <v>2380</v>
      </c>
      <c r="D1012" s="8" t="s">
        <v>3879</v>
      </c>
    </row>
    <row r="1013" spans="1:4" ht="36" customHeight="1">
      <c r="A1013" s="26">
        <v>1008</v>
      </c>
      <c r="B1013" s="25" t="s">
        <v>3967</v>
      </c>
      <c r="C1013" s="8" t="s">
        <v>3968</v>
      </c>
      <c r="D1013" s="8" t="s">
        <v>3879</v>
      </c>
    </row>
    <row r="1014" spans="1:4" ht="36" customHeight="1">
      <c r="A1014" s="26">
        <v>1009</v>
      </c>
      <c r="B1014" s="25" t="s">
        <v>4551</v>
      </c>
      <c r="C1014" s="8" t="s">
        <v>4552</v>
      </c>
      <c r="D1014" s="8" t="s">
        <v>3879</v>
      </c>
    </row>
    <row r="1015" spans="1:4" ht="36" customHeight="1">
      <c r="A1015" s="26">
        <v>1010</v>
      </c>
      <c r="B1015" s="25" t="s">
        <v>4553</v>
      </c>
      <c r="C1015" s="8" t="s">
        <v>4554</v>
      </c>
      <c r="D1015" s="8" t="s">
        <v>3879</v>
      </c>
    </row>
    <row r="1016" spans="1:4" ht="36" customHeight="1">
      <c r="A1016" s="26">
        <v>1011</v>
      </c>
      <c r="B1016" s="25" t="s">
        <v>4555</v>
      </c>
      <c r="C1016" s="8" t="s">
        <v>4556</v>
      </c>
      <c r="D1016" s="8" t="s">
        <v>3879</v>
      </c>
    </row>
    <row r="1017" spans="1:4" ht="36" customHeight="1">
      <c r="A1017" s="26">
        <v>1012</v>
      </c>
      <c r="B1017" s="25" t="s">
        <v>4557</v>
      </c>
      <c r="C1017" s="8" t="s">
        <v>4558</v>
      </c>
      <c r="D1017" s="8" t="s">
        <v>3879</v>
      </c>
    </row>
    <row r="1018" spans="1:4" ht="36" customHeight="1">
      <c r="A1018" s="26">
        <v>1013</v>
      </c>
      <c r="B1018" s="25" t="s">
        <v>4559</v>
      </c>
      <c r="C1018" s="8" t="s">
        <v>4560</v>
      </c>
      <c r="D1018" s="8" t="s">
        <v>3879</v>
      </c>
    </row>
    <row r="1019" spans="1:4" ht="36" customHeight="1">
      <c r="A1019" s="26">
        <v>1014</v>
      </c>
      <c r="B1019" s="25" t="s">
        <v>4561</v>
      </c>
      <c r="C1019" s="8" t="s">
        <v>4562</v>
      </c>
      <c r="D1019" s="8" t="s">
        <v>3879</v>
      </c>
    </row>
    <row r="1020" spans="1:4" ht="36" customHeight="1">
      <c r="A1020" s="26">
        <v>1015</v>
      </c>
      <c r="B1020" s="25" t="s">
        <v>4563</v>
      </c>
      <c r="C1020" s="8" t="s">
        <v>4564</v>
      </c>
      <c r="D1020" s="8" t="s">
        <v>3879</v>
      </c>
    </row>
    <row r="1021" spans="1:4" ht="36" customHeight="1">
      <c r="A1021" s="26">
        <v>1016</v>
      </c>
      <c r="B1021" s="25" t="s">
        <v>4565</v>
      </c>
      <c r="C1021" s="8" t="s">
        <v>4566</v>
      </c>
      <c r="D1021" s="8" t="s">
        <v>3868</v>
      </c>
    </row>
    <row r="1022" spans="1:4" ht="36" customHeight="1">
      <c r="A1022" s="26">
        <v>1017</v>
      </c>
      <c r="B1022" s="25" t="s">
        <v>4567</v>
      </c>
      <c r="C1022" s="8" t="s">
        <v>4568</v>
      </c>
      <c r="D1022" s="8" t="s">
        <v>3868</v>
      </c>
    </row>
    <row r="1023" spans="1:4" ht="36" customHeight="1">
      <c r="A1023" s="26">
        <v>1018</v>
      </c>
      <c r="B1023" s="25" t="s">
        <v>3039</v>
      </c>
      <c r="C1023" s="8" t="s">
        <v>3040</v>
      </c>
      <c r="D1023" s="8" t="s">
        <v>3868</v>
      </c>
    </row>
    <row r="1024" spans="1:4" ht="36" customHeight="1">
      <c r="A1024" s="26">
        <v>1019</v>
      </c>
      <c r="B1024" s="25" t="s">
        <v>2382</v>
      </c>
      <c r="C1024" s="8" t="s">
        <v>2383</v>
      </c>
      <c r="D1024" s="8" t="s">
        <v>3868</v>
      </c>
    </row>
    <row r="1025" spans="1:4" ht="36" customHeight="1">
      <c r="A1025" s="26">
        <v>1020</v>
      </c>
      <c r="B1025" s="25" t="s">
        <v>4569</v>
      </c>
      <c r="C1025" s="8" t="s">
        <v>4570</v>
      </c>
      <c r="D1025" s="8" t="s">
        <v>3868</v>
      </c>
    </row>
    <row r="1026" spans="1:4" ht="36" customHeight="1">
      <c r="A1026" s="26">
        <v>1021</v>
      </c>
      <c r="B1026" s="25" t="s">
        <v>3064</v>
      </c>
      <c r="C1026" s="8" t="s">
        <v>3065</v>
      </c>
      <c r="D1026" s="8" t="s">
        <v>3868</v>
      </c>
    </row>
    <row r="1027" spans="1:4" ht="36" customHeight="1">
      <c r="A1027" s="26">
        <v>1022</v>
      </c>
      <c r="B1027" s="25" t="s">
        <v>4571</v>
      </c>
      <c r="C1027" s="8" t="s">
        <v>4572</v>
      </c>
      <c r="D1027" s="8" t="s">
        <v>3868</v>
      </c>
    </row>
    <row r="1028" spans="1:4" ht="36" customHeight="1">
      <c r="A1028" s="26">
        <v>1023</v>
      </c>
      <c r="B1028" s="25" t="s">
        <v>2509</v>
      </c>
      <c r="C1028" s="8" t="s">
        <v>2510</v>
      </c>
      <c r="D1028" s="8" t="s">
        <v>3868</v>
      </c>
    </row>
    <row r="1029" spans="1:4" ht="36" customHeight="1">
      <c r="A1029" s="26">
        <v>1024</v>
      </c>
      <c r="B1029" s="25" t="s">
        <v>4573</v>
      </c>
      <c r="C1029" s="8" t="s">
        <v>4574</v>
      </c>
      <c r="D1029" s="8" t="s">
        <v>3868</v>
      </c>
    </row>
    <row r="1030" spans="1:4" ht="36" customHeight="1">
      <c r="A1030" s="26">
        <v>1025</v>
      </c>
      <c r="B1030" s="25" t="s">
        <v>4575</v>
      </c>
      <c r="C1030" s="8" t="s">
        <v>4576</v>
      </c>
      <c r="D1030" s="8" t="s">
        <v>3868</v>
      </c>
    </row>
    <row r="1031" spans="1:4" ht="36" customHeight="1">
      <c r="A1031" s="26">
        <v>1026</v>
      </c>
      <c r="B1031" s="25" t="s">
        <v>4577</v>
      </c>
      <c r="C1031" s="8" t="s">
        <v>4578</v>
      </c>
      <c r="D1031" s="8" t="s">
        <v>3868</v>
      </c>
    </row>
    <row r="1032" spans="1:4" ht="36" customHeight="1">
      <c r="A1032" s="26">
        <v>1027</v>
      </c>
      <c r="B1032" s="25" t="s">
        <v>4579</v>
      </c>
      <c r="C1032" s="8" t="s">
        <v>4580</v>
      </c>
      <c r="D1032" s="8" t="s">
        <v>3868</v>
      </c>
    </row>
    <row r="1033" spans="1:4" ht="36" customHeight="1">
      <c r="A1033" s="26">
        <v>1028</v>
      </c>
      <c r="B1033" s="25" t="s">
        <v>3016</v>
      </c>
      <c r="C1033" s="8" t="s">
        <v>3017</v>
      </c>
      <c r="D1033" s="8" t="s">
        <v>3868</v>
      </c>
    </row>
    <row r="1034" spans="1:4" ht="36" customHeight="1">
      <c r="A1034" s="26">
        <v>1029</v>
      </c>
      <c r="B1034" s="25" t="s">
        <v>3067</v>
      </c>
      <c r="C1034" s="8" t="s">
        <v>3068</v>
      </c>
      <c r="D1034" s="8" t="s">
        <v>3868</v>
      </c>
    </row>
    <row r="1035" spans="1:4" ht="36" customHeight="1">
      <c r="A1035" s="26">
        <v>1030</v>
      </c>
      <c r="B1035" s="25" t="s">
        <v>3022</v>
      </c>
      <c r="C1035" s="8" t="s">
        <v>3023</v>
      </c>
      <c r="D1035" s="8" t="s">
        <v>3868</v>
      </c>
    </row>
    <row r="1036" spans="1:4" ht="36" customHeight="1">
      <c r="A1036" s="26">
        <v>1031</v>
      </c>
      <c r="B1036" s="25" t="s">
        <v>4581</v>
      </c>
      <c r="C1036" s="8" t="s">
        <v>4582</v>
      </c>
      <c r="D1036" s="8" t="s">
        <v>3868</v>
      </c>
    </row>
    <row r="1037" spans="1:4" ht="36" customHeight="1">
      <c r="A1037" s="26">
        <v>1032</v>
      </c>
      <c r="B1037" s="25" t="s">
        <v>4583</v>
      </c>
      <c r="C1037" s="8" t="s">
        <v>4584</v>
      </c>
      <c r="D1037" s="8" t="s">
        <v>3868</v>
      </c>
    </row>
    <row r="1038" spans="1:4" ht="36" customHeight="1">
      <c r="A1038" s="26">
        <v>1033</v>
      </c>
      <c r="B1038" s="25" t="s">
        <v>4585</v>
      </c>
      <c r="C1038" s="8" t="s">
        <v>4586</v>
      </c>
      <c r="D1038" s="8" t="s">
        <v>3868</v>
      </c>
    </row>
    <row r="1039" spans="1:4" ht="36" customHeight="1">
      <c r="A1039" s="26">
        <v>1034</v>
      </c>
      <c r="B1039" s="25" t="s">
        <v>4587</v>
      </c>
      <c r="C1039" s="8" t="s">
        <v>4588</v>
      </c>
      <c r="D1039" s="8" t="s">
        <v>3868</v>
      </c>
    </row>
    <row r="1040" spans="1:4" ht="36" customHeight="1">
      <c r="A1040" s="26">
        <v>1035</v>
      </c>
      <c r="B1040" s="25" t="s">
        <v>4589</v>
      </c>
      <c r="C1040" s="8" t="s">
        <v>4590</v>
      </c>
      <c r="D1040" s="8" t="s">
        <v>3868</v>
      </c>
    </row>
    <row r="1041" spans="1:4" ht="36" customHeight="1">
      <c r="A1041" s="26">
        <v>1036</v>
      </c>
      <c r="B1041" s="25" t="s">
        <v>4591</v>
      </c>
      <c r="C1041" s="8" t="s">
        <v>4592</v>
      </c>
      <c r="D1041" s="8" t="s">
        <v>3868</v>
      </c>
    </row>
    <row r="1042" spans="1:4" ht="36" customHeight="1">
      <c r="A1042" s="26">
        <v>1037</v>
      </c>
      <c r="B1042" s="25" t="s">
        <v>4593</v>
      </c>
      <c r="C1042" s="8" t="s">
        <v>4594</v>
      </c>
      <c r="D1042" s="8" t="s">
        <v>3868</v>
      </c>
    </row>
    <row r="1043" spans="1:4" ht="36" customHeight="1">
      <c r="A1043" s="26">
        <v>1038</v>
      </c>
      <c r="B1043" s="25" t="s">
        <v>4595</v>
      </c>
      <c r="C1043" s="8" t="s">
        <v>4596</v>
      </c>
      <c r="D1043" s="8" t="s">
        <v>3868</v>
      </c>
    </row>
    <row r="1044" spans="1:4" ht="36" customHeight="1">
      <c r="A1044" s="26">
        <v>1039</v>
      </c>
      <c r="B1044" s="25" t="s">
        <v>4597</v>
      </c>
      <c r="C1044" s="8" t="s">
        <v>4598</v>
      </c>
      <c r="D1044" s="8" t="s">
        <v>3868</v>
      </c>
    </row>
    <row r="1045" spans="1:4" ht="36" customHeight="1">
      <c r="A1045" s="26">
        <v>1040</v>
      </c>
      <c r="B1045" s="25" t="s">
        <v>4599</v>
      </c>
      <c r="C1045" s="8" t="s">
        <v>4600</v>
      </c>
      <c r="D1045" s="8" t="s">
        <v>3868</v>
      </c>
    </row>
    <row r="1046" spans="1:4" ht="36" customHeight="1">
      <c r="A1046" s="26">
        <v>1041</v>
      </c>
      <c r="B1046" s="25" t="s">
        <v>4601</v>
      </c>
      <c r="C1046" s="8" t="s">
        <v>4602</v>
      </c>
      <c r="D1046" s="8" t="s">
        <v>3868</v>
      </c>
    </row>
    <row r="1047" spans="1:4" ht="36" customHeight="1">
      <c r="A1047" s="26">
        <v>1042</v>
      </c>
      <c r="B1047" s="25" t="s">
        <v>4603</v>
      </c>
      <c r="C1047" s="8" t="s">
        <v>4604</v>
      </c>
      <c r="D1047" s="8" t="s">
        <v>3868</v>
      </c>
    </row>
    <row r="1048" spans="1:4" ht="36" customHeight="1">
      <c r="A1048" s="26">
        <v>1043</v>
      </c>
      <c r="B1048" s="25" t="s">
        <v>4605</v>
      </c>
      <c r="C1048" s="8" t="s">
        <v>4606</v>
      </c>
      <c r="D1048" s="8" t="s">
        <v>3868</v>
      </c>
    </row>
    <row r="1049" spans="1:4" ht="36" customHeight="1">
      <c r="A1049" s="26">
        <v>1044</v>
      </c>
      <c r="B1049" s="25" t="s">
        <v>4607</v>
      </c>
      <c r="C1049" s="8" t="s">
        <v>4608</v>
      </c>
      <c r="D1049" s="8" t="s">
        <v>3868</v>
      </c>
    </row>
    <row r="1050" spans="1:4" ht="36" customHeight="1">
      <c r="A1050" s="26">
        <v>1045</v>
      </c>
      <c r="B1050" s="25" t="s">
        <v>4609</v>
      </c>
      <c r="C1050" s="8" t="s">
        <v>4610</v>
      </c>
      <c r="D1050" s="8" t="s">
        <v>3868</v>
      </c>
    </row>
    <row r="1051" spans="1:4" ht="36" customHeight="1">
      <c r="A1051" s="26">
        <v>1046</v>
      </c>
      <c r="B1051" s="25" t="s">
        <v>2947</v>
      </c>
      <c r="C1051" s="8" t="s">
        <v>2948</v>
      </c>
      <c r="D1051" s="8" t="s">
        <v>3868</v>
      </c>
    </row>
    <row r="1052" spans="1:4" ht="36" customHeight="1">
      <c r="A1052" s="26">
        <v>1047</v>
      </c>
      <c r="B1052" s="25" t="s">
        <v>4611</v>
      </c>
      <c r="C1052" s="8" t="s">
        <v>4612</v>
      </c>
      <c r="D1052" s="8" t="s">
        <v>3868</v>
      </c>
    </row>
    <row r="1053" spans="1:4" ht="36" customHeight="1">
      <c r="A1053" s="26">
        <v>1048</v>
      </c>
      <c r="B1053" s="25" t="s">
        <v>2875</v>
      </c>
      <c r="C1053" s="8" t="s">
        <v>2876</v>
      </c>
      <c r="D1053" s="8" t="s">
        <v>3868</v>
      </c>
    </row>
    <row r="1054" spans="1:4" ht="36" customHeight="1">
      <c r="A1054" s="26">
        <v>1049</v>
      </c>
      <c r="B1054" s="25" t="s">
        <v>4613</v>
      </c>
      <c r="C1054" s="8" t="s">
        <v>4614</v>
      </c>
      <c r="D1054" s="8" t="s">
        <v>3868</v>
      </c>
    </row>
    <row r="1055" spans="1:4" ht="36" customHeight="1">
      <c r="A1055" s="26">
        <v>1050</v>
      </c>
      <c r="B1055" s="25" t="s">
        <v>4615</v>
      </c>
      <c r="C1055" s="8" t="s">
        <v>4616</v>
      </c>
      <c r="D1055" s="8" t="s">
        <v>3868</v>
      </c>
    </row>
    <row r="1056" spans="1:4" ht="36" customHeight="1">
      <c r="A1056" s="26">
        <v>1051</v>
      </c>
      <c r="B1056" s="25" t="s">
        <v>3052</v>
      </c>
      <c r="C1056" s="8" t="s">
        <v>3053</v>
      </c>
      <c r="D1056" s="8" t="s">
        <v>3868</v>
      </c>
    </row>
    <row r="1057" spans="1:4" ht="36" customHeight="1">
      <c r="A1057" s="26">
        <v>1052</v>
      </c>
      <c r="B1057" s="25" t="s">
        <v>4617</v>
      </c>
      <c r="C1057" s="8" t="s">
        <v>4618</v>
      </c>
      <c r="D1057" s="8" t="s">
        <v>3868</v>
      </c>
    </row>
    <row r="1058" spans="1:4" ht="36" customHeight="1">
      <c r="A1058" s="26">
        <v>1053</v>
      </c>
      <c r="B1058" s="25" t="s">
        <v>4619</v>
      </c>
      <c r="C1058" s="8" t="s">
        <v>4620</v>
      </c>
      <c r="D1058" s="8" t="s">
        <v>3868</v>
      </c>
    </row>
    <row r="1059" spans="1:4" ht="36" customHeight="1">
      <c r="A1059" s="26">
        <v>1054</v>
      </c>
      <c r="B1059" s="25" t="s">
        <v>4621</v>
      </c>
      <c r="C1059" s="8" t="s">
        <v>4622</v>
      </c>
      <c r="D1059" s="8" t="s">
        <v>3868</v>
      </c>
    </row>
    <row r="1060" spans="1:4" ht="36" customHeight="1">
      <c r="A1060" s="26">
        <v>1055</v>
      </c>
      <c r="B1060" s="25" t="s">
        <v>4623</v>
      </c>
      <c r="C1060" s="8" t="s">
        <v>4624</v>
      </c>
      <c r="D1060" s="8" t="s">
        <v>3868</v>
      </c>
    </row>
    <row r="1061" spans="1:4" ht="36" customHeight="1">
      <c r="A1061" s="26">
        <v>1056</v>
      </c>
      <c r="B1061" s="25" t="s">
        <v>4625</v>
      </c>
      <c r="C1061" s="8" t="s">
        <v>4626</v>
      </c>
      <c r="D1061" s="8" t="s">
        <v>3868</v>
      </c>
    </row>
    <row r="1062" spans="1:4" ht="36" customHeight="1">
      <c r="A1062" s="26">
        <v>1057</v>
      </c>
      <c r="B1062" s="25" t="s">
        <v>4627</v>
      </c>
      <c r="C1062" s="8" t="s">
        <v>4628</v>
      </c>
      <c r="D1062" s="8" t="s">
        <v>3868</v>
      </c>
    </row>
    <row r="1063" spans="1:4" ht="36" customHeight="1">
      <c r="A1063" s="26">
        <v>1058</v>
      </c>
      <c r="B1063" s="25" t="s">
        <v>4629</v>
      </c>
      <c r="C1063" s="8" t="s">
        <v>4630</v>
      </c>
      <c r="D1063" s="8" t="s">
        <v>3868</v>
      </c>
    </row>
    <row r="1064" spans="1:4" ht="36" customHeight="1">
      <c r="A1064" s="26">
        <v>1059</v>
      </c>
      <c r="B1064" s="25" t="s">
        <v>4631</v>
      </c>
      <c r="C1064" s="8" t="s">
        <v>4632</v>
      </c>
      <c r="D1064" s="8" t="s">
        <v>3868</v>
      </c>
    </row>
    <row r="1065" spans="1:4" ht="36" customHeight="1">
      <c r="A1065" s="26">
        <v>1060</v>
      </c>
      <c r="B1065" s="25" t="s">
        <v>4633</v>
      </c>
      <c r="C1065" s="8" t="s">
        <v>4634</v>
      </c>
      <c r="D1065" s="8" t="s">
        <v>3868</v>
      </c>
    </row>
    <row r="1066" spans="1:4" ht="36" customHeight="1">
      <c r="A1066" s="26">
        <v>1061</v>
      </c>
      <c r="B1066" s="25" t="s">
        <v>4635</v>
      </c>
      <c r="C1066" s="8" t="s">
        <v>4636</v>
      </c>
      <c r="D1066" s="8" t="s">
        <v>3868</v>
      </c>
    </row>
    <row r="1067" spans="1:4" ht="36" customHeight="1">
      <c r="A1067" s="26">
        <v>1062</v>
      </c>
      <c r="B1067" s="25" t="s">
        <v>4637</v>
      </c>
      <c r="C1067" s="8" t="s">
        <v>4638</v>
      </c>
      <c r="D1067" s="8" t="s">
        <v>3868</v>
      </c>
    </row>
    <row r="1068" spans="1:4" ht="36" customHeight="1">
      <c r="A1068" s="26">
        <v>1063</v>
      </c>
      <c r="B1068" s="25" t="s">
        <v>4639</v>
      </c>
      <c r="C1068" s="8" t="s">
        <v>4640</v>
      </c>
      <c r="D1068" s="8" t="s">
        <v>3868</v>
      </c>
    </row>
    <row r="1069" spans="1:4" ht="36" customHeight="1">
      <c r="A1069" s="26">
        <v>1064</v>
      </c>
      <c r="B1069" s="25" t="s">
        <v>4641</v>
      </c>
      <c r="C1069" s="8" t="s">
        <v>4642</v>
      </c>
      <c r="D1069" s="8" t="s">
        <v>3868</v>
      </c>
    </row>
    <row r="1070" spans="1:4" ht="36" customHeight="1">
      <c r="A1070" s="26">
        <v>1065</v>
      </c>
      <c r="B1070" s="25" t="s">
        <v>4643</v>
      </c>
      <c r="C1070" s="8" t="s">
        <v>4644</v>
      </c>
      <c r="D1070" s="8" t="s">
        <v>3868</v>
      </c>
    </row>
    <row r="1071" spans="1:4" ht="36" customHeight="1">
      <c r="A1071" s="26">
        <v>1066</v>
      </c>
      <c r="B1071" s="25" t="s">
        <v>4645</v>
      </c>
      <c r="C1071" s="8" t="s">
        <v>4646</v>
      </c>
      <c r="D1071" s="8" t="s">
        <v>3868</v>
      </c>
    </row>
    <row r="1072" spans="1:4" ht="36" customHeight="1">
      <c r="A1072" s="26">
        <v>1067</v>
      </c>
      <c r="B1072" s="25" t="s">
        <v>4647</v>
      </c>
      <c r="C1072" s="8" t="s">
        <v>4648</v>
      </c>
      <c r="D1072" s="8" t="s">
        <v>3868</v>
      </c>
    </row>
    <row r="1073" spans="1:4" ht="36" customHeight="1">
      <c r="A1073" s="26">
        <v>1068</v>
      </c>
      <c r="B1073" s="25" t="s">
        <v>4649</v>
      </c>
      <c r="C1073" s="8" t="s">
        <v>4650</v>
      </c>
      <c r="D1073" s="8" t="s">
        <v>3868</v>
      </c>
    </row>
    <row r="1074" spans="1:4" ht="36" customHeight="1">
      <c r="A1074" s="26">
        <v>1069</v>
      </c>
      <c r="B1074" s="25" t="s">
        <v>4651</v>
      </c>
      <c r="C1074" s="8" t="s">
        <v>4652</v>
      </c>
      <c r="D1074" s="8" t="s">
        <v>3868</v>
      </c>
    </row>
    <row r="1075" spans="1:4" ht="36" customHeight="1">
      <c r="A1075" s="26">
        <v>1070</v>
      </c>
      <c r="B1075" s="25" t="s">
        <v>4653</v>
      </c>
      <c r="C1075" s="8" t="s">
        <v>4654</v>
      </c>
      <c r="D1075" s="8" t="s">
        <v>3868</v>
      </c>
    </row>
    <row r="1076" spans="1:4" ht="36" customHeight="1">
      <c r="A1076" s="26">
        <v>1071</v>
      </c>
      <c r="B1076" s="25" t="s">
        <v>4655</v>
      </c>
      <c r="C1076" s="8" t="s">
        <v>4656</v>
      </c>
      <c r="D1076" s="8" t="s">
        <v>3868</v>
      </c>
    </row>
    <row r="1077" spans="1:4" ht="36" customHeight="1">
      <c r="A1077" s="26">
        <v>1072</v>
      </c>
      <c r="B1077" s="25" t="s">
        <v>4657</v>
      </c>
      <c r="C1077" s="8" t="s">
        <v>4658</v>
      </c>
      <c r="D1077" s="8" t="s">
        <v>3868</v>
      </c>
    </row>
    <row r="1078" spans="1:4" ht="36" customHeight="1">
      <c r="A1078" s="26">
        <v>1073</v>
      </c>
      <c r="B1078" s="25" t="s">
        <v>4659</v>
      </c>
      <c r="C1078" s="8" t="s">
        <v>4660</v>
      </c>
      <c r="D1078" s="8" t="s">
        <v>3868</v>
      </c>
    </row>
    <row r="1079" spans="1:4" ht="36" customHeight="1">
      <c r="A1079" s="26">
        <v>1074</v>
      </c>
      <c r="B1079" s="25" t="s">
        <v>4661</v>
      </c>
      <c r="C1079" s="8" t="s">
        <v>4662</v>
      </c>
      <c r="D1079" s="8" t="s">
        <v>3868</v>
      </c>
    </row>
    <row r="1080" spans="1:4" ht="36" customHeight="1">
      <c r="A1080" s="26">
        <v>1075</v>
      </c>
      <c r="B1080" s="25" t="s">
        <v>4663</v>
      </c>
      <c r="C1080" s="8" t="s">
        <v>4664</v>
      </c>
      <c r="D1080" s="8" t="s">
        <v>3868</v>
      </c>
    </row>
    <row r="1081" spans="1:4" ht="36" customHeight="1">
      <c r="A1081" s="26">
        <v>1076</v>
      </c>
      <c r="B1081" s="25" t="s">
        <v>4665</v>
      </c>
      <c r="C1081" s="8" t="s">
        <v>4666</v>
      </c>
      <c r="D1081" s="8" t="s">
        <v>3868</v>
      </c>
    </row>
    <row r="1082" spans="1:4" ht="36" customHeight="1">
      <c r="A1082" s="26">
        <v>1077</v>
      </c>
      <c r="B1082" s="25" t="s">
        <v>4667</v>
      </c>
      <c r="C1082" s="8" t="s">
        <v>4668</v>
      </c>
      <c r="D1082" s="8" t="s">
        <v>3868</v>
      </c>
    </row>
    <row r="1083" spans="1:4" ht="36" customHeight="1">
      <c r="A1083" s="26">
        <v>1078</v>
      </c>
      <c r="B1083" s="25" t="s">
        <v>4669</v>
      </c>
      <c r="C1083" s="8" t="s">
        <v>4670</v>
      </c>
      <c r="D1083" s="8" t="s">
        <v>3868</v>
      </c>
    </row>
    <row r="1084" spans="1:4" ht="36" customHeight="1">
      <c r="A1084" s="26">
        <v>1079</v>
      </c>
      <c r="B1084" s="25" t="s">
        <v>4671</v>
      </c>
      <c r="C1084" s="8" t="s">
        <v>4672</v>
      </c>
      <c r="D1084" s="8" t="s">
        <v>3868</v>
      </c>
    </row>
    <row r="1085" spans="1:4" ht="36" customHeight="1">
      <c r="A1085" s="26">
        <v>1080</v>
      </c>
      <c r="B1085" s="25" t="s">
        <v>4673</v>
      </c>
      <c r="C1085" s="8" t="s">
        <v>4674</v>
      </c>
      <c r="D1085" s="8" t="s">
        <v>3868</v>
      </c>
    </row>
    <row r="1086" spans="1:4" ht="36" customHeight="1">
      <c r="A1086" s="26">
        <v>1081</v>
      </c>
      <c r="B1086" s="25" t="s">
        <v>4675</v>
      </c>
      <c r="C1086" s="8" t="s">
        <v>4676</v>
      </c>
      <c r="D1086" s="8" t="s">
        <v>3868</v>
      </c>
    </row>
    <row r="1087" spans="1:4" ht="36" customHeight="1">
      <c r="A1087" s="26">
        <v>1082</v>
      </c>
      <c r="B1087" s="25" t="s">
        <v>4677</v>
      </c>
      <c r="C1087" s="8" t="s">
        <v>4678</v>
      </c>
      <c r="D1087" s="8" t="s">
        <v>3868</v>
      </c>
    </row>
    <row r="1088" spans="1:4" ht="36" customHeight="1">
      <c r="A1088" s="26">
        <v>1083</v>
      </c>
      <c r="B1088" s="25" t="s">
        <v>4679</v>
      </c>
      <c r="C1088" s="8" t="s">
        <v>4680</v>
      </c>
      <c r="D1088" s="8" t="s">
        <v>3868</v>
      </c>
    </row>
    <row r="1089" spans="1:4" ht="36" customHeight="1">
      <c r="A1089" s="26">
        <v>1084</v>
      </c>
      <c r="B1089" s="25" t="s">
        <v>4681</v>
      </c>
      <c r="C1089" s="8" t="s">
        <v>4682</v>
      </c>
      <c r="D1089" s="8" t="s">
        <v>3868</v>
      </c>
    </row>
    <row r="1090" spans="1:4" ht="36" customHeight="1">
      <c r="A1090" s="26">
        <v>1085</v>
      </c>
      <c r="B1090" s="25" t="s">
        <v>4683</v>
      </c>
      <c r="C1090" s="8" t="s">
        <v>4684</v>
      </c>
      <c r="D1090" s="8" t="s">
        <v>3868</v>
      </c>
    </row>
    <row r="1091" spans="1:4" ht="36" customHeight="1">
      <c r="A1091" s="26">
        <v>1086</v>
      </c>
      <c r="B1091" s="25" t="s">
        <v>4685</v>
      </c>
      <c r="C1091" s="8" t="s">
        <v>4686</v>
      </c>
      <c r="D1091" s="8" t="s">
        <v>3868</v>
      </c>
    </row>
    <row r="1092" spans="1:4" ht="36" customHeight="1">
      <c r="A1092" s="26">
        <v>1087</v>
      </c>
      <c r="B1092" s="25" t="s">
        <v>4687</v>
      </c>
      <c r="C1092" s="8" t="s">
        <v>4688</v>
      </c>
      <c r="D1092" s="8" t="s">
        <v>3868</v>
      </c>
    </row>
    <row r="1093" spans="1:4" ht="36" customHeight="1">
      <c r="A1093" s="26">
        <v>1088</v>
      </c>
      <c r="B1093" s="25" t="s">
        <v>4689</v>
      </c>
      <c r="C1093" s="8" t="s">
        <v>4690</v>
      </c>
      <c r="D1093" s="8" t="s">
        <v>3868</v>
      </c>
    </row>
    <row r="1094" spans="1:4" ht="36" customHeight="1">
      <c r="A1094" s="26">
        <v>1089</v>
      </c>
      <c r="B1094" s="25" t="s">
        <v>4691</v>
      </c>
      <c r="C1094" s="8" t="s">
        <v>4692</v>
      </c>
      <c r="D1094" s="8" t="s">
        <v>3868</v>
      </c>
    </row>
    <row r="1095" spans="1:4" ht="36" customHeight="1">
      <c r="A1095" s="26">
        <v>1090</v>
      </c>
      <c r="B1095" s="25" t="s">
        <v>4693</v>
      </c>
      <c r="C1095" s="8" t="s">
        <v>4694</v>
      </c>
      <c r="D1095" s="8" t="s">
        <v>3868</v>
      </c>
    </row>
    <row r="1096" spans="1:4" ht="36" customHeight="1">
      <c r="A1096" s="26">
        <v>1091</v>
      </c>
      <c r="B1096" s="25" t="s">
        <v>4695</v>
      </c>
      <c r="C1096" s="8" t="s">
        <v>4696</v>
      </c>
      <c r="D1096" s="8" t="s">
        <v>3868</v>
      </c>
    </row>
    <row r="1097" spans="1:4" ht="36" customHeight="1">
      <c r="A1097" s="26">
        <v>1092</v>
      </c>
      <c r="B1097" s="25" t="s">
        <v>4697</v>
      </c>
      <c r="C1097" s="8" t="s">
        <v>4698</v>
      </c>
      <c r="D1097" s="8" t="s">
        <v>3868</v>
      </c>
    </row>
    <row r="1098" spans="1:4" ht="36" customHeight="1">
      <c r="A1098" s="26">
        <v>1093</v>
      </c>
      <c r="B1098" s="25" t="s">
        <v>4699</v>
      </c>
      <c r="C1098" s="8" t="s">
        <v>4700</v>
      </c>
      <c r="D1098" s="8" t="s">
        <v>3868</v>
      </c>
    </row>
    <row r="1099" spans="1:4" ht="36" customHeight="1">
      <c r="A1099" s="26">
        <v>1094</v>
      </c>
      <c r="B1099" s="25" t="s">
        <v>4701</v>
      </c>
      <c r="C1099" s="8" t="s">
        <v>4702</v>
      </c>
      <c r="D1099" s="8" t="s">
        <v>3868</v>
      </c>
    </row>
    <row r="1100" spans="1:4" ht="36" customHeight="1">
      <c r="A1100" s="26">
        <v>1095</v>
      </c>
      <c r="B1100" s="25" t="s">
        <v>4703</v>
      </c>
      <c r="C1100" s="8" t="s">
        <v>4704</v>
      </c>
      <c r="D1100" s="8" t="s">
        <v>3868</v>
      </c>
    </row>
    <row r="1101" spans="1:4" ht="36" customHeight="1">
      <c r="A1101" s="26">
        <v>1096</v>
      </c>
      <c r="B1101" s="25" t="s">
        <v>4705</v>
      </c>
      <c r="C1101" s="8" t="s">
        <v>4706</v>
      </c>
      <c r="D1101" s="8" t="s">
        <v>3868</v>
      </c>
    </row>
    <row r="1102" spans="1:4" ht="36" customHeight="1">
      <c r="A1102" s="26">
        <v>1097</v>
      </c>
      <c r="B1102" s="25" t="s">
        <v>4707</v>
      </c>
      <c r="C1102" s="8" t="s">
        <v>4708</v>
      </c>
      <c r="D1102" s="8" t="s">
        <v>3868</v>
      </c>
    </row>
    <row r="1103" spans="1:4" ht="36" customHeight="1">
      <c r="A1103" s="26">
        <v>1098</v>
      </c>
      <c r="B1103" s="25" t="s">
        <v>4709</v>
      </c>
      <c r="C1103" s="8" t="s">
        <v>4710</v>
      </c>
      <c r="D1103" s="8" t="s">
        <v>3868</v>
      </c>
    </row>
    <row r="1104" spans="1:4" ht="36" customHeight="1">
      <c r="A1104" s="26">
        <v>1099</v>
      </c>
      <c r="B1104" s="25" t="s">
        <v>4711</v>
      </c>
      <c r="C1104" s="8" t="s">
        <v>4712</v>
      </c>
      <c r="D1104" s="8" t="s">
        <v>3868</v>
      </c>
    </row>
    <row r="1105" spans="1:4" ht="36" customHeight="1">
      <c r="A1105" s="26">
        <v>1100</v>
      </c>
      <c r="B1105" s="25" t="s">
        <v>4713</v>
      </c>
      <c r="C1105" s="8" t="s">
        <v>4714</v>
      </c>
      <c r="D1105" s="8" t="s">
        <v>3868</v>
      </c>
    </row>
    <row r="1106" spans="1:4" ht="36" customHeight="1">
      <c r="A1106" s="26">
        <v>1101</v>
      </c>
      <c r="B1106" s="25" t="s">
        <v>4715</v>
      </c>
      <c r="C1106" s="8" t="s">
        <v>4716</v>
      </c>
      <c r="D1106" s="8" t="s">
        <v>3868</v>
      </c>
    </row>
    <row r="1107" spans="1:4" ht="36" customHeight="1">
      <c r="A1107" s="26">
        <v>1102</v>
      </c>
      <c r="B1107" s="25" t="s">
        <v>4717</v>
      </c>
      <c r="C1107" s="8" t="s">
        <v>4718</v>
      </c>
      <c r="D1107" s="8" t="s">
        <v>3868</v>
      </c>
    </row>
    <row r="1108" spans="1:4" ht="36" customHeight="1">
      <c r="A1108" s="26">
        <v>1103</v>
      </c>
      <c r="B1108" s="25" t="s">
        <v>4719</v>
      </c>
      <c r="C1108" s="8" t="s">
        <v>4720</v>
      </c>
      <c r="D1108" s="8" t="s">
        <v>3868</v>
      </c>
    </row>
    <row r="1109" spans="1:4" ht="36" customHeight="1">
      <c r="A1109" s="26">
        <v>1104</v>
      </c>
      <c r="B1109" s="25" t="s">
        <v>4721</v>
      </c>
      <c r="C1109" s="8" t="s">
        <v>4722</v>
      </c>
      <c r="D1109" s="8" t="s">
        <v>3868</v>
      </c>
    </row>
    <row r="1110" spans="1:4" ht="36" customHeight="1">
      <c r="A1110" s="26">
        <v>1105</v>
      </c>
      <c r="B1110" s="25" t="s">
        <v>4723</v>
      </c>
      <c r="C1110" s="8" t="s">
        <v>4724</v>
      </c>
      <c r="D1110" s="8" t="s">
        <v>3868</v>
      </c>
    </row>
    <row r="1111" spans="1:4" ht="36" customHeight="1">
      <c r="A1111" s="26">
        <v>1106</v>
      </c>
      <c r="B1111" s="25" t="s">
        <v>4725</v>
      </c>
      <c r="C1111" s="8" t="s">
        <v>4726</v>
      </c>
      <c r="D1111" s="8" t="s">
        <v>3868</v>
      </c>
    </row>
    <row r="1112" spans="1:4" ht="36" customHeight="1">
      <c r="A1112" s="26">
        <v>1107</v>
      </c>
      <c r="B1112" s="25" t="s">
        <v>4727</v>
      </c>
      <c r="C1112" s="8" t="s">
        <v>4728</v>
      </c>
      <c r="D1112" s="8" t="s">
        <v>3868</v>
      </c>
    </row>
    <row r="1113" spans="1:4" ht="36" customHeight="1">
      <c r="A1113" s="26">
        <v>1108</v>
      </c>
      <c r="B1113" s="25" t="s">
        <v>4729</v>
      </c>
      <c r="C1113" s="8" t="s">
        <v>4730</v>
      </c>
      <c r="D1113" s="8" t="s">
        <v>3868</v>
      </c>
    </row>
    <row r="1114" spans="1:4" ht="36" customHeight="1">
      <c r="A1114" s="26">
        <v>1109</v>
      </c>
      <c r="B1114" s="25" t="s">
        <v>4731</v>
      </c>
      <c r="C1114" s="8" t="s">
        <v>4732</v>
      </c>
      <c r="D1114" s="8" t="s">
        <v>3868</v>
      </c>
    </row>
    <row r="1115" spans="1:4" ht="36" customHeight="1">
      <c r="A1115" s="26">
        <v>1110</v>
      </c>
      <c r="B1115" s="25" t="s">
        <v>4733</v>
      </c>
      <c r="C1115" s="8" t="s">
        <v>4734</v>
      </c>
      <c r="D1115" s="8" t="s">
        <v>3868</v>
      </c>
    </row>
    <row r="1116" spans="1:4" ht="36" customHeight="1">
      <c r="A1116" s="26">
        <v>1111</v>
      </c>
      <c r="B1116" s="25" t="s">
        <v>4735</v>
      </c>
      <c r="C1116" s="8" t="s">
        <v>4736</v>
      </c>
      <c r="D1116" s="8" t="s">
        <v>3868</v>
      </c>
    </row>
    <row r="1117" spans="1:4" ht="36" customHeight="1">
      <c r="A1117" s="26">
        <v>1112</v>
      </c>
      <c r="B1117" s="25" t="s">
        <v>4737</v>
      </c>
      <c r="C1117" s="8" t="s">
        <v>4738</v>
      </c>
      <c r="D1117" s="8" t="s">
        <v>3868</v>
      </c>
    </row>
    <row r="1118" spans="1:4" ht="36" customHeight="1">
      <c r="A1118" s="26">
        <v>1113</v>
      </c>
      <c r="B1118" s="25" t="s">
        <v>4739</v>
      </c>
      <c r="C1118" s="8" t="s">
        <v>4740</v>
      </c>
      <c r="D1118" s="8" t="s">
        <v>3868</v>
      </c>
    </row>
    <row r="1119" spans="1:4" ht="36" customHeight="1">
      <c r="A1119" s="26">
        <v>1114</v>
      </c>
      <c r="B1119" s="25" t="s">
        <v>4741</v>
      </c>
      <c r="C1119" s="8" t="s">
        <v>4742</v>
      </c>
      <c r="D1119" s="8" t="s">
        <v>3868</v>
      </c>
    </row>
    <row r="1120" spans="1:4" ht="36" customHeight="1">
      <c r="A1120" s="26">
        <v>1115</v>
      </c>
      <c r="B1120" s="25" t="s">
        <v>4743</v>
      </c>
      <c r="C1120" s="8" t="s">
        <v>4744</v>
      </c>
      <c r="D1120" s="8" t="s">
        <v>3868</v>
      </c>
    </row>
    <row r="1121" spans="1:4" ht="36" customHeight="1">
      <c r="A1121" s="26">
        <v>1116</v>
      </c>
      <c r="B1121" s="25" t="s">
        <v>4745</v>
      </c>
      <c r="C1121" s="8" t="s">
        <v>4746</v>
      </c>
      <c r="D1121" s="8" t="s">
        <v>3868</v>
      </c>
    </row>
    <row r="1122" spans="1:4" ht="36" customHeight="1">
      <c r="A1122" s="26">
        <v>1117</v>
      </c>
      <c r="B1122" s="25" t="s">
        <v>4747</v>
      </c>
      <c r="C1122" s="8" t="s">
        <v>4748</v>
      </c>
      <c r="D1122" s="8" t="s">
        <v>3868</v>
      </c>
    </row>
    <row r="1123" spans="1:4" ht="36" customHeight="1">
      <c r="A1123" s="26">
        <v>1118</v>
      </c>
      <c r="B1123" s="25" t="s">
        <v>4749</v>
      </c>
      <c r="C1123" s="8" t="s">
        <v>4750</v>
      </c>
      <c r="D1123" s="8" t="s">
        <v>3868</v>
      </c>
    </row>
    <row r="1124" spans="1:4" ht="36" customHeight="1">
      <c r="A1124" s="26">
        <v>1119</v>
      </c>
      <c r="B1124" s="25" t="s">
        <v>4751</v>
      </c>
      <c r="C1124" s="8" t="s">
        <v>4752</v>
      </c>
      <c r="D1124" s="8" t="s">
        <v>3868</v>
      </c>
    </row>
    <row r="1125" spans="1:4" ht="36" customHeight="1">
      <c r="A1125" s="26">
        <v>1120</v>
      </c>
      <c r="B1125" s="25" t="s">
        <v>4753</v>
      </c>
      <c r="C1125" s="8" t="s">
        <v>4754</v>
      </c>
      <c r="D1125" s="8" t="s">
        <v>3868</v>
      </c>
    </row>
    <row r="1126" spans="1:4" ht="36" customHeight="1">
      <c r="A1126" s="26">
        <v>1121</v>
      </c>
      <c r="B1126" s="25" t="s">
        <v>4755</v>
      </c>
      <c r="C1126" s="8" t="s">
        <v>4756</v>
      </c>
      <c r="D1126" s="8" t="s">
        <v>3868</v>
      </c>
    </row>
    <row r="1127" spans="1:4" ht="36" customHeight="1">
      <c r="A1127" s="26">
        <v>1122</v>
      </c>
      <c r="B1127" s="25" t="s">
        <v>4757</v>
      </c>
      <c r="C1127" s="8" t="s">
        <v>4758</v>
      </c>
      <c r="D1127" s="8" t="s">
        <v>3868</v>
      </c>
    </row>
    <row r="1128" spans="1:4" ht="36" customHeight="1">
      <c r="A1128" s="26">
        <v>1123</v>
      </c>
      <c r="B1128" s="25" t="s">
        <v>4759</v>
      </c>
      <c r="C1128" s="8" t="s">
        <v>4760</v>
      </c>
      <c r="D1128" s="8" t="s">
        <v>3868</v>
      </c>
    </row>
    <row r="1129" spans="1:4" ht="36" customHeight="1">
      <c r="A1129" s="26">
        <v>1124</v>
      </c>
      <c r="B1129" s="25" t="s">
        <v>4761</v>
      </c>
      <c r="C1129" s="8" t="s">
        <v>4762</v>
      </c>
      <c r="D1129" s="8" t="s">
        <v>3868</v>
      </c>
    </row>
    <row r="1130" spans="1:4" ht="36" customHeight="1">
      <c r="A1130" s="26">
        <v>1125</v>
      </c>
      <c r="B1130" s="25" t="s">
        <v>4763</v>
      </c>
      <c r="C1130" s="8" t="s">
        <v>4764</v>
      </c>
      <c r="D1130" s="8" t="s">
        <v>3868</v>
      </c>
    </row>
    <row r="1131" spans="1:4" ht="36" customHeight="1">
      <c r="A1131" s="26">
        <v>1126</v>
      </c>
      <c r="B1131" s="25" t="s">
        <v>4765</v>
      </c>
      <c r="C1131" s="8" t="s">
        <v>4766</v>
      </c>
      <c r="D1131" s="8" t="s">
        <v>3868</v>
      </c>
    </row>
    <row r="1132" spans="1:4" ht="36" customHeight="1">
      <c r="A1132" s="26">
        <v>1127</v>
      </c>
      <c r="B1132" s="25" t="s">
        <v>4767</v>
      </c>
      <c r="C1132" s="8" t="s">
        <v>4768</v>
      </c>
      <c r="D1132" s="8" t="s">
        <v>3868</v>
      </c>
    </row>
    <row r="1133" spans="1:4" ht="36" customHeight="1">
      <c r="A1133" s="26">
        <v>1128</v>
      </c>
      <c r="B1133" s="25" t="s">
        <v>4769</v>
      </c>
      <c r="C1133" s="8" t="s">
        <v>4770</v>
      </c>
      <c r="D1133" s="8" t="s">
        <v>3868</v>
      </c>
    </row>
    <row r="1134" spans="1:4" ht="36" customHeight="1">
      <c r="A1134" s="26">
        <v>1129</v>
      </c>
      <c r="B1134" s="25" t="s">
        <v>4771</v>
      </c>
      <c r="C1134" s="8" t="s">
        <v>4772</v>
      </c>
      <c r="D1134" s="8" t="s">
        <v>3868</v>
      </c>
    </row>
    <row r="1135" spans="1:4" ht="36" customHeight="1">
      <c r="A1135" s="26">
        <v>1130</v>
      </c>
      <c r="B1135" s="25" t="s">
        <v>4773</v>
      </c>
      <c r="C1135" s="8" t="s">
        <v>4774</v>
      </c>
      <c r="D1135" s="8" t="s">
        <v>3868</v>
      </c>
    </row>
    <row r="1136" spans="1:4" ht="36" customHeight="1">
      <c r="A1136" s="26">
        <v>1131</v>
      </c>
      <c r="B1136" s="25" t="s">
        <v>4775</v>
      </c>
      <c r="C1136" s="8" t="s">
        <v>4776</v>
      </c>
      <c r="D1136" s="8" t="s">
        <v>3868</v>
      </c>
    </row>
    <row r="1137" spans="1:4" ht="36" customHeight="1">
      <c r="A1137" s="26">
        <v>1132</v>
      </c>
      <c r="B1137" s="25" t="s">
        <v>4777</v>
      </c>
      <c r="C1137" s="8" t="s">
        <v>4778</v>
      </c>
      <c r="D1137" s="8" t="s">
        <v>3868</v>
      </c>
    </row>
    <row r="1138" spans="1:4" ht="36" customHeight="1">
      <c r="A1138" s="26">
        <v>1133</v>
      </c>
      <c r="B1138" s="25" t="s">
        <v>4779</v>
      </c>
      <c r="C1138" s="8" t="s">
        <v>4780</v>
      </c>
      <c r="D1138" s="8" t="s">
        <v>3868</v>
      </c>
    </row>
    <row r="1139" spans="1:4" ht="36" customHeight="1">
      <c r="A1139" s="26">
        <v>1134</v>
      </c>
      <c r="B1139" s="25" t="s">
        <v>4781</v>
      </c>
      <c r="C1139" s="8" t="s">
        <v>4782</v>
      </c>
      <c r="D1139" s="8" t="s">
        <v>3868</v>
      </c>
    </row>
    <row r="1140" spans="1:4" ht="36" customHeight="1">
      <c r="A1140" s="26">
        <v>1135</v>
      </c>
      <c r="B1140" s="25" t="s">
        <v>4783</v>
      </c>
      <c r="C1140" s="8" t="s">
        <v>4784</v>
      </c>
      <c r="D1140" s="8" t="s">
        <v>3868</v>
      </c>
    </row>
    <row r="1141" spans="1:4" ht="36" customHeight="1">
      <c r="A1141" s="26">
        <v>1136</v>
      </c>
      <c r="B1141" s="25" t="s">
        <v>4785</v>
      </c>
      <c r="C1141" s="8" t="s">
        <v>4786</v>
      </c>
      <c r="D1141" s="8" t="s">
        <v>3868</v>
      </c>
    </row>
    <row r="1142" spans="1:4" ht="36" customHeight="1">
      <c r="A1142" s="26">
        <v>1137</v>
      </c>
      <c r="B1142" s="25" t="s">
        <v>4787</v>
      </c>
      <c r="C1142" s="8" t="s">
        <v>4788</v>
      </c>
      <c r="D1142" s="8" t="s">
        <v>3868</v>
      </c>
    </row>
    <row r="1143" spans="1:4" ht="36" customHeight="1">
      <c r="A1143" s="26">
        <v>1138</v>
      </c>
      <c r="B1143" s="25" t="s">
        <v>4789</v>
      </c>
      <c r="C1143" s="8" t="s">
        <v>4790</v>
      </c>
      <c r="D1143" s="8" t="s">
        <v>3868</v>
      </c>
    </row>
    <row r="1144" spans="1:4" ht="36" customHeight="1">
      <c r="A1144" s="26">
        <v>1139</v>
      </c>
      <c r="B1144" s="25" t="s">
        <v>4791</v>
      </c>
      <c r="C1144" s="8" t="s">
        <v>4792</v>
      </c>
      <c r="D1144" s="8" t="s">
        <v>3868</v>
      </c>
    </row>
    <row r="1145" spans="1:4" ht="36" customHeight="1">
      <c r="A1145" s="26">
        <v>1140</v>
      </c>
      <c r="B1145" s="25" t="s">
        <v>4793</v>
      </c>
      <c r="C1145" s="8" t="s">
        <v>4794</v>
      </c>
      <c r="D1145" s="8" t="s">
        <v>3868</v>
      </c>
    </row>
    <row r="1146" spans="1:4" ht="36" customHeight="1">
      <c r="A1146" s="26">
        <v>1141</v>
      </c>
      <c r="B1146" s="25" t="s">
        <v>3058</v>
      </c>
      <c r="C1146" s="8" t="s">
        <v>3059</v>
      </c>
      <c r="D1146" s="8" t="s">
        <v>3868</v>
      </c>
    </row>
    <row r="1147" spans="1:4" ht="36" customHeight="1">
      <c r="A1147" s="26">
        <v>1142</v>
      </c>
      <c r="B1147" s="25" t="s">
        <v>4795</v>
      </c>
      <c r="C1147" s="8" t="s">
        <v>4796</v>
      </c>
      <c r="D1147" s="8" t="s">
        <v>3868</v>
      </c>
    </row>
    <row r="1148" spans="1:4" ht="36" customHeight="1">
      <c r="A1148" s="26">
        <v>1143</v>
      </c>
      <c r="B1148" s="25" t="s">
        <v>4797</v>
      </c>
      <c r="C1148" s="8" t="s">
        <v>4798</v>
      </c>
      <c r="D1148" s="8" t="s">
        <v>3868</v>
      </c>
    </row>
    <row r="1149" spans="1:4" ht="36" customHeight="1">
      <c r="A1149" s="26">
        <v>1144</v>
      </c>
      <c r="B1149" s="25" t="s">
        <v>4799</v>
      </c>
      <c r="C1149" s="8" t="s">
        <v>4800</v>
      </c>
      <c r="D1149" s="8" t="s">
        <v>3868</v>
      </c>
    </row>
    <row r="1150" spans="1:4" ht="36" customHeight="1">
      <c r="A1150" s="26">
        <v>1145</v>
      </c>
      <c r="B1150" s="25" t="s">
        <v>4801</v>
      </c>
      <c r="C1150" s="8" t="s">
        <v>4802</v>
      </c>
      <c r="D1150" s="8" t="s">
        <v>3868</v>
      </c>
    </row>
    <row r="1151" spans="1:4" ht="36" customHeight="1">
      <c r="A1151" s="26">
        <v>1146</v>
      </c>
      <c r="B1151" s="25" t="s">
        <v>4803</v>
      </c>
      <c r="C1151" s="8" t="s">
        <v>4804</v>
      </c>
      <c r="D1151" s="8" t="s">
        <v>3868</v>
      </c>
    </row>
    <row r="1152" spans="1:4" ht="36" customHeight="1">
      <c r="A1152" s="26">
        <v>1147</v>
      </c>
      <c r="B1152" s="25" t="s">
        <v>4805</v>
      </c>
      <c r="C1152" s="8" t="s">
        <v>4806</v>
      </c>
      <c r="D1152" s="8" t="s">
        <v>3868</v>
      </c>
    </row>
    <row r="1153" spans="1:4" ht="36" customHeight="1">
      <c r="A1153" s="26">
        <v>1148</v>
      </c>
      <c r="B1153" s="25" t="s">
        <v>4807</v>
      </c>
      <c r="C1153" s="8" t="s">
        <v>4808</v>
      </c>
      <c r="D1153" s="8" t="s">
        <v>3868</v>
      </c>
    </row>
    <row r="1154" spans="1:4" ht="36" customHeight="1">
      <c r="A1154" s="26">
        <v>1149</v>
      </c>
      <c r="B1154" s="25" t="s">
        <v>4809</v>
      </c>
      <c r="C1154" s="8" t="s">
        <v>4810</v>
      </c>
      <c r="D1154" s="8" t="s">
        <v>3868</v>
      </c>
    </row>
    <row r="1155" spans="1:4" ht="36" customHeight="1">
      <c r="A1155" s="26">
        <v>1150</v>
      </c>
      <c r="B1155" s="25" t="s">
        <v>4811</v>
      </c>
      <c r="C1155" s="8" t="s">
        <v>4812</v>
      </c>
      <c r="D1155" s="8" t="s">
        <v>3868</v>
      </c>
    </row>
    <row r="1156" spans="1:4" ht="36" customHeight="1">
      <c r="A1156" s="26">
        <v>1151</v>
      </c>
      <c r="B1156" s="25" t="s">
        <v>4813</v>
      </c>
      <c r="C1156" s="8" t="s">
        <v>4814</v>
      </c>
      <c r="D1156" s="8" t="s">
        <v>3868</v>
      </c>
    </row>
    <row r="1157" spans="1:4" ht="36" customHeight="1">
      <c r="A1157" s="26">
        <v>1152</v>
      </c>
      <c r="B1157" s="25" t="s">
        <v>4815</v>
      </c>
      <c r="C1157" s="8" t="s">
        <v>4816</v>
      </c>
      <c r="D1157" s="8" t="s">
        <v>3868</v>
      </c>
    </row>
    <row r="1158" spans="1:4" ht="36" customHeight="1">
      <c r="A1158" s="26">
        <v>1153</v>
      </c>
      <c r="B1158" s="25" t="s">
        <v>4817</v>
      </c>
      <c r="C1158" s="8" t="s">
        <v>4818</v>
      </c>
      <c r="D1158" s="8" t="s">
        <v>3868</v>
      </c>
    </row>
    <row r="1159" spans="1:4" ht="36" customHeight="1">
      <c r="A1159" s="26">
        <v>1154</v>
      </c>
      <c r="B1159" s="25" t="s">
        <v>4819</v>
      </c>
      <c r="C1159" s="8" t="s">
        <v>4820</v>
      </c>
      <c r="D1159" s="8" t="s">
        <v>3868</v>
      </c>
    </row>
    <row r="1160" spans="1:4" ht="36" customHeight="1">
      <c r="A1160" s="26">
        <v>1155</v>
      </c>
      <c r="B1160" s="25" t="s">
        <v>4821</v>
      </c>
      <c r="C1160" s="8" t="s">
        <v>4822</v>
      </c>
      <c r="D1160" s="8" t="s">
        <v>3868</v>
      </c>
    </row>
    <row r="1161" spans="1:4" ht="36" customHeight="1">
      <c r="A1161" s="26">
        <v>1156</v>
      </c>
      <c r="B1161" s="25" t="s">
        <v>4823</v>
      </c>
      <c r="C1161" s="8" t="s">
        <v>4824</v>
      </c>
      <c r="D1161" s="8" t="s">
        <v>3868</v>
      </c>
    </row>
    <row r="1162" spans="1:4" ht="36" customHeight="1">
      <c r="A1162" s="26">
        <v>1157</v>
      </c>
      <c r="B1162" s="25" t="s">
        <v>4825</v>
      </c>
      <c r="C1162" s="8" t="s">
        <v>4826</v>
      </c>
      <c r="D1162" s="8" t="s">
        <v>3868</v>
      </c>
    </row>
    <row r="1163" spans="1:4" ht="36" customHeight="1">
      <c r="A1163" s="26">
        <v>1158</v>
      </c>
      <c r="B1163" s="25" t="s">
        <v>4827</v>
      </c>
      <c r="C1163" s="8" t="s">
        <v>4828</v>
      </c>
      <c r="D1163" s="8" t="s">
        <v>3868</v>
      </c>
    </row>
    <row r="1164" spans="1:4" ht="36" customHeight="1">
      <c r="A1164" s="26">
        <v>1159</v>
      </c>
      <c r="B1164" s="25" t="s">
        <v>4829</v>
      </c>
      <c r="C1164" s="8" t="s">
        <v>4830</v>
      </c>
      <c r="D1164" s="8" t="s">
        <v>3868</v>
      </c>
    </row>
    <row r="1165" spans="1:4" ht="36" customHeight="1">
      <c r="A1165" s="26">
        <v>1160</v>
      </c>
      <c r="B1165" s="25" t="s">
        <v>4831</v>
      </c>
      <c r="C1165" s="8" t="s">
        <v>4832</v>
      </c>
      <c r="D1165" s="8" t="s">
        <v>3868</v>
      </c>
    </row>
    <row r="1166" spans="1:4" ht="36" customHeight="1">
      <c r="A1166" s="26">
        <v>1161</v>
      </c>
      <c r="B1166" s="25" t="s">
        <v>4833</v>
      </c>
      <c r="C1166" s="8" t="s">
        <v>4834</v>
      </c>
      <c r="D1166" s="8" t="s">
        <v>3868</v>
      </c>
    </row>
    <row r="1167" spans="1:4" ht="36" customHeight="1">
      <c r="A1167" s="26">
        <v>1162</v>
      </c>
      <c r="B1167" s="25" t="s">
        <v>4835</v>
      </c>
      <c r="C1167" s="8" t="s">
        <v>4836</v>
      </c>
      <c r="D1167" s="8" t="s">
        <v>3868</v>
      </c>
    </row>
    <row r="1168" spans="1:4" ht="36" customHeight="1">
      <c r="A1168" s="26">
        <v>1163</v>
      </c>
      <c r="B1168" s="25" t="s">
        <v>4837</v>
      </c>
      <c r="C1168" s="8" t="s">
        <v>4838</v>
      </c>
      <c r="D1168" s="8" t="s">
        <v>3868</v>
      </c>
    </row>
    <row r="1169" spans="1:4" ht="36" customHeight="1">
      <c r="A1169" s="26">
        <v>1164</v>
      </c>
      <c r="B1169" s="25" t="s">
        <v>4839</v>
      </c>
      <c r="C1169" s="8" t="s">
        <v>4840</v>
      </c>
      <c r="D1169" s="8" t="s">
        <v>3868</v>
      </c>
    </row>
    <row r="1170" spans="1:4" ht="36" customHeight="1">
      <c r="A1170" s="26">
        <v>1165</v>
      </c>
      <c r="B1170" s="25" t="s">
        <v>4841</v>
      </c>
      <c r="C1170" s="8" t="s">
        <v>4842</v>
      </c>
      <c r="D1170" s="8" t="s">
        <v>3868</v>
      </c>
    </row>
    <row r="1171" spans="1:4" ht="36" customHeight="1">
      <c r="A1171" s="26">
        <v>1166</v>
      </c>
      <c r="B1171" s="25" t="s">
        <v>4843</v>
      </c>
      <c r="C1171" s="8" t="s">
        <v>4844</v>
      </c>
      <c r="D1171" s="8" t="s">
        <v>3868</v>
      </c>
    </row>
    <row r="1172" spans="1:4" ht="36" customHeight="1">
      <c r="A1172" s="26">
        <v>1167</v>
      </c>
      <c r="B1172" s="25" t="s">
        <v>4845</v>
      </c>
      <c r="C1172" s="8" t="s">
        <v>4846</v>
      </c>
      <c r="D1172" s="8" t="s">
        <v>3868</v>
      </c>
    </row>
    <row r="1173" spans="1:4" ht="36" customHeight="1">
      <c r="A1173" s="26">
        <v>1168</v>
      </c>
      <c r="B1173" s="25" t="s">
        <v>4847</v>
      </c>
      <c r="C1173" s="8" t="s">
        <v>4848</v>
      </c>
      <c r="D1173" s="8" t="s">
        <v>3868</v>
      </c>
    </row>
    <row r="1174" spans="1:4" ht="36" customHeight="1">
      <c r="A1174" s="26">
        <v>1169</v>
      </c>
      <c r="B1174" s="25" t="s">
        <v>4849</v>
      </c>
      <c r="C1174" s="8" t="s">
        <v>4850</v>
      </c>
      <c r="D1174" s="8" t="s">
        <v>3868</v>
      </c>
    </row>
    <row r="1175" spans="1:4" ht="36" customHeight="1">
      <c r="A1175" s="26">
        <v>1170</v>
      </c>
      <c r="B1175" s="25" t="s">
        <v>4851</v>
      </c>
      <c r="C1175" s="8" t="s">
        <v>4852</v>
      </c>
      <c r="D1175" s="8" t="s">
        <v>3868</v>
      </c>
    </row>
    <row r="1176" spans="1:4" ht="36" customHeight="1">
      <c r="A1176" s="26">
        <v>1171</v>
      </c>
      <c r="B1176" s="25" t="s">
        <v>4853</v>
      </c>
      <c r="C1176" s="8" t="s">
        <v>4854</v>
      </c>
      <c r="D1176" s="8" t="s">
        <v>3868</v>
      </c>
    </row>
    <row r="1177" spans="1:4" ht="36" customHeight="1">
      <c r="A1177" s="26">
        <v>1172</v>
      </c>
      <c r="B1177" s="25" t="s">
        <v>4855</v>
      </c>
      <c r="C1177" s="8" t="s">
        <v>4856</v>
      </c>
      <c r="D1177" s="8" t="s">
        <v>3868</v>
      </c>
    </row>
    <row r="1178" spans="1:4" ht="36" customHeight="1">
      <c r="A1178" s="26">
        <v>1173</v>
      </c>
      <c r="B1178" s="25" t="s">
        <v>4857</v>
      </c>
      <c r="C1178" s="8" t="s">
        <v>4858</v>
      </c>
      <c r="D1178" s="8" t="s">
        <v>3868</v>
      </c>
    </row>
    <row r="1179" spans="1:4" ht="36" customHeight="1">
      <c r="A1179" s="26">
        <v>1174</v>
      </c>
      <c r="B1179" s="25" t="s">
        <v>4859</v>
      </c>
      <c r="C1179" s="8" t="s">
        <v>4860</v>
      </c>
      <c r="D1179" s="8" t="s">
        <v>3868</v>
      </c>
    </row>
    <row r="1180" spans="1:4" ht="36" customHeight="1">
      <c r="A1180" s="26">
        <v>1175</v>
      </c>
      <c r="B1180" s="25" t="s">
        <v>4861</v>
      </c>
      <c r="C1180" s="8" t="s">
        <v>4862</v>
      </c>
      <c r="D1180" s="8" t="s">
        <v>3868</v>
      </c>
    </row>
    <row r="1181" spans="1:4" ht="36" customHeight="1">
      <c r="A1181" s="26">
        <v>1176</v>
      </c>
      <c r="B1181" s="25" t="s">
        <v>4863</v>
      </c>
      <c r="C1181" s="8" t="s">
        <v>4864</v>
      </c>
      <c r="D1181" s="8" t="s">
        <v>3868</v>
      </c>
    </row>
    <row r="1182" spans="1:4" ht="36" customHeight="1">
      <c r="A1182" s="26">
        <v>1177</v>
      </c>
      <c r="B1182" s="25" t="s">
        <v>4865</v>
      </c>
      <c r="C1182" s="8" t="s">
        <v>4866</v>
      </c>
      <c r="D1182" s="8" t="s">
        <v>3868</v>
      </c>
    </row>
    <row r="1183" spans="1:4" ht="36" customHeight="1">
      <c r="A1183" s="26">
        <v>1178</v>
      </c>
      <c r="B1183" s="25" t="s">
        <v>4867</v>
      </c>
      <c r="C1183" s="8" t="s">
        <v>4868</v>
      </c>
      <c r="D1183" s="8" t="s">
        <v>3868</v>
      </c>
    </row>
    <row r="1184" spans="1:4" ht="36" customHeight="1">
      <c r="A1184" s="26">
        <v>1179</v>
      </c>
      <c r="B1184" s="25" t="s">
        <v>4869</v>
      </c>
      <c r="C1184" s="8" t="s">
        <v>4870</v>
      </c>
      <c r="D1184" s="8" t="s">
        <v>3868</v>
      </c>
    </row>
    <row r="1185" spans="1:4" ht="36" customHeight="1">
      <c r="A1185" s="26">
        <v>1180</v>
      </c>
      <c r="B1185" s="25" t="s">
        <v>2993</v>
      </c>
      <c r="C1185" s="8" t="s">
        <v>2994</v>
      </c>
      <c r="D1185" s="8" t="s">
        <v>3868</v>
      </c>
    </row>
    <row r="1186" spans="1:4" ht="36" customHeight="1">
      <c r="A1186" s="26">
        <v>1181</v>
      </c>
      <c r="B1186" s="25" t="s">
        <v>4871</v>
      </c>
      <c r="C1186" s="8" t="s">
        <v>4872</v>
      </c>
      <c r="D1186" s="8" t="s">
        <v>3868</v>
      </c>
    </row>
    <row r="1187" spans="1:4" ht="36" customHeight="1">
      <c r="A1187" s="26">
        <v>1182</v>
      </c>
      <c r="B1187" s="25" t="s">
        <v>4873</v>
      </c>
      <c r="C1187" s="8" t="s">
        <v>4874</v>
      </c>
      <c r="D1187" s="8" t="s">
        <v>3868</v>
      </c>
    </row>
    <row r="1188" spans="1:4" ht="36" customHeight="1">
      <c r="A1188" s="26">
        <v>1183</v>
      </c>
      <c r="B1188" s="25" t="s">
        <v>4875</v>
      </c>
      <c r="C1188" s="8" t="s">
        <v>4876</v>
      </c>
      <c r="D1188" s="8" t="s">
        <v>3868</v>
      </c>
    </row>
    <row r="1189" spans="1:4" ht="36" customHeight="1">
      <c r="A1189" s="26">
        <v>1184</v>
      </c>
      <c r="B1189" s="25" t="s">
        <v>4877</v>
      </c>
      <c r="C1189" s="8" t="s">
        <v>4878</v>
      </c>
      <c r="D1189" s="8" t="s">
        <v>3868</v>
      </c>
    </row>
    <row r="1190" spans="1:4" ht="36" customHeight="1">
      <c r="A1190" s="26">
        <v>1185</v>
      </c>
      <c r="B1190" s="25" t="s">
        <v>4879</v>
      </c>
      <c r="C1190" s="8" t="s">
        <v>4880</v>
      </c>
      <c r="D1190" s="8" t="s">
        <v>3868</v>
      </c>
    </row>
    <row r="1191" spans="1:4" ht="36" customHeight="1">
      <c r="A1191" s="26">
        <v>1186</v>
      </c>
      <c r="B1191" s="25" t="s">
        <v>4881</v>
      </c>
      <c r="C1191" s="8" t="s">
        <v>4882</v>
      </c>
      <c r="D1191" s="8" t="s">
        <v>3868</v>
      </c>
    </row>
    <row r="1192" spans="1:4" ht="36" customHeight="1">
      <c r="A1192" s="26">
        <v>1187</v>
      </c>
      <c r="B1192" s="25" t="s">
        <v>4883</v>
      </c>
      <c r="C1192" s="8" t="s">
        <v>4884</v>
      </c>
      <c r="D1192" s="8" t="s">
        <v>3868</v>
      </c>
    </row>
    <row r="1193" spans="1:4" ht="36" customHeight="1">
      <c r="A1193" s="26">
        <v>1188</v>
      </c>
      <c r="B1193" s="25" t="s">
        <v>4885</v>
      </c>
      <c r="C1193" s="8" t="s">
        <v>4886</v>
      </c>
      <c r="D1193" s="8" t="s">
        <v>3868</v>
      </c>
    </row>
    <row r="1194" spans="1:4" ht="36" customHeight="1">
      <c r="A1194" s="26">
        <v>1189</v>
      </c>
      <c r="B1194" s="25" t="s">
        <v>4887</v>
      </c>
      <c r="C1194" s="8" t="s">
        <v>4888</v>
      </c>
      <c r="D1194" s="8" t="s">
        <v>3868</v>
      </c>
    </row>
    <row r="1195" spans="1:4" ht="36" customHeight="1">
      <c r="A1195" s="26">
        <v>1190</v>
      </c>
      <c r="B1195" s="25" t="s">
        <v>4889</v>
      </c>
      <c r="C1195" s="8" t="s">
        <v>4890</v>
      </c>
      <c r="D1195" s="8" t="s">
        <v>3868</v>
      </c>
    </row>
    <row r="1196" spans="1:4" ht="36" customHeight="1">
      <c r="A1196" s="26">
        <v>1191</v>
      </c>
      <c r="B1196" s="25" t="s">
        <v>4891</v>
      </c>
      <c r="C1196" s="8" t="s">
        <v>4892</v>
      </c>
      <c r="D1196" s="8" t="s">
        <v>3868</v>
      </c>
    </row>
    <row r="1197" spans="1:4" ht="36" customHeight="1">
      <c r="A1197" s="26">
        <v>1192</v>
      </c>
      <c r="B1197" s="25" t="s">
        <v>4893</v>
      </c>
      <c r="C1197" s="8" t="s">
        <v>4894</v>
      </c>
      <c r="D1197" s="8" t="s">
        <v>3868</v>
      </c>
    </row>
    <row r="1198" spans="1:4" ht="36" customHeight="1">
      <c r="A1198" s="26">
        <v>1193</v>
      </c>
      <c r="B1198" s="25" t="s">
        <v>4895</v>
      </c>
      <c r="C1198" s="8" t="s">
        <v>4896</v>
      </c>
      <c r="D1198" s="8" t="s">
        <v>3868</v>
      </c>
    </row>
    <row r="1199" spans="1:4" ht="36" customHeight="1">
      <c r="A1199" s="26">
        <v>1194</v>
      </c>
      <c r="B1199" s="25" t="s">
        <v>4897</v>
      </c>
      <c r="C1199" s="8" t="s">
        <v>4898</v>
      </c>
      <c r="D1199" s="8" t="s">
        <v>3868</v>
      </c>
    </row>
    <row r="1200" spans="1:4" ht="36" customHeight="1">
      <c r="A1200" s="26">
        <v>1195</v>
      </c>
      <c r="B1200" s="25" t="s">
        <v>4899</v>
      </c>
      <c r="C1200" s="8" t="s">
        <v>4900</v>
      </c>
      <c r="D1200" s="8" t="s">
        <v>3868</v>
      </c>
    </row>
    <row r="1201" spans="1:4" ht="36" customHeight="1">
      <c r="A1201" s="26">
        <v>1196</v>
      </c>
      <c r="B1201" s="25" t="s">
        <v>4901</v>
      </c>
      <c r="C1201" s="8" t="s">
        <v>4902</v>
      </c>
      <c r="D1201" s="8" t="s">
        <v>3868</v>
      </c>
    </row>
    <row r="1202" spans="1:4" ht="36" customHeight="1">
      <c r="A1202" s="26">
        <v>1197</v>
      </c>
      <c r="B1202" s="25" t="s">
        <v>4903</v>
      </c>
      <c r="C1202" s="8" t="s">
        <v>4904</v>
      </c>
      <c r="D1202" s="8" t="s">
        <v>3868</v>
      </c>
    </row>
    <row r="1203" spans="1:4" ht="36" customHeight="1">
      <c r="A1203" s="26">
        <v>1198</v>
      </c>
      <c r="B1203" s="25" t="s">
        <v>4905</v>
      </c>
      <c r="C1203" s="8" t="s">
        <v>4906</v>
      </c>
      <c r="D1203" s="8" t="s">
        <v>3868</v>
      </c>
    </row>
    <row r="1204" spans="1:4" ht="36" customHeight="1">
      <c r="A1204" s="26">
        <v>1199</v>
      </c>
      <c r="B1204" s="25" t="s">
        <v>4907</v>
      </c>
      <c r="C1204" s="8" t="s">
        <v>4908</v>
      </c>
      <c r="D1204" s="8" t="s">
        <v>3868</v>
      </c>
    </row>
    <row r="1205" spans="1:4" ht="36" customHeight="1">
      <c r="A1205" s="26">
        <v>1200</v>
      </c>
      <c r="B1205" s="25" t="s">
        <v>4909</v>
      </c>
      <c r="C1205" s="8" t="s">
        <v>4910</v>
      </c>
      <c r="D1205" s="8" t="s">
        <v>3868</v>
      </c>
    </row>
    <row r="1206" spans="1:4" ht="36" customHeight="1">
      <c r="A1206" s="26">
        <v>1201</v>
      </c>
      <c r="B1206" s="25" t="s">
        <v>4911</v>
      </c>
      <c r="C1206" s="8" t="s">
        <v>4912</v>
      </c>
      <c r="D1206" s="8" t="s">
        <v>3868</v>
      </c>
    </row>
    <row r="1207" spans="1:4" ht="36" customHeight="1">
      <c r="A1207" s="26">
        <v>1202</v>
      </c>
      <c r="B1207" s="25" t="s">
        <v>4913</v>
      </c>
      <c r="C1207" s="8" t="s">
        <v>4914</v>
      </c>
      <c r="D1207" s="8" t="s">
        <v>3868</v>
      </c>
    </row>
    <row r="1208" spans="1:4" ht="36" customHeight="1">
      <c r="A1208" s="26">
        <v>1203</v>
      </c>
      <c r="B1208" s="25" t="s">
        <v>4915</v>
      </c>
      <c r="C1208" s="8" t="s">
        <v>4916</v>
      </c>
      <c r="D1208" s="8" t="s">
        <v>3868</v>
      </c>
    </row>
    <row r="1209" spans="1:4" ht="36" customHeight="1">
      <c r="A1209" s="26">
        <v>1204</v>
      </c>
      <c r="B1209" s="25" t="s">
        <v>4917</v>
      </c>
      <c r="C1209" s="8" t="s">
        <v>4918</v>
      </c>
      <c r="D1209" s="8" t="s">
        <v>3868</v>
      </c>
    </row>
    <row r="1210" spans="1:4" ht="36" customHeight="1">
      <c r="A1210" s="26">
        <v>1205</v>
      </c>
      <c r="B1210" s="25" t="s">
        <v>4919</v>
      </c>
      <c r="C1210" s="8" t="s">
        <v>4920</v>
      </c>
      <c r="D1210" s="8" t="s">
        <v>3868</v>
      </c>
    </row>
    <row r="1211" spans="1:4" ht="36" customHeight="1">
      <c r="A1211" s="26">
        <v>1206</v>
      </c>
      <c r="B1211" s="25" t="s">
        <v>4921</v>
      </c>
      <c r="C1211" s="8" t="s">
        <v>4922</v>
      </c>
      <c r="D1211" s="8" t="s">
        <v>3868</v>
      </c>
    </row>
    <row r="1212" spans="1:4" ht="36" customHeight="1">
      <c r="A1212" s="26">
        <v>1207</v>
      </c>
      <c r="B1212" s="25" t="s">
        <v>4923</v>
      </c>
      <c r="C1212" s="8" t="s">
        <v>4924</v>
      </c>
      <c r="D1212" s="8" t="s">
        <v>3868</v>
      </c>
    </row>
    <row r="1213" spans="1:4" ht="36" customHeight="1">
      <c r="A1213" s="26">
        <v>1208</v>
      </c>
      <c r="B1213" s="25" t="s">
        <v>4925</v>
      </c>
      <c r="C1213" s="8" t="s">
        <v>4926</v>
      </c>
      <c r="D1213" s="8" t="s">
        <v>3868</v>
      </c>
    </row>
    <row r="1214" spans="1:4" ht="36" customHeight="1">
      <c r="A1214" s="26">
        <v>1209</v>
      </c>
      <c r="B1214" s="25" t="s">
        <v>4927</v>
      </c>
      <c r="C1214" s="8" t="s">
        <v>4928</v>
      </c>
      <c r="D1214" s="8" t="s">
        <v>3868</v>
      </c>
    </row>
    <row r="1215" spans="1:4" ht="36" customHeight="1">
      <c r="A1215" s="26">
        <v>1210</v>
      </c>
      <c r="B1215" s="25" t="s">
        <v>4929</v>
      </c>
      <c r="C1215" s="8" t="s">
        <v>4930</v>
      </c>
      <c r="D1215" s="8" t="s">
        <v>3868</v>
      </c>
    </row>
    <row r="1216" spans="1:4" ht="36" customHeight="1">
      <c r="A1216" s="26">
        <v>1211</v>
      </c>
      <c r="B1216" s="25" t="s">
        <v>4931</v>
      </c>
      <c r="C1216" s="8" t="s">
        <v>4932</v>
      </c>
      <c r="D1216" s="8" t="s">
        <v>3868</v>
      </c>
    </row>
    <row r="1217" spans="1:4" ht="36" customHeight="1">
      <c r="A1217" s="26">
        <v>1212</v>
      </c>
      <c r="B1217" s="25" t="s">
        <v>4933</v>
      </c>
      <c r="C1217" s="8" t="s">
        <v>4934</v>
      </c>
      <c r="D1217" s="8" t="s">
        <v>3868</v>
      </c>
    </row>
    <row r="1218" spans="1:4" ht="36" customHeight="1">
      <c r="A1218" s="26">
        <v>1213</v>
      </c>
      <c r="B1218" s="25" t="s">
        <v>4935</v>
      </c>
      <c r="C1218" s="8" t="s">
        <v>4936</v>
      </c>
      <c r="D1218" s="8" t="s">
        <v>3868</v>
      </c>
    </row>
    <row r="1219" spans="1:4" ht="36" customHeight="1">
      <c r="A1219" s="26">
        <v>1214</v>
      </c>
      <c r="B1219" s="25" t="s">
        <v>4937</v>
      </c>
      <c r="C1219" s="8" t="s">
        <v>4938</v>
      </c>
      <c r="D1219" s="8" t="s">
        <v>3868</v>
      </c>
    </row>
    <row r="1220" spans="1:4" ht="36" customHeight="1">
      <c r="A1220" s="26">
        <v>1215</v>
      </c>
      <c r="B1220" s="25" t="s">
        <v>4939</v>
      </c>
      <c r="C1220" s="8" t="s">
        <v>4940</v>
      </c>
      <c r="D1220" s="8" t="s">
        <v>3868</v>
      </c>
    </row>
    <row r="1221" spans="1:4" ht="36" customHeight="1">
      <c r="A1221" s="26">
        <v>1216</v>
      </c>
      <c r="B1221" s="25" t="s">
        <v>4941</v>
      </c>
      <c r="C1221" s="8" t="s">
        <v>4942</v>
      </c>
      <c r="D1221" s="8" t="s">
        <v>3868</v>
      </c>
    </row>
    <row r="1222" spans="1:4" ht="36" customHeight="1">
      <c r="A1222" s="26">
        <v>1217</v>
      </c>
      <c r="B1222" s="25" t="s">
        <v>4943</v>
      </c>
      <c r="C1222" s="8" t="s">
        <v>4944</v>
      </c>
      <c r="D1222" s="8" t="s">
        <v>3868</v>
      </c>
    </row>
    <row r="1223" spans="1:4" ht="36" customHeight="1">
      <c r="A1223" s="26">
        <v>1218</v>
      </c>
      <c r="B1223" s="25" t="s">
        <v>4945</v>
      </c>
      <c r="C1223" s="8" t="s">
        <v>4946</v>
      </c>
      <c r="D1223" s="8" t="s">
        <v>3868</v>
      </c>
    </row>
    <row r="1224" spans="1:4" ht="36" customHeight="1">
      <c r="A1224" s="26">
        <v>1219</v>
      </c>
      <c r="B1224" s="25" t="s">
        <v>4947</v>
      </c>
      <c r="C1224" s="8" t="s">
        <v>4948</v>
      </c>
      <c r="D1224" s="8" t="s">
        <v>3868</v>
      </c>
    </row>
    <row r="1225" spans="1:4" ht="36" customHeight="1">
      <c r="A1225" s="26">
        <v>1220</v>
      </c>
      <c r="B1225" s="25" t="s">
        <v>4949</v>
      </c>
      <c r="C1225" s="8" t="s">
        <v>4950</v>
      </c>
      <c r="D1225" s="8" t="s">
        <v>3868</v>
      </c>
    </row>
    <row r="1226" spans="1:4" ht="36" customHeight="1">
      <c r="A1226" s="26">
        <v>1221</v>
      </c>
      <c r="B1226" s="25" t="s">
        <v>4951</v>
      </c>
      <c r="C1226" s="8" t="s">
        <v>4952</v>
      </c>
      <c r="D1226" s="8" t="s">
        <v>3868</v>
      </c>
    </row>
    <row r="1227" spans="1:4" ht="36" customHeight="1">
      <c r="A1227" s="26">
        <v>1222</v>
      </c>
      <c r="B1227" s="25" t="s">
        <v>4953</v>
      </c>
      <c r="C1227" s="8" t="s">
        <v>4954</v>
      </c>
      <c r="D1227" s="8" t="s">
        <v>3868</v>
      </c>
    </row>
    <row r="1228" spans="1:4" ht="36" customHeight="1">
      <c r="A1228" s="26">
        <v>1223</v>
      </c>
      <c r="B1228" s="25" t="s">
        <v>4955</v>
      </c>
      <c r="C1228" s="8" t="s">
        <v>4956</v>
      </c>
      <c r="D1228" s="8" t="s">
        <v>3868</v>
      </c>
    </row>
    <row r="1229" spans="1:4" ht="36" customHeight="1">
      <c r="A1229" s="26">
        <v>1224</v>
      </c>
      <c r="B1229" s="25" t="s">
        <v>4957</v>
      </c>
      <c r="C1229" s="8" t="s">
        <v>4958</v>
      </c>
      <c r="D1229" s="8" t="s">
        <v>3868</v>
      </c>
    </row>
    <row r="1230" spans="1:4" ht="36" customHeight="1">
      <c r="A1230" s="26">
        <v>1225</v>
      </c>
      <c r="B1230" s="25" t="s">
        <v>4959</v>
      </c>
      <c r="C1230" s="8" t="s">
        <v>4960</v>
      </c>
      <c r="D1230" s="8" t="s">
        <v>3868</v>
      </c>
    </row>
    <row r="1231" spans="1:4" ht="36" customHeight="1">
      <c r="A1231" s="26">
        <v>1226</v>
      </c>
      <c r="B1231" s="25" t="s">
        <v>4961</v>
      </c>
      <c r="C1231" s="8" t="s">
        <v>4962</v>
      </c>
      <c r="D1231" s="8" t="s">
        <v>3868</v>
      </c>
    </row>
    <row r="1232" spans="1:4" ht="36" customHeight="1">
      <c r="A1232" s="26">
        <v>1227</v>
      </c>
      <c r="B1232" s="25" t="s">
        <v>4963</v>
      </c>
      <c r="C1232" s="8" t="s">
        <v>4964</v>
      </c>
      <c r="D1232" s="8" t="s">
        <v>3868</v>
      </c>
    </row>
    <row r="1233" spans="1:4" ht="36" customHeight="1">
      <c r="A1233" s="26">
        <v>1228</v>
      </c>
      <c r="B1233" s="25" t="s">
        <v>4965</v>
      </c>
      <c r="C1233" s="8" t="s">
        <v>4966</v>
      </c>
      <c r="D1233" s="8" t="s">
        <v>3868</v>
      </c>
    </row>
    <row r="1234" spans="1:4" ht="36" customHeight="1">
      <c r="A1234" s="26">
        <v>1229</v>
      </c>
      <c r="B1234" s="25" t="s">
        <v>4967</v>
      </c>
      <c r="C1234" s="8" t="s">
        <v>4968</v>
      </c>
      <c r="D1234" s="8" t="s">
        <v>3868</v>
      </c>
    </row>
    <row r="1235" spans="1:4" ht="36" customHeight="1">
      <c r="A1235" s="26">
        <v>1230</v>
      </c>
      <c r="B1235" s="25" t="s">
        <v>4969</v>
      </c>
      <c r="C1235" s="8" t="s">
        <v>4970</v>
      </c>
      <c r="D1235" s="8" t="s">
        <v>3868</v>
      </c>
    </row>
    <row r="1236" spans="1:4" ht="36" customHeight="1">
      <c r="A1236" s="26">
        <v>1231</v>
      </c>
      <c r="B1236" s="25" t="s">
        <v>4971</v>
      </c>
      <c r="C1236" s="8" t="s">
        <v>4972</v>
      </c>
      <c r="D1236" s="8" t="s">
        <v>3868</v>
      </c>
    </row>
    <row r="1237" spans="1:4" ht="36" customHeight="1">
      <c r="A1237" s="26">
        <v>1232</v>
      </c>
      <c r="B1237" s="25" t="s">
        <v>4973</v>
      </c>
      <c r="C1237" s="8" t="s">
        <v>4974</v>
      </c>
      <c r="D1237" s="8" t="s">
        <v>3868</v>
      </c>
    </row>
    <row r="1238" spans="1:4" ht="36" customHeight="1">
      <c r="A1238" s="26">
        <v>1233</v>
      </c>
      <c r="B1238" s="25" t="s">
        <v>4975</v>
      </c>
      <c r="C1238" s="8" t="s">
        <v>4976</v>
      </c>
      <c r="D1238" s="8" t="s">
        <v>3868</v>
      </c>
    </row>
    <row r="1239" spans="1:4" ht="36" customHeight="1">
      <c r="A1239" s="26">
        <v>1234</v>
      </c>
      <c r="B1239" s="25" t="s">
        <v>4977</v>
      </c>
      <c r="C1239" s="8" t="s">
        <v>4978</v>
      </c>
      <c r="D1239" s="8" t="s">
        <v>3868</v>
      </c>
    </row>
    <row r="1240" spans="1:4" ht="36" customHeight="1">
      <c r="A1240" s="26">
        <v>1235</v>
      </c>
      <c r="B1240" s="25" t="s">
        <v>4979</v>
      </c>
      <c r="C1240" s="8" t="s">
        <v>4980</v>
      </c>
      <c r="D1240" s="8" t="s">
        <v>3868</v>
      </c>
    </row>
    <row r="1241" spans="1:4" ht="36" customHeight="1">
      <c r="A1241" s="26">
        <v>1236</v>
      </c>
      <c r="B1241" s="25" t="s">
        <v>4981</v>
      </c>
      <c r="C1241" s="8" t="s">
        <v>4982</v>
      </c>
      <c r="D1241" s="8" t="s">
        <v>3868</v>
      </c>
    </row>
    <row r="1242" spans="1:4" ht="36" customHeight="1">
      <c r="A1242" s="26">
        <v>1237</v>
      </c>
      <c r="B1242" s="25" t="s">
        <v>4983</v>
      </c>
      <c r="C1242" s="8" t="s">
        <v>4984</v>
      </c>
      <c r="D1242" s="8" t="s">
        <v>3868</v>
      </c>
    </row>
    <row r="1243" spans="1:4" ht="36" customHeight="1">
      <c r="A1243" s="26">
        <v>1238</v>
      </c>
      <c r="B1243" s="25" t="s">
        <v>4985</v>
      </c>
      <c r="C1243" s="8" t="s">
        <v>4986</v>
      </c>
      <c r="D1243" s="8" t="s">
        <v>3868</v>
      </c>
    </row>
    <row r="1244" spans="1:4" ht="36" customHeight="1">
      <c r="A1244" s="26">
        <v>1239</v>
      </c>
      <c r="B1244" s="25" t="s">
        <v>4987</v>
      </c>
      <c r="C1244" s="8" t="s">
        <v>4988</v>
      </c>
      <c r="D1244" s="8" t="s">
        <v>3868</v>
      </c>
    </row>
    <row r="1245" spans="1:4" ht="36" customHeight="1">
      <c r="A1245" s="26">
        <v>1240</v>
      </c>
      <c r="B1245" s="25" t="s">
        <v>4989</v>
      </c>
      <c r="C1245" s="8" t="s">
        <v>4990</v>
      </c>
      <c r="D1245" s="8" t="s">
        <v>3868</v>
      </c>
    </row>
    <row r="1246" spans="1:4" ht="36" customHeight="1">
      <c r="A1246" s="26">
        <v>1241</v>
      </c>
      <c r="B1246" s="25" t="s">
        <v>4991</v>
      </c>
      <c r="C1246" s="8" t="s">
        <v>4992</v>
      </c>
      <c r="D1246" s="8" t="s">
        <v>3868</v>
      </c>
    </row>
    <row r="1247" spans="1:4" ht="36" customHeight="1">
      <c r="A1247" s="26">
        <v>1242</v>
      </c>
      <c r="B1247" s="25" t="s">
        <v>4993</v>
      </c>
      <c r="C1247" s="8" t="s">
        <v>4994</v>
      </c>
      <c r="D1247" s="8" t="s">
        <v>3868</v>
      </c>
    </row>
    <row r="1248" spans="1:4" ht="36" customHeight="1">
      <c r="A1248" s="26">
        <v>1243</v>
      </c>
      <c r="B1248" s="25" t="s">
        <v>4995</v>
      </c>
      <c r="C1248" s="8" t="s">
        <v>4996</v>
      </c>
      <c r="D1248" s="8" t="s">
        <v>3868</v>
      </c>
    </row>
    <row r="1249" spans="1:4" ht="36" customHeight="1">
      <c r="A1249" s="26">
        <v>1244</v>
      </c>
      <c r="B1249" s="25" t="s">
        <v>4997</v>
      </c>
      <c r="C1249" s="8" t="s">
        <v>4998</v>
      </c>
      <c r="D1249" s="8" t="s">
        <v>3868</v>
      </c>
    </row>
    <row r="1250" spans="1:4" ht="36" customHeight="1">
      <c r="A1250" s="26">
        <v>1245</v>
      </c>
      <c r="B1250" s="25" t="s">
        <v>4999</v>
      </c>
      <c r="C1250" s="8" t="s">
        <v>5000</v>
      </c>
      <c r="D1250" s="8" t="s">
        <v>3868</v>
      </c>
    </row>
    <row r="1251" spans="1:4" ht="36" customHeight="1">
      <c r="A1251" s="26">
        <v>1246</v>
      </c>
      <c r="B1251" s="25" t="s">
        <v>5001</v>
      </c>
      <c r="C1251" s="8" t="s">
        <v>5002</v>
      </c>
      <c r="D1251" s="8" t="s">
        <v>3868</v>
      </c>
    </row>
    <row r="1252" spans="1:4" ht="36" customHeight="1">
      <c r="A1252" s="26">
        <v>1247</v>
      </c>
      <c r="B1252" s="25" t="s">
        <v>5003</v>
      </c>
      <c r="C1252" s="8" t="s">
        <v>5004</v>
      </c>
      <c r="D1252" s="8" t="s">
        <v>3868</v>
      </c>
    </row>
    <row r="1253" spans="1:4" ht="36" customHeight="1">
      <c r="A1253" s="26">
        <v>1248</v>
      </c>
      <c r="B1253" s="25" t="s">
        <v>5005</v>
      </c>
      <c r="C1253" s="8" t="s">
        <v>5006</v>
      </c>
      <c r="D1253" s="8" t="s">
        <v>3868</v>
      </c>
    </row>
    <row r="1254" spans="1:4" ht="36" customHeight="1">
      <c r="A1254" s="26">
        <v>1249</v>
      </c>
      <c r="B1254" s="25" t="s">
        <v>5007</v>
      </c>
      <c r="C1254" s="8" t="s">
        <v>5008</v>
      </c>
      <c r="D1254" s="8" t="s">
        <v>3868</v>
      </c>
    </row>
    <row r="1255" spans="1:4" ht="36" customHeight="1">
      <c r="A1255" s="26">
        <v>1250</v>
      </c>
      <c r="B1255" s="25" t="s">
        <v>5009</v>
      </c>
      <c r="C1255" s="8" t="s">
        <v>5010</v>
      </c>
      <c r="D1255" s="8" t="s">
        <v>3868</v>
      </c>
    </row>
    <row r="1256" spans="1:4" ht="36" customHeight="1">
      <c r="A1256" s="26">
        <v>1251</v>
      </c>
      <c r="B1256" s="25" t="s">
        <v>5011</v>
      </c>
      <c r="C1256" s="8" t="s">
        <v>5012</v>
      </c>
      <c r="D1256" s="8" t="s">
        <v>3868</v>
      </c>
    </row>
    <row r="1257" spans="1:4" ht="36" customHeight="1">
      <c r="A1257" s="26">
        <v>1252</v>
      </c>
      <c r="B1257" s="25" t="s">
        <v>5013</v>
      </c>
      <c r="C1257" s="8" t="s">
        <v>5014</v>
      </c>
      <c r="D1257" s="8" t="s">
        <v>3868</v>
      </c>
    </row>
    <row r="1258" spans="1:4" ht="36" customHeight="1">
      <c r="A1258" s="26">
        <v>1253</v>
      </c>
      <c r="B1258" s="25" t="s">
        <v>5015</v>
      </c>
      <c r="C1258" s="8" t="s">
        <v>5016</v>
      </c>
      <c r="D1258" s="8" t="s">
        <v>3868</v>
      </c>
    </row>
    <row r="1259" spans="1:4" ht="36" customHeight="1">
      <c r="A1259" s="26">
        <v>1254</v>
      </c>
      <c r="B1259" s="25" t="s">
        <v>5017</v>
      </c>
      <c r="C1259" s="8" t="s">
        <v>5018</v>
      </c>
      <c r="D1259" s="8" t="s">
        <v>3868</v>
      </c>
    </row>
    <row r="1260" spans="1:4" ht="36" customHeight="1">
      <c r="A1260" s="26">
        <v>1255</v>
      </c>
      <c r="B1260" s="25" t="s">
        <v>5019</v>
      </c>
      <c r="C1260" s="8" t="s">
        <v>5020</v>
      </c>
      <c r="D1260" s="8" t="s">
        <v>3868</v>
      </c>
    </row>
    <row r="1261" spans="1:4" ht="36" customHeight="1">
      <c r="A1261" s="26">
        <v>1256</v>
      </c>
      <c r="B1261" s="25" t="s">
        <v>5021</v>
      </c>
      <c r="C1261" s="8" t="s">
        <v>5022</v>
      </c>
      <c r="D1261" s="8" t="s">
        <v>3868</v>
      </c>
    </row>
    <row r="1262" spans="1:4" ht="36" customHeight="1">
      <c r="A1262" s="26">
        <v>1257</v>
      </c>
      <c r="B1262" s="25" t="s">
        <v>5023</v>
      </c>
      <c r="C1262" s="8" t="s">
        <v>5024</v>
      </c>
      <c r="D1262" s="8" t="s">
        <v>3868</v>
      </c>
    </row>
    <row r="1263" spans="1:4" ht="36" customHeight="1">
      <c r="A1263" s="26">
        <v>1258</v>
      </c>
      <c r="B1263" s="25" t="s">
        <v>5025</v>
      </c>
      <c r="C1263" s="8" t="s">
        <v>5026</v>
      </c>
      <c r="D1263" s="8" t="s">
        <v>3868</v>
      </c>
    </row>
    <row r="1264" spans="1:4" ht="36" customHeight="1">
      <c r="A1264" s="26">
        <v>1259</v>
      </c>
      <c r="B1264" s="25" t="s">
        <v>5027</v>
      </c>
      <c r="C1264" s="8" t="s">
        <v>5028</v>
      </c>
      <c r="D1264" s="8" t="s">
        <v>3868</v>
      </c>
    </row>
    <row r="1265" spans="1:4" ht="36" customHeight="1">
      <c r="A1265" s="26">
        <v>1260</v>
      </c>
      <c r="B1265" s="25" t="s">
        <v>5029</v>
      </c>
      <c r="C1265" s="8" t="s">
        <v>5030</v>
      </c>
      <c r="D1265" s="8" t="s">
        <v>3868</v>
      </c>
    </row>
    <row r="1266" spans="1:4" ht="36" customHeight="1">
      <c r="A1266" s="26">
        <v>1261</v>
      </c>
      <c r="B1266" s="25" t="s">
        <v>5031</v>
      </c>
      <c r="C1266" s="8" t="s">
        <v>5032</v>
      </c>
      <c r="D1266" s="8" t="s">
        <v>3868</v>
      </c>
    </row>
    <row r="1267" spans="1:4" ht="36" customHeight="1">
      <c r="A1267" s="26">
        <v>1262</v>
      </c>
      <c r="B1267" s="25" t="s">
        <v>5033</v>
      </c>
      <c r="C1267" s="8" t="s">
        <v>5034</v>
      </c>
      <c r="D1267" s="8" t="s">
        <v>3868</v>
      </c>
    </row>
    <row r="1268" spans="1:4" ht="36" customHeight="1">
      <c r="A1268" s="26">
        <v>1263</v>
      </c>
      <c r="B1268" s="25" t="s">
        <v>5035</v>
      </c>
      <c r="C1268" s="8" t="s">
        <v>5036</v>
      </c>
      <c r="D1268" s="8" t="s">
        <v>3868</v>
      </c>
    </row>
    <row r="1269" spans="1:4" ht="36" customHeight="1">
      <c r="A1269" s="26">
        <v>1264</v>
      </c>
      <c r="B1269" s="25" t="s">
        <v>5037</v>
      </c>
      <c r="C1269" s="8" t="s">
        <v>5038</v>
      </c>
      <c r="D1269" s="8" t="s">
        <v>3868</v>
      </c>
    </row>
    <row r="1270" spans="1:4" ht="36" customHeight="1">
      <c r="A1270" s="26">
        <v>1265</v>
      </c>
      <c r="B1270" s="25" t="s">
        <v>5039</v>
      </c>
      <c r="C1270" s="8" t="s">
        <v>5040</v>
      </c>
      <c r="D1270" s="8" t="s">
        <v>3868</v>
      </c>
    </row>
    <row r="1271" spans="1:4" ht="36" customHeight="1">
      <c r="A1271" s="26">
        <v>1266</v>
      </c>
      <c r="B1271" s="25" t="s">
        <v>5041</v>
      </c>
      <c r="C1271" s="8" t="s">
        <v>5042</v>
      </c>
      <c r="D1271" s="8" t="s">
        <v>3868</v>
      </c>
    </row>
    <row r="1272" spans="1:4" ht="36" customHeight="1">
      <c r="A1272" s="26">
        <v>1267</v>
      </c>
      <c r="B1272" s="25" t="s">
        <v>5043</v>
      </c>
      <c r="C1272" s="8" t="s">
        <v>5044</v>
      </c>
      <c r="D1272" s="8" t="s">
        <v>3868</v>
      </c>
    </row>
    <row r="1273" spans="1:4" ht="36" customHeight="1">
      <c r="A1273" s="26">
        <v>1268</v>
      </c>
      <c r="B1273" s="25" t="s">
        <v>5045</v>
      </c>
      <c r="C1273" s="8" t="s">
        <v>5046</v>
      </c>
      <c r="D1273" s="8" t="s">
        <v>3868</v>
      </c>
    </row>
    <row r="1274" spans="1:4" ht="36" customHeight="1">
      <c r="A1274" s="26">
        <v>1269</v>
      </c>
      <c r="B1274" s="25" t="s">
        <v>5047</v>
      </c>
      <c r="C1274" s="8" t="s">
        <v>5048</v>
      </c>
      <c r="D1274" s="8" t="s">
        <v>3868</v>
      </c>
    </row>
    <row r="1275" spans="1:4" ht="36" customHeight="1">
      <c r="A1275" s="26">
        <v>1270</v>
      </c>
      <c r="B1275" s="25" t="s">
        <v>5049</v>
      </c>
      <c r="C1275" s="8" t="s">
        <v>5050</v>
      </c>
      <c r="D1275" s="8" t="s">
        <v>3868</v>
      </c>
    </row>
    <row r="1276" spans="1:4" ht="36" customHeight="1">
      <c r="A1276" s="26">
        <v>1271</v>
      </c>
      <c r="B1276" s="25" t="s">
        <v>5051</v>
      </c>
      <c r="C1276" s="8" t="s">
        <v>5052</v>
      </c>
      <c r="D1276" s="8" t="s">
        <v>3868</v>
      </c>
    </row>
    <row r="1277" spans="1:4" ht="36" customHeight="1">
      <c r="A1277" s="26">
        <v>1272</v>
      </c>
      <c r="B1277" s="25" t="s">
        <v>5053</v>
      </c>
      <c r="C1277" s="8" t="s">
        <v>5054</v>
      </c>
      <c r="D1277" s="8" t="s">
        <v>3868</v>
      </c>
    </row>
    <row r="1278" spans="1:4" ht="36" customHeight="1">
      <c r="A1278" s="26">
        <v>1273</v>
      </c>
      <c r="B1278" s="25" t="s">
        <v>5055</v>
      </c>
      <c r="C1278" s="8" t="s">
        <v>5056</v>
      </c>
      <c r="D1278" s="8" t="s">
        <v>3868</v>
      </c>
    </row>
    <row r="1279" spans="1:4" ht="36" customHeight="1">
      <c r="A1279" s="26">
        <v>1274</v>
      </c>
      <c r="B1279" s="25" t="s">
        <v>5057</v>
      </c>
      <c r="C1279" s="8" t="s">
        <v>5058</v>
      </c>
      <c r="D1279" s="8" t="s">
        <v>3868</v>
      </c>
    </row>
    <row r="1280" spans="1:4" ht="36" customHeight="1">
      <c r="A1280" s="26">
        <v>1275</v>
      </c>
      <c r="B1280" s="25" t="s">
        <v>5059</v>
      </c>
      <c r="C1280" s="8" t="s">
        <v>5060</v>
      </c>
      <c r="D1280" s="8" t="s">
        <v>3868</v>
      </c>
    </row>
    <row r="1281" spans="1:4" ht="36" customHeight="1">
      <c r="A1281" s="26">
        <v>1276</v>
      </c>
      <c r="B1281" s="25" t="s">
        <v>5061</v>
      </c>
      <c r="C1281" s="8" t="s">
        <v>5062</v>
      </c>
      <c r="D1281" s="8" t="s">
        <v>3868</v>
      </c>
    </row>
    <row r="1282" spans="1:4" ht="36" customHeight="1">
      <c r="A1282" s="26">
        <v>1277</v>
      </c>
      <c r="B1282" s="25" t="s">
        <v>5063</v>
      </c>
      <c r="C1282" s="8" t="s">
        <v>5064</v>
      </c>
      <c r="D1282" s="8" t="s">
        <v>3868</v>
      </c>
    </row>
    <row r="1283" spans="1:4" ht="36" customHeight="1">
      <c r="A1283" s="26">
        <v>1278</v>
      </c>
      <c r="B1283" s="25" t="s">
        <v>5065</v>
      </c>
      <c r="C1283" s="8" t="s">
        <v>4648</v>
      </c>
      <c r="D1283" s="8" t="s">
        <v>3868</v>
      </c>
    </row>
    <row r="1284" spans="1:4" ht="36" customHeight="1">
      <c r="A1284" s="26">
        <v>1279</v>
      </c>
      <c r="B1284" s="25" t="s">
        <v>5066</v>
      </c>
      <c r="C1284" s="8" t="s">
        <v>5067</v>
      </c>
      <c r="D1284" s="8" t="s">
        <v>3868</v>
      </c>
    </row>
    <row r="1285" spans="1:4" ht="36" customHeight="1">
      <c r="A1285" s="26">
        <v>1280</v>
      </c>
      <c r="B1285" s="25" t="s">
        <v>5068</v>
      </c>
      <c r="C1285" s="8" t="s">
        <v>5069</v>
      </c>
      <c r="D1285" s="8" t="s">
        <v>3868</v>
      </c>
    </row>
    <row r="1286" spans="1:4" ht="36" customHeight="1">
      <c r="A1286" s="26">
        <v>1281</v>
      </c>
      <c r="B1286" s="25" t="s">
        <v>5070</v>
      </c>
      <c r="C1286" s="8" t="s">
        <v>5071</v>
      </c>
      <c r="D1286" s="8" t="s">
        <v>3868</v>
      </c>
    </row>
    <row r="1287" spans="1:4" ht="36" customHeight="1">
      <c r="A1287" s="26">
        <v>1282</v>
      </c>
      <c r="B1287" s="25" t="s">
        <v>5072</v>
      </c>
      <c r="C1287" s="8" t="s">
        <v>5073</v>
      </c>
      <c r="D1287" s="8" t="s">
        <v>3868</v>
      </c>
    </row>
    <row r="1288" spans="1:4" ht="36" customHeight="1">
      <c r="A1288" s="26">
        <v>1283</v>
      </c>
      <c r="B1288" s="25" t="s">
        <v>5074</v>
      </c>
      <c r="C1288" s="8" t="s">
        <v>5075</v>
      </c>
      <c r="D1288" s="8" t="s">
        <v>3868</v>
      </c>
    </row>
    <row r="1289" spans="1:4" ht="36" customHeight="1">
      <c r="A1289" s="26">
        <v>1284</v>
      </c>
      <c r="B1289" s="25" t="s">
        <v>5076</v>
      </c>
      <c r="C1289" s="8" t="s">
        <v>5077</v>
      </c>
      <c r="D1289" s="8" t="s">
        <v>3868</v>
      </c>
    </row>
    <row r="1290" spans="1:4" ht="36" customHeight="1">
      <c r="A1290" s="26">
        <v>1285</v>
      </c>
      <c r="B1290" s="25" t="s">
        <v>5078</v>
      </c>
      <c r="C1290" s="8" t="s">
        <v>5079</v>
      </c>
      <c r="D1290" s="8" t="s">
        <v>3868</v>
      </c>
    </row>
    <row r="1291" spans="1:4" ht="36" customHeight="1">
      <c r="A1291" s="26">
        <v>1286</v>
      </c>
      <c r="B1291" s="25" t="s">
        <v>5080</v>
      </c>
      <c r="C1291" s="8" t="s">
        <v>5081</v>
      </c>
      <c r="D1291" s="8" t="s">
        <v>3868</v>
      </c>
    </row>
    <row r="1292" spans="1:4" ht="36" customHeight="1">
      <c r="A1292" s="26">
        <v>1287</v>
      </c>
      <c r="B1292" s="25" t="s">
        <v>5082</v>
      </c>
      <c r="C1292" s="8" t="s">
        <v>5083</v>
      </c>
      <c r="D1292" s="8" t="s">
        <v>3868</v>
      </c>
    </row>
    <row r="1293" spans="1:4" ht="36" customHeight="1">
      <c r="A1293" s="26">
        <v>1288</v>
      </c>
      <c r="B1293" s="25" t="s">
        <v>5084</v>
      </c>
      <c r="C1293" s="8" t="s">
        <v>5085</v>
      </c>
      <c r="D1293" s="8" t="s">
        <v>3868</v>
      </c>
    </row>
    <row r="1294" spans="1:4" ht="36" customHeight="1">
      <c r="A1294" s="26">
        <v>1289</v>
      </c>
      <c r="B1294" s="25" t="s">
        <v>5086</v>
      </c>
      <c r="C1294" s="8" t="s">
        <v>5087</v>
      </c>
      <c r="D1294" s="8" t="s">
        <v>3868</v>
      </c>
    </row>
    <row r="1295" spans="1:4" ht="36" customHeight="1">
      <c r="A1295" s="26">
        <v>1290</v>
      </c>
      <c r="B1295" s="25" t="s">
        <v>5088</v>
      </c>
      <c r="C1295" s="8" t="s">
        <v>5089</v>
      </c>
      <c r="D1295" s="8" t="s">
        <v>3868</v>
      </c>
    </row>
    <row r="1296" spans="1:4" ht="36" customHeight="1">
      <c r="A1296" s="26">
        <v>1291</v>
      </c>
      <c r="B1296" s="25" t="s">
        <v>5090</v>
      </c>
      <c r="C1296" s="8" t="s">
        <v>5091</v>
      </c>
      <c r="D1296" s="8" t="s">
        <v>3868</v>
      </c>
    </row>
    <row r="1297" spans="1:4" ht="36" customHeight="1">
      <c r="A1297" s="26">
        <v>1292</v>
      </c>
      <c r="B1297" s="25" t="s">
        <v>5092</v>
      </c>
      <c r="C1297" s="8" t="s">
        <v>5093</v>
      </c>
      <c r="D1297" s="8" t="s">
        <v>3868</v>
      </c>
    </row>
    <row r="1298" spans="1:4" ht="36" customHeight="1">
      <c r="A1298" s="26">
        <v>1293</v>
      </c>
      <c r="B1298" s="25" t="s">
        <v>5094</v>
      </c>
      <c r="C1298" s="8" t="s">
        <v>5095</v>
      </c>
      <c r="D1298" s="8" t="s">
        <v>3868</v>
      </c>
    </row>
    <row r="1299" spans="1:4" ht="36" customHeight="1">
      <c r="A1299" s="26">
        <v>1294</v>
      </c>
      <c r="B1299" s="25" t="s">
        <v>5096</v>
      </c>
      <c r="C1299" s="8" t="s">
        <v>5097</v>
      </c>
      <c r="D1299" s="8" t="s">
        <v>3868</v>
      </c>
    </row>
    <row r="1300" spans="1:4" ht="36" customHeight="1">
      <c r="A1300" s="26">
        <v>1295</v>
      </c>
      <c r="B1300" s="25" t="s">
        <v>5098</v>
      </c>
      <c r="C1300" s="8" t="s">
        <v>5099</v>
      </c>
      <c r="D1300" s="8" t="s">
        <v>3868</v>
      </c>
    </row>
    <row r="1301" spans="1:4" ht="36" customHeight="1">
      <c r="A1301" s="26">
        <v>1296</v>
      </c>
      <c r="B1301" s="25" t="s">
        <v>5100</v>
      </c>
      <c r="C1301" s="8" t="s">
        <v>5101</v>
      </c>
      <c r="D1301" s="8" t="s">
        <v>3868</v>
      </c>
    </row>
    <row r="1302" spans="1:4" ht="36" customHeight="1">
      <c r="A1302" s="26">
        <v>1297</v>
      </c>
      <c r="B1302" s="25" t="s">
        <v>5102</v>
      </c>
      <c r="C1302" s="8" t="s">
        <v>5103</v>
      </c>
      <c r="D1302" s="8" t="s">
        <v>3868</v>
      </c>
    </row>
    <row r="1303" spans="1:4" ht="36" customHeight="1">
      <c r="A1303" s="26">
        <v>1298</v>
      </c>
      <c r="B1303" s="25" t="s">
        <v>5104</v>
      </c>
      <c r="C1303" s="8" t="s">
        <v>5105</v>
      </c>
      <c r="D1303" s="8" t="s">
        <v>3868</v>
      </c>
    </row>
    <row r="1304" spans="1:4" ht="36" customHeight="1">
      <c r="A1304" s="26">
        <v>1299</v>
      </c>
      <c r="B1304" s="25" t="s">
        <v>5106</v>
      </c>
      <c r="C1304" s="8" t="s">
        <v>5107</v>
      </c>
      <c r="D1304" s="8" t="s">
        <v>3868</v>
      </c>
    </row>
    <row r="1305" spans="1:4" ht="36" customHeight="1">
      <c r="A1305" s="26">
        <v>1300</v>
      </c>
      <c r="B1305" s="25" t="s">
        <v>5108</v>
      </c>
      <c r="C1305" s="8" t="s">
        <v>5109</v>
      </c>
      <c r="D1305" s="8" t="s">
        <v>3868</v>
      </c>
    </row>
    <row r="1306" spans="1:4" ht="36" customHeight="1">
      <c r="A1306" s="26">
        <v>1301</v>
      </c>
      <c r="B1306" s="25" t="s">
        <v>5110</v>
      </c>
      <c r="C1306" s="8" t="s">
        <v>5111</v>
      </c>
      <c r="D1306" s="8" t="s">
        <v>3868</v>
      </c>
    </row>
    <row r="1307" spans="1:4" ht="36" customHeight="1">
      <c r="A1307" s="26">
        <v>1302</v>
      </c>
      <c r="B1307" s="25" t="s">
        <v>5112</v>
      </c>
      <c r="C1307" s="8" t="s">
        <v>5113</v>
      </c>
      <c r="D1307" s="8" t="s">
        <v>3868</v>
      </c>
    </row>
    <row r="1308" spans="1:4" ht="36" customHeight="1">
      <c r="A1308" s="26">
        <v>1303</v>
      </c>
      <c r="B1308" s="25" t="s">
        <v>5114</v>
      </c>
      <c r="C1308" s="8" t="s">
        <v>5115</v>
      </c>
      <c r="D1308" s="8" t="s">
        <v>3868</v>
      </c>
    </row>
    <row r="1309" spans="1:4" ht="36" customHeight="1">
      <c r="A1309" s="26">
        <v>1304</v>
      </c>
      <c r="B1309" s="25" t="s">
        <v>5116</v>
      </c>
      <c r="C1309" s="8" t="s">
        <v>5117</v>
      </c>
      <c r="D1309" s="8" t="s">
        <v>3868</v>
      </c>
    </row>
    <row r="1310" spans="1:4" ht="36" customHeight="1">
      <c r="A1310" s="26">
        <v>1305</v>
      </c>
      <c r="B1310" s="25" t="s">
        <v>5118</v>
      </c>
      <c r="C1310" s="8" t="s">
        <v>5119</v>
      </c>
      <c r="D1310" s="8" t="s">
        <v>3868</v>
      </c>
    </row>
    <row r="1311" spans="1:4" ht="36" customHeight="1">
      <c r="A1311" s="26">
        <v>1306</v>
      </c>
      <c r="B1311" s="25" t="s">
        <v>5120</v>
      </c>
      <c r="C1311" s="8" t="s">
        <v>5121</v>
      </c>
      <c r="D1311" s="8" t="s">
        <v>3868</v>
      </c>
    </row>
    <row r="1312" spans="1:4" ht="36" customHeight="1">
      <c r="A1312" s="26">
        <v>1307</v>
      </c>
      <c r="B1312" s="25" t="s">
        <v>5122</v>
      </c>
      <c r="C1312" s="8" t="s">
        <v>5123</v>
      </c>
      <c r="D1312" s="8" t="s">
        <v>3868</v>
      </c>
    </row>
    <row r="1313" spans="1:4" ht="36" customHeight="1">
      <c r="A1313" s="26">
        <v>1308</v>
      </c>
      <c r="B1313" s="25" t="s">
        <v>5124</v>
      </c>
      <c r="C1313" s="8" t="s">
        <v>5125</v>
      </c>
      <c r="D1313" s="8" t="s">
        <v>3868</v>
      </c>
    </row>
    <row r="1314" spans="1:4" ht="36" customHeight="1">
      <c r="A1314" s="26">
        <v>1309</v>
      </c>
      <c r="B1314" s="25" t="s">
        <v>5126</v>
      </c>
      <c r="C1314" s="8" t="s">
        <v>5127</v>
      </c>
      <c r="D1314" s="8" t="s">
        <v>3868</v>
      </c>
    </row>
    <row r="1315" spans="1:4" ht="36" customHeight="1">
      <c r="A1315" s="26">
        <v>1310</v>
      </c>
      <c r="B1315" s="25" t="s">
        <v>5128</v>
      </c>
      <c r="C1315" s="8" t="s">
        <v>5129</v>
      </c>
      <c r="D1315" s="8" t="s">
        <v>3868</v>
      </c>
    </row>
    <row r="1316" spans="1:4" ht="36" customHeight="1">
      <c r="A1316" s="26">
        <v>1311</v>
      </c>
      <c r="B1316" s="25" t="s">
        <v>5130</v>
      </c>
      <c r="C1316" s="8" t="s">
        <v>5131</v>
      </c>
      <c r="D1316" s="8" t="s">
        <v>3868</v>
      </c>
    </row>
    <row r="1317" spans="1:4" ht="36" customHeight="1">
      <c r="A1317" s="26">
        <v>1312</v>
      </c>
      <c r="B1317" s="25" t="s">
        <v>5132</v>
      </c>
      <c r="C1317" s="8" t="s">
        <v>5133</v>
      </c>
      <c r="D1317" s="8" t="s">
        <v>3868</v>
      </c>
    </row>
    <row r="1318" spans="1:4" ht="36" customHeight="1">
      <c r="A1318" s="26">
        <v>1313</v>
      </c>
      <c r="B1318" s="25" t="s">
        <v>5134</v>
      </c>
      <c r="C1318" s="8" t="s">
        <v>5135</v>
      </c>
      <c r="D1318" s="8" t="s">
        <v>3868</v>
      </c>
    </row>
    <row r="1319" spans="1:4" ht="36" customHeight="1">
      <c r="A1319" s="26">
        <v>1314</v>
      </c>
      <c r="B1319" s="25" t="s">
        <v>5136</v>
      </c>
      <c r="C1319" s="8" t="s">
        <v>5137</v>
      </c>
      <c r="D1319" s="8" t="s">
        <v>3868</v>
      </c>
    </row>
    <row r="1320" spans="1:4" ht="36" customHeight="1">
      <c r="A1320" s="26">
        <v>1315</v>
      </c>
      <c r="B1320" s="25" t="s">
        <v>5138</v>
      </c>
      <c r="C1320" s="8" t="s">
        <v>5139</v>
      </c>
      <c r="D1320" s="8" t="s">
        <v>3868</v>
      </c>
    </row>
    <row r="1321" spans="1:4" ht="36" customHeight="1">
      <c r="A1321" s="26">
        <v>1316</v>
      </c>
      <c r="B1321" s="25" t="s">
        <v>5140</v>
      </c>
      <c r="C1321" s="8" t="s">
        <v>5141</v>
      </c>
      <c r="D1321" s="8" t="s">
        <v>3868</v>
      </c>
    </row>
    <row r="1322" spans="1:4" ht="36" customHeight="1">
      <c r="A1322" s="26">
        <v>1317</v>
      </c>
      <c r="B1322" s="25" t="s">
        <v>5142</v>
      </c>
      <c r="C1322" s="8" t="s">
        <v>5143</v>
      </c>
      <c r="D1322" s="8" t="s">
        <v>3868</v>
      </c>
    </row>
    <row r="1323" spans="1:4" ht="36" customHeight="1">
      <c r="A1323" s="26">
        <v>1318</v>
      </c>
      <c r="B1323" s="25" t="s">
        <v>5144</v>
      </c>
      <c r="C1323" s="8" t="s">
        <v>5145</v>
      </c>
      <c r="D1323" s="8" t="s">
        <v>3868</v>
      </c>
    </row>
    <row r="1324" spans="1:4" ht="36" customHeight="1">
      <c r="A1324" s="26">
        <v>1319</v>
      </c>
      <c r="B1324" s="25" t="s">
        <v>5146</v>
      </c>
      <c r="C1324" s="8" t="s">
        <v>5147</v>
      </c>
      <c r="D1324" s="8" t="s">
        <v>3868</v>
      </c>
    </row>
    <row r="1325" spans="1:4" ht="36" customHeight="1">
      <c r="A1325" s="26">
        <v>1320</v>
      </c>
      <c r="B1325" s="25" t="s">
        <v>5148</v>
      </c>
      <c r="C1325" s="8" t="s">
        <v>5149</v>
      </c>
      <c r="D1325" s="8" t="s">
        <v>3868</v>
      </c>
    </row>
    <row r="1326" spans="1:4" ht="36" customHeight="1">
      <c r="A1326" s="26">
        <v>1321</v>
      </c>
      <c r="B1326" s="25" t="s">
        <v>5150</v>
      </c>
      <c r="C1326" s="8" t="s">
        <v>5151</v>
      </c>
      <c r="D1326" s="8" t="s">
        <v>3868</v>
      </c>
    </row>
    <row r="1327" spans="1:4" ht="36" customHeight="1">
      <c r="A1327" s="26">
        <v>1322</v>
      </c>
      <c r="B1327" s="25" t="s">
        <v>5152</v>
      </c>
      <c r="C1327" s="8" t="s">
        <v>5153</v>
      </c>
      <c r="D1327" s="8" t="s">
        <v>3868</v>
      </c>
    </row>
    <row r="1328" spans="1:4" ht="36" customHeight="1">
      <c r="A1328" s="26">
        <v>1323</v>
      </c>
      <c r="B1328" s="25" t="s">
        <v>5154</v>
      </c>
      <c r="C1328" s="8" t="s">
        <v>5155</v>
      </c>
      <c r="D1328" s="8" t="s">
        <v>3868</v>
      </c>
    </row>
    <row r="1329" spans="1:4" ht="36" customHeight="1">
      <c r="A1329" s="26">
        <v>1324</v>
      </c>
      <c r="B1329" s="25" t="s">
        <v>5156</v>
      </c>
      <c r="C1329" s="8" t="s">
        <v>5157</v>
      </c>
      <c r="D1329" s="8" t="s">
        <v>3868</v>
      </c>
    </row>
    <row r="1330" spans="1:4" ht="36" customHeight="1">
      <c r="A1330" s="26">
        <v>1325</v>
      </c>
      <c r="B1330" s="25" t="s">
        <v>3055</v>
      </c>
      <c r="C1330" s="8" t="s">
        <v>3056</v>
      </c>
      <c r="D1330" s="8" t="s">
        <v>3868</v>
      </c>
    </row>
    <row r="1331" spans="1:4" ht="36" customHeight="1">
      <c r="A1331" s="26">
        <v>1326</v>
      </c>
      <c r="B1331" s="25" t="s">
        <v>5158</v>
      </c>
      <c r="C1331" s="8" t="s">
        <v>5159</v>
      </c>
      <c r="D1331" s="8" t="s">
        <v>3868</v>
      </c>
    </row>
    <row r="1332" spans="1:4" ht="36" customHeight="1">
      <c r="A1332" s="26">
        <v>1327</v>
      </c>
      <c r="B1332" s="25" t="s">
        <v>3079</v>
      </c>
      <c r="C1332" s="8" t="s">
        <v>3080</v>
      </c>
      <c r="D1332" s="8" t="s">
        <v>3868</v>
      </c>
    </row>
    <row r="1333" spans="1:4" ht="36" customHeight="1">
      <c r="A1333" s="26">
        <v>1328</v>
      </c>
      <c r="B1333" s="25" t="s">
        <v>5160</v>
      </c>
      <c r="C1333" s="8" t="s">
        <v>5161</v>
      </c>
      <c r="D1333" s="8" t="s">
        <v>3868</v>
      </c>
    </row>
    <row r="1334" spans="1:4" ht="36" customHeight="1">
      <c r="A1334" s="26">
        <v>1329</v>
      </c>
      <c r="B1334" s="25" t="s">
        <v>5162</v>
      </c>
      <c r="C1334" s="8" t="s">
        <v>5163</v>
      </c>
      <c r="D1334" s="8" t="s">
        <v>3868</v>
      </c>
    </row>
    <row r="1335" spans="1:4" ht="36" customHeight="1">
      <c r="A1335" s="26">
        <v>1330</v>
      </c>
      <c r="B1335" s="25" t="s">
        <v>5164</v>
      </c>
      <c r="C1335" s="8" t="s">
        <v>5165</v>
      </c>
      <c r="D1335" s="8" t="s">
        <v>3868</v>
      </c>
    </row>
    <row r="1336" spans="1:4" ht="36" customHeight="1">
      <c r="A1336" s="26">
        <v>1331</v>
      </c>
      <c r="B1336" s="25" t="s">
        <v>5166</v>
      </c>
      <c r="C1336" s="8" t="s">
        <v>5167</v>
      </c>
      <c r="D1336" s="8" t="s">
        <v>3868</v>
      </c>
    </row>
    <row r="1337" spans="1:4" ht="36" customHeight="1">
      <c r="A1337" s="26">
        <v>1332</v>
      </c>
      <c r="B1337" s="25" t="s">
        <v>5168</v>
      </c>
      <c r="C1337" s="8" t="s">
        <v>5169</v>
      </c>
      <c r="D1337" s="8" t="s">
        <v>3868</v>
      </c>
    </row>
    <row r="1338" spans="1:4" ht="36" customHeight="1">
      <c r="A1338" s="26">
        <v>1333</v>
      </c>
      <c r="B1338" s="25" t="s">
        <v>5170</v>
      </c>
      <c r="C1338" s="8" t="s">
        <v>5171</v>
      </c>
      <c r="D1338" s="8" t="s">
        <v>3868</v>
      </c>
    </row>
    <row r="1339" spans="1:4" ht="36" customHeight="1">
      <c r="A1339" s="26">
        <v>1334</v>
      </c>
      <c r="B1339" s="25" t="s">
        <v>5172</v>
      </c>
      <c r="C1339" s="8" t="s">
        <v>5173</v>
      </c>
      <c r="D1339" s="8" t="s">
        <v>3868</v>
      </c>
    </row>
    <row r="1340" spans="1:4" ht="36" customHeight="1">
      <c r="A1340" s="26">
        <v>1335</v>
      </c>
      <c r="B1340" s="25" t="s">
        <v>5174</v>
      </c>
      <c r="C1340" s="8" t="s">
        <v>5175</v>
      </c>
      <c r="D1340" s="8" t="s">
        <v>3868</v>
      </c>
    </row>
    <row r="1341" spans="1:4" ht="36" customHeight="1">
      <c r="A1341" s="26">
        <v>1336</v>
      </c>
      <c r="B1341" s="25" t="s">
        <v>5176</v>
      </c>
      <c r="C1341" s="8" t="s">
        <v>5177</v>
      </c>
      <c r="D1341" s="8" t="s">
        <v>3868</v>
      </c>
    </row>
    <row r="1342" spans="1:4" ht="36" customHeight="1">
      <c r="A1342" s="26">
        <v>1337</v>
      </c>
      <c r="B1342" s="25" t="s">
        <v>5178</v>
      </c>
      <c r="C1342" s="8" t="s">
        <v>5179</v>
      </c>
      <c r="D1342" s="8" t="s">
        <v>3868</v>
      </c>
    </row>
    <row r="1343" spans="1:4" ht="36" customHeight="1">
      <c r="A1343" s="26">
        <v>1338</v>
      </c>
      <c r="B1343" s="25" t="s">
        <v>5180</v>
      </c>
      <c r="C1343" s="8" t="s">
        <v>5181</v>
      </c>
      <c r="D1343" s="8" t="s">
        <v>3868</v>
      </c>
    </row>
    <row r="1344" spans="1:4" ht="36" customHeight="1">
      <c r="A1344" s="26">
        <v>1339</v>
      </c>
      <c r="B1344" s="25" t="s">
        <v>5182</v>
      </c>
      <c r="C1344" s="8" t="s">
        <v>5183</v>
      </c>
      <c r="D1344" s="8" t="s">
        <v>3868</v>
      </c>
    </row>
    <row r="1345" spans="1:4" ht="36" customHeight="1">
      <c r="A1345" s="26">
        <v>1340</v>
      </c>
      <c r="B1345" s="25" t="s">
        <v>5184</v>
      </c>
      <c r="C1345" s="8" t="s">
        <v>5185</v>
      </c>
      <c r="D1345" s="8" t="s">
        <v>3868</v>
      </c>
    </row>
    <row r="1346" spans="1:4" ht="36" customHeight="1">
      <c r="A1346" s="26">
        <v>1341</v>
      </c>
      <c r="B1346" s="25" t="s">
        <v>5186</v>
      </c>
      <c r="C1346" s="8" t="s">
        <v>5187</v>
      </c>
      <c r="D1346" s="8" t="s">
        <v>3868</v>
      </c>
    </row>
    <row r="1347" spans="1:4" ht="36" customHeight="1">
      <c r="A1347" s="26">
        <v>1342</v>
      </c>
      <c r="B1347" s="25" t="s">
        <v>5188</v>
      </c>
      <c r="C1347" s="8" t="s">
        <v>5189</v>
      </c>
      <c r="D1347" s="8" t="s">
        <v>3868</v>
      </c>
    </row>
    <row r="1348" spans="1:4" ht="36" customHeight="1">
      <c r="A1348" s="26">
        <v>1343</v>
      </c>
      <c r="B1348" s="25" t="s">
        <v>5190</v>
      </c>
      <c r="C1348" s="8" t="s">
        <v>5191</v>
      </c>
      <c r="D1348" s="8" t="s">
        <v>3868</v>
      </c>
    </row>
    <row r="1349" spans="1:4" ht="36" customHeight="1">
      <c r="A1349" s="26">
        <v>1344</v>
      </c>
      <c r="B1349" s="25" t="s">
        <v>5192</v>
      </c>
      <c r="C1349" s="8" t="s">
        <v>5193</v>
      </c>
      <c r="D1349" s="8" t="s">
        <v>3868</v>
      </c>
    </row>
    <row r="1350" spans="1:4" ht="36" customHeight="1">
      <c r="A1350" s="26">
        <v>1345</v>
      </c>
      <c r="B1350" s="25" t="s">
        <v>5194</v>
      </c>
      <c r="C1350" s="8" t="s">
        <v>5195</v>
      </c>
      <c r="D1350" s="8" t="s">
        <v>3868</v>
      </c>
    </row>
    <row r="1351" spans="1:4" ht="36" customHeight="1">
      <c r="A1351" s="26">
        <v>1346</v>
      </c>
      <c r="B1351" s="25" t="s">
        <v>5196</v>
      </c>
      <c r="C1351" s="8" t="s">
        <v>5197</v>
      </c>
      <c r="D1351" s="8" t="s">
        <v>3868</v>
      </c>
    </row>
    <row r="1352" spans="1:4" ht="36" customHeight="1">
      <c r="A1352" s="26">
        <v>1347</v>
      </c>
      <c r="B1352" s="25" t="s">
        <v>5198</v>
      </c>
      <c r="C1352" s="8" t="s">
        <v>5199</v>
      </c>
      <c r="D1352" s="8" t="s">
        <v>3868</v>
      </c>
    </row>
    <row r="1353" spans="1:4" ht="36" customHeight="1">
      <c r="A1353" s="26">
        <v>1348</v>
      </c>
      <c r="B1353" s="25" t="s">
        <v>5200</v>
      </c>
      <c r="C1353" s="8" t="s">
        <v>5201</v>
      </c>
      <c r="D1353" s="8" t="s">
        <v>3868</v>
      </c>
    </row>
    <row r="1354" spans="1:4" ht="36" customHeight="1">
      <c r="A1354" s="26">
        <v>1349</v>
      </c>
      <c r="B1354" s="25" t="s">
        <v>5202</v>
      </c>
      <c r="C1354" s="8" t="s">
        <v>5203</v>
      </c>
      <c r="D1354" s="8" t="s">
        <v>3868</v>
      </c>
    </row>
    <row r="1355" spans="1:4" ht="36" customHeight="1">
      <c r="A1355" s="26">
        <v>1350</v>
      </c>
      <c r="B1355" s="25" t="s">
        <v>5204</v>
      </c>
      <c r="C1355" s="8" t="s">
        <v>5205</v>
      </c>
      <c r="D1355" s="8" t="s">
        <v>3868</v>
      </c>
    </row>
    <row r="1356" spans="1:4" ht="36" customHeight="1">
      <c r="A1356" s="26">
        <v>1351</v>
      </c>
      <c r="B1356" s="25" t="s">
        <v>5206</v>
      </c>
      <c r="C1356" s="8" t="s">
        <v>5207</v>
      </c>
      <c r="D1356" s="8" t="s">
        <v>3868</v>
      </c>
    </row>
    <row r="1357" spans="1:4" ht="36" customHeight="1">
      <c r="A1357" s="26">
        <v>1352</v>
      </c>
      <c r="B1357" s="25" t="s">
        <v>5208</v>
      </c>
      <c r="C1357" s="8" t="s">
        <v>5209</v>
      </c>
      <c r="D1357" s="8" t="s">
        <v>3868</v>
      </c>
    </row>
    <row r="1358" spans="1:4" ht="36" customHeight="1">
      <c r="A1358" s="26">
        <v>1353</v>
      </c>
      <c r="B1358" s="25" t="s">
        <v>5210</v>
      </c>
      <c r="C1358" s="8" t="s">
        <v>5211</v>
      </c>
      <c r="D1358" s="8" t="s">
        <v>3868</v>
      </c>
    </row>
    <row r="1359" spans="1:4" ht="36" customHeight="1">
      <c r="A1359" s="26">
        <v>1354</v>
      </c>
      <c r="B1359" s="25" t="s">
        <v>5212</v>
      </c>
      <c r="C1359" s="8" t="s">
        <v>5213</v>
      </c>
      <c r="D1359" s="8" t="s">
        <v>3868</v>
      </c>
    </row>
    <row r="1360" spans="1:4" ht="36" customHeight="1">
      <c r="A1360" s="26">
        <v>1355</v>
      </c>
      <c r="B1360" s="25" t="s">
        <v>5214</v>
      </c>
      <c r="C1360" s="8" t="s">
        <v>5215</v>
      </c>
      <c r="D1360" s="8" t="s">
        <v>3868</v>
      </c>
    </row>
    <row r="1361" spans="1:4" ht="36" customHeight="1">
      <c r="A1361" s="26">
        <v>1356</v>
      </c>
      <c r="B1361" s="25" t="s">
        <v>5216</v>
      </c>
      <c r="C1361" s="8" t="s">
        <v>5217</v>
      </c>
      <c r="D1361" s="8" t="s">
        <v>3868</v>
      </c>
    </row>
    <row r="1362" spans="1:4" ht="36" customHeight="1">
      <c r="A1362" s="26">
        <v>1357</v>
      </c>
      <c r="B1362" s="25" t="s">
        <v>5218</v>
      </c>
      <c r="C1362" s="8" t="s">
        <v>5219</v>
      </c>
      <c r="D1362" s="8" t="s">
        <v>3868</v>
      </c>
    </row>
    <row r="1363" spans="1:4" ht="36" customHeight="1">
      <c r="A1363" s="26">
        <v>1358</v>
      </c>
      <c r="B1363" s="25" t="s">
        <v>5220</v>
      </c>
      <c r="C1363" s="8" t="s">
        <v>5221</v>
      </c>
      <c r="D1363" s="8" t="s">
        <v>3868</v>
      </c>
    </row>
    <row r="1364" spans="1:4" ht="36" customHeight="1">
      <c r="A1364" s="26">
        <v>1359</v>
      </c>
      <c r="B1364" s="25" t="s">
        <v>5222</v>
      </c>
      <c r="C1364" s="8" t="s">
        <v>5223</v>
      </c>
      <c r="D1364" s="8" t="s">
        <v>3868</v>
      </c>
    </row>
    <row r="1365" spans="1:4" ht="36" customHeight="1">
      <c r="A1365" s="26">
        <v>1360</v>
      </c>
      <c r="B1365" s="25" t="s">
        <v>5224</v>
      </c>
      <c r="C1365" s="8" t="s">
        <v>5225</v>
      </c>
      <c r="D1365" s="8" t="s">
        <v>3868</v>
      </c>
    </row>
    <row r="1366" spans="1:4" ht="36" customHeight="1">
      <c r="A1366" s="26">
        <v>1361</v>
      </c>
      <c r="B1366" s="25" t="s">
        <v>5226</v>
      </c>
      <c r="C1366" s="8" t="s">
        <v>5227</v>
      </c>
      <c r="D1366" s="8" t="s">
        <v>3868</v>
      </c>
    </row>
    <row r="1367" spans="1:4" ht="36" customHeight="1">
      <c r="A1367" s="26">
        <v>1362</v>
      </c>
      <c r="B1367" s="25" t="s">
        <v>5228</v>
      </c>
      <c r="C1367" s="8" t="s">
        <v>5229</v>
      </c>
      <c r="D1367" s="8" t="s">
        <v>3868</v>
      </c>
    </row>
    <row r="1368" spans="1:4" ht="36" customHeight="1">
      <c r="A1368" s="26">
        <v>1363</v>
      </c>
      <c r="B1368" s="25" t="s">
        <v>5230</v>
      </c>
      <c r="C1368" s="8" t="s">
        <v>5231</v>
      </c>
      <c r="D1368" s="8" t="s">
        <v>3868</v>
      </c>
    </row>
    <row r="1369" spans="1:4" ht="36" customHeight="1">
      <c r="A1369" s="26">
        <v>1364</v>
      </c>
      <c r="B1369" s="25" t="s">
        <v>5232</v>
      </c>
      <c r="C1369" s="8" t="s">
        <v>5233</v>
      </c>
      <c r="D1369" s="8" t="s">
        <v>3868</v>
      </c>
    </row>
    <row r="1370" spans="1:4" ht="36" customHeight="1">
      <c r="A1370" s="26">
        <v>1365</v>
      </c>
      <c r="B1370" s="25" t="s">
        <v>5234</v>
      </c>
      <c r="C1370" s="8" t="s">
        <v>5235</v>
      </c>
      <c r="D1370" s="8" t="s">
        <v>3868</v>
      </c>
    </row>
    <row r="1371" spans="1:4" ht="36" customHeight="1">
      <c r="A1371" s="26">
        <v>1366</v>
      </c>
      <c r="B1371" s="25" t="s">
        <v>5236</v>
      </c>
      <c r="C1371" s="8" t="s">
        <v>5237</v>
      </c>
      <c r="D1371" s="8" t="s">
        <v>3868</v>
      </c>
    </row>
    <row r="1372" spans="1:4" ht="36" customHeight="1">
      <c r="A1372" s="26">
        <v>1367</v>
      </c>
      <c r="B1372" s="25" t="s">
        <v>5238</v>
      </c>
      <c r="C1372" s="8" t="s">
        <v>5239</v>
      </c>
      <c r="D1372" s="8" t="s">
        <v>3868</v>
      </c>
    </row>
    <row r="1373" spans="1:4" ht="36" customHeight="1">
      <c r="A1373" s="26">
        <v>1368</v>
      </c>
      <c r="B1373" s="25" t="s">
        <v>5240</v>
      </c>
      <c r="C1373" s="8" t="s">
        <v>5241</v>
      </c>
      <c r="D1373" s="8" t="s">
        <v>3868</v>
      </c>
    </row>
    <row r="1374" spans="1:4" ht="36" customHeight="1">
      <c r="A1374" s="26">
        <v>1369</v>
      </c>
      <c r="B1374" s="25" t="s">
        <v>5242</v>
      </c>
      <c r="C1374" s="8" t="s">
        <v>5243</v>
      </c>
      <c r="D1374" s="8" t="s">
        <v>3868</v>
      </c>
    </row>
    <row r="1375" spans="1:4" ht="36" customHeight="1">
      <c r="A1375" s="26">
        <v>1370</v>
      </c>
      <c r="B1375" s="25" t="s">
        <v>5244</v>
      </c>
      <c r="C1375" s="8" t="s">
        <v>5245</v>
      </c>
      <c r="D1375" s="8" t="s">
        <v>3868</v>
      </c>
    </row>
    <row r="1376" spans="1:4" ht="36" customHeight="1">
      <c r="A1376" s="26">
        <v>1371</v>
      </c>
      <c r="B1376" s="25" t="s">
        <v>5246</v>
      </c>
      <c r="C1376" s="8" t="s">
        <v>5247</v>
      </c>
      <c r="D1376" s="8" t="s">
        <v>3868</v>
      </c>
    </row>
    <row r="1377" spans="1:4" ht="36" customHeight="1">
      <c r="A1377" s="26">
        <v>1372</v>
      </c>
      <c r="B1377" s="25" t="s">
        <v>5248</v>
      </c>
      <c r="C1377" s="8" t="s">
        <v>5249</v>
      </c>
      <c r="D1377" s="8" t="s">
        <v>3868</v>
      </c>
    </row>
    <row r="1378" spans="1:4" ht="36" customHeight="1">
      <c r="A1378" s="26">
        <v>1373</v>
      </c>
      <c r="B1378" s="25" t="s">
        <v>5250</v>
      </c>
      <c r="C1378" s="8" t="s">
        <v>5251</v>
      </c>
      <c r="D1378" s="8" t="s">
        <v>3868</v>
      </c>
    </row>
    <row r="1379" spans="1:4" ht="36" customHeight="1">
      <c r="A1379" s="26">
        <v>1374</v>
      </c>
      <c r="B1379" s="25" t="s">
        <v>5252</v>
      </c>
      <c r="C1379" s="8" t="s">
        <v>5253</v>
      </c>
      <c r="D1379" s="8" t="s">
        <v>3868</v>
      </c>
    </row>
    <row r="1380" spans="1:4" ht="36" customHeight="1">
      <c r="A1380" s="26">
        <v>1375</v>
      </c>
      <c r="B1380" s="25" t="s">
        <v>5254</v>
      </c>
      <c r="C1380" s="8" t="s">
        <v>5255</v>
      </c>
      <c r="D1380" s="8" t="s">
        <v>3868</v>
      </c>
    </row>
    <row r="1381" spans="1:4" ht="36" customHeight="1">
      <c r="A1381" s="26">
        <v>1376</v>
      </c>
      <c r="B1381" s="25" t="s">
        <v>5256</v>
      </c>
      <c r="C1381" s="8" t="s">
        <v>5257</v>
      </c>
      <c r="D1381" s="8" t="s">
        <v>3868</v>
      </c>
    </row>
    <row r="1382" spans="1:4" ht="36" customHeight="1">
      <c r="A1382" s="26">
        <v>1377</v>
      </c>
      <c r="B1382" s="25" t="s">
        <v>5258</v>
      </c>
      <c r="C1382" s="8" t="s">
        <v>5259</v>
      </c>
      <c r="D1382" s="8" t="s">
        <v>3868</v>
      </c>
    </row>
    <row r="1383" spans="1:4" ht="36" customHeight="1">
      <c r="A1383" s="26">
        <v>1378</v>
      </c>
      <c r="B1383" s="25" t="s">
        <v>5260</v>
      </c>
      <c r="C1383" s="8" t="s">
        <v>5261</v>
      </c>
      <c r="D1383" s="8" t="s">
        <v>3868</v>
      </c>
    </row>
    <row r="1384" spans="1:4" ht="36" customHeight="1">
      <c r="A1384" s="26">
        <v>1379</v>
      </c>
      <c r="B1384" s="25" t="s">
        <v>5262</v>
      </c>
      <c r="C1384" s="8" t="s">
        <v>5263</v>
      </c>
      <c r="D1384" s="8" t="s">
        <v>3868</v>
      </c>
    </row>
    <row r="1385" spans="1:4" ht="36" customHeight="1">
      <c r="A1385" s="26">
        <v>1380</v>
      </c>
      <c r="B1385" s="25" t="s">
        <v>5264</v>
      </c>
      <c r="C1385" s="8" t="s">
        <v>5265</v>
      </c>
      <c r="D1385" s="8" t="s">
        <v>3868</v>
      </c>
    </row>
    <row r="1386" spans="1:4" ht="36" customHeight="1">
      <c r="A1386" s="26">
        <v>1381</v>
      </c>
      <c r="B1386" s="25" t="s">
        <v>5266</v>
      </c>
      <c r="C1386" s="8" t="s">
        <v>5267</v>
      </c>
      <c r="D1386" s="8" t="s">
        <v>3868</v>
      </c>
    </row>
    <row r="1387" spans="1:4" ht="36" customHeight="1">
      <c r="A1387" s="26">
        <v>1382</v>
      </c>
      <c r="B1387" s="25" t="s">
        <v>5268</v>
      </c>
      <c r="C1387" s="8" t="s">
        <v>5269</v>
      </c>
      <c r="D1387" s="8" t="s">
        <v>3868</v>
      </c>
    </row>
    <row r="1388" spans="1:4" ht="36" customHeight="1">
      <c r="A1388" s="26">
        <v>1383</v>
      </c>
      <c r="B1388" s="25" t="s">
        <v>5270</v>
      </c>
      <c r="C1388" s="8" t="s">
        <v>5271</v>
      </c>
      <c r="D1388" s="8" t="s">
        <v>3868</v>
      </c>
    </row>
    <row r="1389" spans="1:4" ht="36" customHeight="1">
      <c r="A1389" s="26">
        <v>1384</v>
      </c>
      <c r="B1389" s="25" t="s">
        <v>5272</v>
      </c>
      <c r="C1389" s="8" t="s">
        <v>5273</v>
      </c>
      <c r="D1389" s="8" t="s">
        <v>3868</v>
      </c>
    </row>
    <row r="1390" spans="1:4" ht="36" customHeight="1">
      <c r="A1390" s="26">
        <v>1385</v>
      </c>
      <c r="B1390" s="25" t="s">
        <v>5274</v>
      </c>
      <c r="C1390" s="8" t="s">
        <v>5275</v>
      </c>
      <c r="D1390" s="8" t="s">
        <v>3868</v>
      </c>
    </row>
    <row r="1391" spans="1:4" ht="36" customHeight="1">
      <c r="A1391" s="26">
        <v>1386</v>
      </c>
      <c r="B1391" s="25" t="s">
        <v>5276</v>
      </c>
      <c r="C1391" s="8" t="s">
        <v>5277</v>
      </c>
      <c r="D1391" s="8" t="s">
        <v>3868</v>
      </c>
    </row>
    <row r="1392" spans="1:4" ht="36" customHeight="1">
      <c r="A1392" s="26">
        <v>1387</v>
      </c>
      <c r="B1392" s="25" t="s">
        <v>5278</v>
      </c>
      <c r="C1392" s="8" t="s">
        <v>5279</v>
      </c>
      <c r="D1392" s="8" t="s">
        <v>3868</v>
      </c>
    </row>
    <row r="1393" spans="1:4" ht="36" customHeight="1">
      <c r="A1393" s="26">
        <v>1388</v>
      </c>
      <c r="B1393" s="25" t="s">
        <v>5280</v>
      </c>
      <c r="C1393" s="8" t="s">
        <v>5281</v>
      </c>
      <c r="D1393" s="8" t="s">
        <v>3868</v>
      </c>
    </row>
    <row r="1394" spans="1:4" ht="36" customHeight="1">
      <c r="A1394" s="26">
        <v>1389</v>
      </c>
      <c r="B1394" s="25" t="s">
        <v>5282</v>
      </c>
      <c r="C1394" s="8" t="s">
        <v>5283</v>
      </c>
      <c r="D1394" s="8" t="s">
        <v>3868</v>
      </c>
    </row>
    <row r="1395" spans="1:4" ht="36" customHeight="1">
      <c r="A1395" s="26">
        <v>1390</v>
      </c>
      <c r="B1395" s="25" t="s">
        <v>5284</v>
      </c>
      <c r="C1395" s="8" t="s">
        <v>5285</v>
      </c>
      <c r="D1395" s="8" t="s">
        <v>3868</v>
      </c>
    </row>
    <row r="1396" spans="1:4" ht="36" customHeight="1">
      <c r="A1396" s="26">
        <v>1391</v>
      </c>
      <c r="B1396" s="25" t="s">
        <v>5286</v>
      </c>
      <c r="C1396" s="8" t="s">
        <v>5287</v>
      </c>
      <c r="D1396" s="8" t="s">
        <v>3868</v>
      </c>
    </row>
    <row r="1397" spans="1:4" ht="36" customHeight="1">
      <c r="A1397" s="26">
        <v>1392</v>
      </c>
      <c r="B1397" s="25" t="s">
        <v>5288</v>
      </c>
      <c r="C1397" s="8" t="s">
        <v>5289</v>
      </c>
      <c r="D1397" s="8" t="s">
        <v>3868</v>
      </c>
    </row>
    <row r="1398" spans="1:4" ht="36" customHeight="1">
      <c r="A1398" s="26">
        <v>1393</v>
      </c>
      <c r="B1398" s="25" t="s">
        <v>5290</v>
      </c>
      <c r="C1398" s="8" t="s">
        <v>5291</v>
      </c>
      <c r="D1398" s="8" t="s">
        <v>3868</v>
      </c>
    </row>
    <row r="1399" spans="1:4" ht="36" customHeight="1">
      <c r="A1399" s="26">
        <v>1394</v>
      </c>
      <c r="B1399" s="25" t="s">
        <v>5292</v>
      </c>
      <c r="C1399" s="8" t="s">
        <v>5293</v>
      </c>
      <c r="D1399" s="8" t="s">
        <v>3868</v>
      </c>
    </row>
    <row r="1400" spans="1:4" ht="36" customHeight="1">
      <c r="A1400" s="26">
        <v>1395</v>
      </c>
      <c r="B1400" s="25" t="s">
        <v>5294</v>
      </c>
      <c r="C1400" s="8" t="s">
        <v>5295</v>
      </c>
      <c r="D1400" s="8" t="s">
        <v>3868</v>
      </c>
    </row>
    <row r="1401" spans="1:4" ht="36" customHeight="1">
      <c r="A1401" s="26">
        <v>1396</v>
      </c>
      <c r="B1401" s="25" t="s">
        <v>5296</v>
      </c>
      <c r="C1401" s="8" t="s">
        <v>5297</v>
      </c>
      <c r="D1401" s="8" t="s">
        <v>3868</v>
      </c>
    </row>
    <row r="1402" spans="1:4" ht="36" customHeight="1">
      <c r="A1402" s="26">
        <v>1397</v>
      </c>
      <c r="B1402" s="25" t="s">
        <v>5298</v>
      </c>
      <c r="C1402" s="8" t="s">
        <v>5299</v>
      </c>
      <c r="D1402" s="8" t="s">
        <v>3868</v>
      </c>
    </row>
    <row r="1403" spans="1:4" ht="36" customHeight="1">
      <c r="A1403" s="26">
        <v>1398</v>
      </c>
      <c r="B1403" s="25" t="s">
        <v>5300</v>
      </c>
      <c r="C1403" s="8" t="s">
        <v>5301</v>
      </c>
      <c r="D1403" s="8" t="s">
        <v>3868</v>
      </c>
    </row>
    <row r="1404" spans="1:4" ht="36" customHeight="1">
      <c r="A1404" s="26">
        <v>1399</v>
      </c>
      <c r="B1404" s="25" t="s">
        <v>5302</v>
      </c>
      <c r="C1404" s="8" t="s">
        <v>5303</v>
      </c>
      <c r="D1404" s="8" t="s">
        <v>3868</v>
      </c>
    </row>
    <row r="1405" spans="1:4" ht="36" customHeight="1">
      <c r="A1405" s="26">
        <v>1400</v>
      </c>
      <c r="B1405" s="25" t="s">
        <v>5304</v>
      </c>
      <c r="C1405" s="8" t="s">
        <v>5305</v>
      </c>
      <c r="D1405" s="8" t="s">
        <v>3868</v>
      </c>
    </row>
    <row r="1406" spans="1:4" ht="36" customHeight="1">
      <c r="A1406" s="26">
        <v>1401</v>
      </c>
      <c r="B1406" s="25" t="s">
        <v>5306</v>
      </c>
      <c r="C1406" s="8" t="s">
        <v>5307</v>
      </c>
      <c r="D1406" s="8" t="s">
        <v>3868</v>
      </c>
    </row>
    <row r="1407" spans="1:4" ht="36" customHeight="1">
      <c r="A1407" s="26">
        <v>1402</v>
      </c>
      <c r="B1407" s="25" t="s">
        <v>5308</v>
      </c>
      <c r="C1407" s="8" t="s">
        <v>5309</v>
      </c>
      <c r="D1407" s="8" t="s">
        <v>3868</v>
      </c>
    </row>
    <row r="1408" spans="1:4" ht="36" customHeight="1">
      <c r="A1408" s="26">
        <v>1403</v>
      </c>
      <c r="B1408" s="25" t="s">
        <v>5310</v>
      </c>
      <c r="C1408" s="8" t="s">
        <v>5311</v>
      </c>
      <c r="D1408" s="8" t="s">
        <v>3868</v>
      </c>
    </row>
    <row r="1409" spans="1:4" ht="36" customHeight="1">
      <c r="A1409" s="26">
        <v>1404</v>
      </c>
      <c r="B1409" s="25" t="s">
        <v>5312</v>
      </c>
      <c r="C1409" s="8" t="s">
        <v>5313</v>
      </c>
      <c r="D1409" s="8" t="s">
        <v>3868</v>
      </c>
    </row>
    <row r="1410" spans="1:4" ht="36" customHeight="1">
      <c r="A1410" s="26">
        <v>1405</v>
      </c>
      <c r="B1410" s="25" t="s">
        <v>5314</v>
      </c>
      <c r="C1410" s="8" t="s">
        <v>5315</v>
      </c>
      <c r="D1410" s="8" t="s">
        <v>3868</v>
      </c>
    </row>
    <row r="1411" spans="1:4" ht="36" customHeight="1">
      <c r="A1411" s="26">
        <v>1406</v>
      </c>
      <c r="B1411" s="25" t="s">
        <v>5316</v>
      </c>
      <c r="C1411" s="8" t="s">
        <v>5317</v>
      </c>
      <c r="D1411" s="8" t="s">
        <v>3868</v>
      </c>
    </row>
    <row r="1412" spans="1:4" ht="36" customHeight="1">
      <c r="A1412" s="26">
        <v>1407</v>
      </c>
      <c r="B1412" s="25" t="s">
        <v>5318</v>
      </c>
      <c r="C1412" s="8" t="s">
        <v>5319</v>
      </c>
      <c r="D1412" s="8" t="s">
        <v>3868</v>
      </c>
    </row>
    <row r="1413" spans="1:4" ht="36" customHeight="1">
      <c r="A1413" s="26">
        <v>1408</v>
      </c>
      <c r="B1413" s="25" t="s">
        <v>5320</v>
      </c>
      <c r="C1413" s="8" t="s">
        <v>5321</v>
      </c>
      <c r="D1413" s="8" t="s">
        <v>3868</v>
      </c>
    </row>
    <row r="1414" spans="1:4" ht="36" customHeight="1">
      <c r="A1414" s="26">
        <v>1409</v>
      </c>
      <c r="B1414" s="25" t="s">
        <v>5322</v>
      </c>
      <c r="C1414" s="8" t="s">
        <v>5323</v>
      </c>
      <c r="D1414" s="8" t="s">
        <v>3868</v>
      </c>
    </row>
    <row r="1415" spans="1:4" ht="36" customHeight="1">
      <c r="A1415" s="26">
        <v>1410</v>
      </c>
      <c r="B1415" s="25" t="s">
        <v>5324</v>
      </c>
      <c r="C1415" s="8" t="s">
        <v>5325</v>
      </c>
      <c r="D1415" s="8" t="s">
        <v>3868</v>
      </c>
    </row>
    <row r="1416" spans="1:4" ht="36" customHeight="1">
      <c r="A1416" s="26">
        <v>1411</v>
      </c>
      <c r="B1416" s="25" t="s">
        <v>5326</v>
      </c>
      <c r="C1416" s="8" t="s">
        <v>5327</v>
      </c>
      <c r="D1416" s="8" t="s">
        <v>3868</v>
      </c>
    </row>
    <row r="1417" spans="1:4" ht="36" customHeight="1">
      <c r="A1417" s="26">
        <v>1412</v>
      </c>
      <c r="B1417" s="25" t="s">
        <v>5328</v>
      </c>
      <c r="C1417" s="8" t="s">
        <v>5329</v>
      </c>
      <c r="D1417" s="8" t="s">
        <v>3868</v>
      </c>
    </row>
    <row r="1418" spans="1:4" ht="36" customHeight="1">
      <c r="A1418" s="26">
        <v>1413</v>
      </c>
      <c r="B1418" s="25" t="s">
        <v>5330</v>
      </c>
      <c r="C1418" s="8" t="s">
        <v>5331</v>
      </c>
      <c r="D1418" s="8" t="s">
        <v>3868</v>
      </c>
    </row>
    <row r="1419" spans="1:4" ht="36" customHeight="1">
      <c r="A1419" s="26">
        <v>1414</v>
      </c>
      <c r="B1419" s="25" t="s">
        <v>5332</v>
      </c>
      <c r="C1419" s="8" t="s">
        <v>5333</v>
      </c>
      <c r="D1419" s="8" t="s">
        <v>3868</v>
      </c>
    </row>
    <row r="1420" spans="1:4" ht="36" customHeight="1">
      <c r="A1420" s="26">
        <v>1415</v>
      </c>
      <c r="B1420" s="25" t="s">
        <v>3043</v>
      </c>
      <c r="C1420" s="8" t="s">
        <v>3044</v>
      </c>
      <c r="D1420" s="8" t="s">
        <v>3868</v>
      </c>
    </row>
    <row r="1421" spans="1:4" ht="36" customHeight="1">
      <c r="A1421" s="26">
        <v>1416</v>
      </c>
      <c r="B1421" s="25" t="s">
        <v>3046</v>
      </c>
      <c r="C1421" s="8" t="s">
        <v>3047</v>
      </c>
      <c r="D1421" s="8" t="s">
        <v>3868</v>
      </c>
    </row>
    <row r="1422" spans="1:4" ht="36" customHeight="1">
      <c r="A1422" s="26">
        <v>1417</v>
      </c>
      <c r="B1422" s="25" t="s">
        <v>5334</v>
      </c>
      <c r="C1422" s="8" t="s">
        <v>5335</v>
      </c>
      <c r="D1422" s="8" t="s">
        <v>3868</v>
      </c>
    </row>
    <row r="1423" spans="1:4" ht="36" customHeight="1">
      <c r="A1423" s="26">
        <v>1418</v>
      </c>
      <c r="B1423" s="25" t="s">
        <v>5336</v>
      </c>
      <c r="C1423" s="8" t="s">
        <v>5337</v>
      </c>
      <c r="D1423" s="8" t="s">
        <v>3868</v>
      </c>
    </row>
    <row r="1424" spans="1:4" ht="36" customHeight="1">
      <c r="A1424" s="26">
        <v>1419</v>
      </c>
      <c r="B1424" s="25" t="s">
        <v>5338</v>
      </c>
      <c r="C1424" s="8" t="s">
        <v>5339</v>
      </c>
      <c r="D1424" s="8" t="s">
        <v>3868</v>
      </c>
    </row>
    <row r="1425" spans="1:4" ht="36" customHeight="1">
      <c r="A1425" s="26">
        <v>1420</v>
      </c>
      <c r="B1425" s="25" t="s">
        <v>5340</v>
      </c>
      <c r="C1425" s="8" t="s">
        <v>5341</v>
      </c>
      <c r="D1425" s="8" t="s">
        <v>3868</v>
      </c>
    </row>
    <row r="1426" spans="1:4" ht="36" customHeight="1">
      <c r="A1426" s="26">
        <v>1421</v>
      </c>
      <c r="B1426" s="25" t="s">
        <v>5342</v>
      </c>
      <c r="C1426" s="8" t="s">
        <v>5343</v>
      </c>
      <c r="D1426" s="8" t="s">
        <v>3868</v>
      </c>
    </row>
    <row r="1427" spans="1:4" ht="36" customHeight="1">
      <c r="A1427" s="26">
        <v>1422</v>
      </c>
      <c r="B1427" s="25" t="s">
        <v>3025</v>
      </c>
      <c r="C1427" s="8" t="s">
        <v>1402</v>
      </c>
      <c r="D1427" s="8" t="s">
        <v>3868</v>
      </c>
    </row>
    <row r="1428" spans="1:4" ht="36" customHeight="1">
      <c r="A1428" s="26">
        <v>1423</v>
      </c>
      <c r="B1428" s="25" t="s">
        <v>5344</v>
      </c>
      <c r="C1428" s="8" t="s">
        <v>5345</v>
      </c>
      <c r="D1428" s="8" t="s">
        <v>3868</v>
      </c>
    </row>
    <row r="1429" spans="1:4" ht="36" customHeight="1">
      <c r="A1429" s="26">
        <v>1424</v>
      </c>
      <c r="B1429" s="25" t="s">
        <v>5346</v>
      </c>
      <c r="C1429" s="8" t="s">
        <v>5347</v>
      </c>
      <c r="D1429" s="8" t="s">
        <v>3868</v>
      </c>
    </row>
    <row r="1430" spans="1:4" ht="36" customHeight="1">
      <c r="A1430" s="26">
        <v>1425</v>
      </c>
      <c r="B1430" s="25" t="s">
        <v>5348</v>
      </c>
      <c r="C1430" s="8" t="s">
        <v>5349</v>
      </c>
      <c r="D1430" s="8" t="s">
        <v>3868</v>
      </c>
    </row>
    <row r="1431" spans="1:4" ht="36" customHeight="1">
      <c r="A1431" s="26">
        <v>1426</v>
      </c>
      <c r="B1431" s="25" t="s">
        <v>5350</v>
      </c>
      <c r="C1431" s="8" t="s">
        <v>5351</v>
      </c>
      <c r="D1431" s="8" t="s">
        <v>3868</v>
      </c>
    </row>
    <row r="1432" spans="1:4" ht="36" customHeight="1">
      <c r="A1432" s="26">
        <v>1427</v>
      </c>
      <c r="B1432" s="25" t="s">
        <v>5352</v>
      </c>
      <c r="C1432" s="8" t="s">
        <v>5353</v>
      </c>
      <c r="D1432" s="8" t="s">
        <v>3868</v>
      </c>
    </row>
    <row r="1433" spans="1:4" ht="36" customHeight="1">
      <c r="A1433" s="26">
        <v>1428</v>
      </c>
      <c r="B1433" s="25" t="s">
        <v>5354</v>
      </c>
      <c r="C1433" s="8" t="s">
        <v>5355</v>
      </c>
      <c r="D1433" s="8" t="s">
        <v>3868</v>
      </c>
    </row>
    <row r="1434" spans="1:4" ht="36" customHeight="1">
      <c r="A1434" s="26">
        <v>1429</v>
      </c>
      <c r="B1434" s="25" t="s">
        <v>5356</v>
      </c>
      <c r="C1434" s="8" t="s">
        <v>5357</v>
      </c>
      <c r="D1434" s="8" t="s">
        <v>3868</v>
      </c>
    </row>
    <row r="1435" spans="1:4" ht="36" customHeight="1">
      <c r="A1435" s="26">
        <v>1430</v>
      </c>
      <c r="B1435" s="25" t="s">
        <v>5358</v>
      </c>
      <c r="C1435" s="8" t="s">
        <v>5359</v>
      </c>
      <c r="D1435" s="8" t="s">
        <v>3868</v>
      </c>
    </row>
    <row r="1436" spans="1:4" ht="36" customHeight="1">
      <c r="A1436" s="26">
        <v>1431</v>
      </c>
      <c r="B1436" s="25" t="s">
        <v>5360</v>
      </c>
      <c r="C1436" s="8" t="s">
        <v>5361</v>
      </c>
      <c r="D1436" s="8" t="s">
        <v>3868</v>
      </c>
    </row>
    <row r="1437" spans="1:4" ht="36" customHeight="1">
      <c r="A1437" s="26">
        <v>1432</v>
      </c>
      <c r="B1437" s="25" t="s">
        <v>3049</v>
      </c>
      <c r="C1437" s="8" t="s">
        <v>3050</v>
      </c>
      <c r="D1437" s="8" t="s">
        <v>3868</v>
      </c>
    </row>
    <row r="1438" spans="1:4" ht="36" customHeight="1">
      <c r="A1438" s="26">
        <v>1433</v>
      </c>
      <c r="B1438" s="25" t="s">
        <v>5362</v>
      </c>
      <c r="C1438" s="8" t="s">
        <v>5363</v>
      </c>
      <c r="D1438" s="8" t="s">
        <v>3868</v>
      </c>
    </row>
    <row r="1439" spans="1:4" ht="36" customHeight="1">
      <c r="A1439" s="26">
        <v>1434</v>
      </c>
      <c r="B1439" s="25" t="s">
        <v>5364</v>
      </c>
      <c r="C1439" s="8" t="s">
        <v>5365</v>
      </c>
      <c r="D1439" s="8" t="s">
        <v>3868</v>
      </c>
    </row>
    <row r="1440" spans="1:4" ht="36" customHeight="1">
      <c r="A1440" s="26">
        <v>1435</v>
      </c>
      <c r="B1440" s="25" t="s">
        <v>5366</v>
      </c>
      <c r="C1440" s="8" t="s">
        <v>5367</v>
      </c>
      <c r="D1440" s="8" t="s">
        <v>3868</v>
      </c>
    </row>
    <row r="1441" spans="1:4" ht="36" customHeight="1">
      <c r="A1441" s="26">
        <v>1436</v>
      </c>
      <c r="B1441" s="25" t="s">
        <v>5368</v>
      </c>
      <c r="C1441" s="8" t="s">
        <v>5369</v>
      </c>
      <c r="D1441" s="8" t="s">
        <v>3868</v>
      </c>
    </row>
    <row r="1442" spans="1:4" ht="36" customHeight="1">
      <c r="A1442" s="26">
        <v>1437</v>
      </c>
      <c r="B1442" s="25" t="s">
        <v>5370</v>
      </c>
      <c r="C1442" s="8" t="s">
        <v>5371</v>
      </c>
      <c r="D1442" s="8" t="s">
        <v>3868</v>
      </c>
    </row>
    <row r="1443" spans="1:4" ht="36" customHeight="1">
      <c r="A1443" s="26">
        <v>1438</v>
      </c>
      <c r="B1443" s="25" t="s">
        <v>5372</v>
      </c>
      <c r="C1443" s="8" t="s">
        <v>5373</v>
      </c>
      <c r="D1443" s="8" t="s">
        <v>3868</v>
      </c>
    </row>
    <row r="1444" spans="1:4" ht="36" customHeight="1">
      <c r="A1444" s="26">
        <v>1439</v>
      </c>
      <c r="B1444" s="25" t="s">
        <v>2999</v>
      </c>
      <c r="C1444" s="8" t="s">
        <v>3000</v>
      </c>
      <c r="D1444" s="8" t="s">
        <v>3868</v>
      </c>
    </row>
    <row r="1445" spans="1:4" ht="36" customHeight="1">
      <c r="A1445" s="26">
        <v>1440</v>
      </c>
      <c r="B1445" s="25" t="s">
        <v>2496</v>
      </c>
      <c r="C1445" s="8" t="s">
        <v>2497</v>
      </c>
      <c r="D1445" s="8" t="s">
        <v>3868</v>
      </c>
    </row>
    <row r="1446" spans="1:4" ht="36" customHeight="1">
      <c r="A1446" s="26">
        <v>1441</v>
      </c>
      <c r="B1446" s="25" t="s">
        <v>5374</v>
      </c>
      <c r="C1446" s="8" t="s">
        <v>5375</v>
      </c>
      <c r="D1446" s="8" t="s">
        <v>3868</v>
      </c>
    </row>
    <row r="1447" spans="1:4" ht="36" customHeight="1">
      <c r="A1447" s="26">
        <v>1442</v>
      </c>
      <c r="B1447" s="25" t="s">
        <v>5376</v>
      </c>
      <c r="C1447" s="8" t="s">
        <v>5377</v>
      </c>
      <c r="D1447" s="8" t="s">
        <v>3868</v>
      </c>
    </row>
    <row r="1448" spans="1:4" ht="36" customHeight="1">
      <c r="A1448" s="26">
        <v>1443</v>
      </c>
      <c r="B1448" s="25" t="s">
        <v>5378</v>
      </c>
      <c r="C1448" s="8" t="s">
        <v>5379</v>
      </c>
      <c r="D1448" s="8" t="s">
        <v>3868</v>
      </c>
    </row>
    <row r="1449" spans="1:4" ht="36" customHeight="1">
      <c r="A1449" s="26">
        <v>1444</v>
      </c>
      <c r="B1449" s="25" t="s">
        <v>5380</v>
      </c>
      <c r="C1449" s="8" t="s">
        <v>5381</v>
      </c>
      <c r="D1449" s="8" t="s">
        <v>3868</v>
      </c>
    </row>
    <row r="1450" spans="1:4" ht="36" customHeight="1">
      <c r="A1450" s="26">
        <v>1445</v>
      </c>
      <c r="B1450" s="25" t="s">
        <v>5382</v>
      </c>
      <c r="C1450" s="8" t="s">
        <v>5383</v>
      </c>
      <c r="D1450" s="8" t="s">
        <v>3868</v>
      </c>
    </row>
    <row r="1451" spans="1:4" ht="36" customHeight="1">
      <c r="A1451" s="26">
        <v>1446</v>
      </c>
      <c r="B1451" s="25" t="s">
        <v>5384</v>
      </c>
      <c r="C1451" s="8" t="s">
        <v>5385</v>
      </c>
      <c r="D1451" s="8" t="s">
        <v>3868</v>
      </c>
    </row>
    <row r="1452" spans="1:4" ht="36" customHeight="1">
      <c r="A1452" s="26">
        <v>1447</v>
      </c>
      <c r="B1452" s="25" t="s">
        <v>5386</v>
      </c>
      <c r="C1452" s="8" t="s">
        <v>5387</v>
      </c>
      <c r="D1452" s="8" t="s">
        <v>3868</v>
      </c>
    </row>
    <row r="1453" spans="1:4" ht="36" customHeight="1">
      <c r="A1453" s="26">
        <v>1448</v>
      </c>
      <c r="B1453" s="25" t="s">
        <v>5388</v>
      </c>
      <c r="C1453" s="8" t="s">
        <v>5389</v>
      </c>
      <c r="D1453" s="8" t="s">
        <v>3868</v>
      </c>
    </row>
    <row r="1454" spans="1:4" ht="36" customHeight="1">
      <c r="A1454" s="26">
        <v>1449</v>
      </c>
      <c r="B1454" s="25" t="s">
        <v>5390</v>
      </c>
      <c r="C1454" s="8" t="s">
        <v>5391</v>
      </c>
      <c r="D1454" s="8" t="s">
        <v>3868</v>
      </c>
    </row>
    <row r="1455" spans="1:4" ht="36" customHeight="1">
      <c r="A1455" s="26">
        <v>1450</v>
      </c>
      <c r="B1455" s="25" t="s">
        <v>5392</v>
      </c>
      <c r="C1455" s="8" t="s">
        <v>5393</v>
      </c>
      <c r="D1455" s="8" t="s">
        <v>3868</v>
      </c>
    </row>
    <row r="1456" spans="1:4" ht="36" customHeight="1">
      <c r="A1456" s="26">
        <v>1451</v>
      </c>
      <c r="B1456" s="25" t="s">
        <v>5394</v>
      </c>
      <c r="C1456" s="8" t="s">
        <v>5395</v>
      </c>
      <c r="D1456" s="8" t="s">
        <v>3868</v>
      </c>
    </row>
    <row r="1457" spans="1:4" ht="36" customHeight="1">
      <c r="A1457" s="26">
        <v>1452</v>
      </c>
      <c r="B1457" s="25" t="s">
        <v>5396</v>
      </c>
      <c r="C1457" s="8" t="s">
        <v>5397</v>
      </c>
      <c r="D1457" s="8" t="s">
        <v>3868</v>
      </c>
    </row>
    <row r="1458" spans="1:4" ht="36" customHeight="1">
      <c r="A1458" s="26">
        <v>1453</v>
      </c>
      <c r="B1458" s="25" t="s">
        <v>5398</v>
      </c>
      <c r="C1458" s="8" t="s">
        <v>4630</v>
      </c>
      <c r="D1458" s="8" t="s">
        <v>3868</v>
      </c>
    </row>
    <row r="1459" spans="1:4" ht="36" customHeight="1">
      <c r="A1459" s="26">
        <v>1454</v>
      </c>
      <c r="B1459" s="25" t="s">
        <v>5399</v>
      </c>
      <c r="C1459" s="8" t="s">
        <v>5400</v>
      </c>
      <c r="D1459" s="8" t="s">
        <v>3868</v>
      </c>
    </row>
    <row r="1460" spans="1:4" ht="36" customHeight="1">
      <c r="A1460" s="26">
        <v>1455</v>
      </c>
      <c r="B1460" s="25" t="s">
        <v>5401</v>
      </c>
      <c r="C1460" s="8" t="s">
        <v>5402</v>
      </c>
      <c r="D1460" s="8" t="s">
        <v>3868</v>
      </c>
    </row>
    <row r="1461" spans="1:4" ht="36" customHeight="1">
      <c r="A1461" s="26">
        <v>1456</v>
      </c>
      <c r="B1461" s="25" t="s">
        <v>5403</v>
      </c>
      <c r="C1461" s="8" t="s">
        <v>5404</v>
      </c>
      <c r="D1461" s="8" t="s">
        <v>3868</v>
      </c>
    </row>
    <row r="1462" spans="1:4" ht="36" customHeight="1">
      <c r="A1462" s="26">
        <v>1457</v>
      </c>
      <c r="B1462" s="25" t="s">
        <v>5405</v>
      </c>
      <c r="C1462" s="8" t="s">
        <v>5406</v>
      </c>
      <c r="D1462" s="8" t="s">
        <v>3868</v>
      </c>
    </row>
    <row r="1463" spans="1:4" ht="36" customHeight="1">
      <c r="A1463" s="26">
        <v>1458</v>
      </c>
      <c r="B1463" s="25" t="s">
        <v>5407</v>
      </c>
      <c r="C1463" s="8" t="s">
        <v>5408</v>
      </c>
      <c r="D1463" s="8" t="s">
        <v>3868</v>
      </c>
    </row>
    <row r="1464" spans="1:4" ht="36" customHeight="1">
      <c r="A1464" s="26">
        <v>1459</v>
      </c>
      <c r="B1464" s="25" t="s">
        <v>5409</v>
      </c>
      <c r="C1464" s="8" t="s">
        <v>5410</v>
      </c>
      <c r="D1464" s="8" t="s">
        <v>3868</v>
      </c>
    </row>
    <row r="1465" spans="1:4" ht="36" customHeight="1">
      <c r="A1465" s="26">
        <v>1460</v>
      </c>
      <c r="B1465" s="25" t="s">
        <v>5411</v>
      </c>
      <c r="C1465" s="8" t="s">
        <v>5412</v>
      </c>
      <c r="D1465" s="8" t="s">
        <v>3868</v>
      </c>
    </row>
    <row r="1466" spans="1:4" ht="36" customHeight="1">
      <c r="A1466" s="26">
        <v>1461</v>
      </c>
      <c r="B1466" s="25" t="s">
        <v>5413</v>
      </c>
      <c r="C1466" s="8" t="s">
        <v>5414</v>
      </c>
      <c r="D1466" s="8" t="s">
        <v>3868</v>
      </c>
    </row>
    <row r="1467" spans="1:4" ht="36" customHeight="1">
      <c r="A1467" s="26">
        <v>1462</v>
      </c>
      <c r="B1467" s="25" t="s">
        <v>5415</v>
      </c>
      <c r="C1467" s="8" t="s">
        <v>5416</v>
      </c>
      <c r="D1467" s="8" t="s">
        <v>3868</v>
      </c>
    </row>
    <row r="1468" spans="1:4" ht="36" customHeight="1">
      <c r="A1468" s="26">
        <v>1463</v>
      </c>
      <c r="B1468" s="25" t="s">
        <v>5417</v>
      </c>
      <c r="C1468" s="8" t="s">
        <v>5418</v>
      </c>
      <c r="D1468" s="8" t="s">
        <v>3868</v>
      </c>
    </row>
    <row r="1469" spans="1:4" ht="36" customHeight="1">
      <c r="A1469" s="26">
        <v>1464</v>
      </c>
      <c r="B1469" s="25" t="s">
        <v>2990</v>
      </c>
      <c r="C1469" s="8" t="s">
        <v>2991</v>
      </c>
      <c r="D1469" s="8" t="s">
        <v>3868</v>
      </c>
    </row>
    <row r="1470" spans="1:4" ht="36" customHeight="1">
      <c r="A1470" s="26">
        <v>1465</v>
      </c>
      <c r="B1470" s="25" t="s">
        <v>5419</v>
      </c>
      <c r="C1470" s="8" t="s">
        <v>5420</v>
      </c>
      <c r="D1470" s="8" t="s">
        <v>3868</v>
      </c>
    </row>
    <row r="1471" spans="1:4" ht="36" customHeight="1">
      <c r="A1471" s="26">
        <v>1466</v>
      </c>
      <c r="B1471" s="25" t="s">
        <v>5421</v>
      </c>
      <c r="C1471" s="8" t="s">
        <v>5422</v>
      </c>
      <c r="D1471" s="8" t="s">
        <v>3868</v>
      </c>
    </row>
    <row r="1472" spans="1:4" ht="36" customHeight="1">
      <c r="A1472" s="26">
        <v>1467</v>
      </c>
      <c r="B1472" s="25" t="s">
        <v>5423</v>
      </c>
      <c r="C1472" s="8" t="s">
        <v>5424</v>
      </c>
      <c r="D1472" s="8" t="s">
        <v>3868</v>
      </c>
    </row>
    <row r="1473" spans="1:4" ht="36" customHeight="1">
      <c r="A1473" s="26">
        <v>1468</v>
      </c>
      <c r="B1473" s="25" t="s">
        <v>5425</v>
      </c>
      <c r="C1473" s="8" t="s">
        <v>5426</v>
      </c>
      <c r="D1473" s="8" t="s">
        <v>3868</v>
      </c>
    </row>
    <row r="1474" spans="1:4" ht="36" customHeight="1">
      <c r="A1474" s="26">
        <v>1469</v>
      </c>
      <c r="B1474" s="25" t="s">
        <v>5427</v>
      </c>
      <c r="C1474" s="8" t="s">
        <v>5428</v>
      </c>
      <c r="D1474" s="8" t="s">
        <v>3868</v>
      </c>
    </row>
    <row r="1475" spans="1:4" ht="36" customHeight="1">
      <c r="A1475" s="26">
        <v>1470</v>
      </c>
      <c r="B1475" s="25" t="s">
        <v>5429</v>
      </c>
      <c r="C1475" s="8" t="s">
        <v>5430</v>
      </c>
      <c r="D1475" s="8" t="s">
        <v>3868</v>
      </c>
    </row>
    <row r="1476" spans="1:4" ht="36" customHeight="1">
      <c r="A1476" s="26">
        <v>1471</v>
      </c>
      <c r="B1476" s="25" t="s">
        <v>5431</v>
      </c>
      <c r="C1476" s="8" t="s">
        <v>5432</v>
      </c>
      <c r="D1476" s="8" t="s">
        <v>3868</v>
      </c>
    </row>
    <row r="1477" spans="1:4" ht="36" customHeight="1">
      <c r="A1477" s="26">
        <v>1472</v>
      </c>
      <c r="B1477" s="25" t="s">
        <v>5433</v>
      </c>
      <c r="C1477" s="8" t="s">
        <v>5434</v>
      </c>
      <c r="D1477" s="8" t="s">
        <v>3868</v>
      </c>
    </row>
    <row r="1478" spans="1:4" ht="36" customHeight="1">
      <c r="A1478" s="26">
        <v>1473</v>
      </c>
      <c r="B1478" s="25" t="s">
        <v>5435</v>
      </c>
      <c r="C1478" s="8" t="s">
        <v>5436</v>
      </c>
      <c r="D1478" s="8" t="s">
        <v>3868</v>
      </c>
    </row>
    <row r="1479" spans="1:4" ht="36" customHeight="1">
      <c r="A1479" s="26">
        <v>1474</v>
      </c>
      <c r="B1479" s="25" t="s">
        <v>3011</v>
      </c>
      <c r="C1479" s="8" t="s">
        <v>882</v>
      </c>
      <c r="D1479" s="8" t="s">
        <v>3868</v>
      </c>
    </row>
    <row r="1480" spans="1:4" ht="36" customHeight="1">
      <c r="A1480" s="26">
        <v>1475</v>
      </c>
      <c r="B1480" s="25" t="s">
        <v>5437</v>
      </c>
      <c r="C1480" s="8" t="s">
        <v>5438</v>
      </c>
      <c r="D1480" s="8" t="s">
        <v>3868</v>
      </c>
    </row>
    <row r="1481" spans="1:4" ht="36" customHeight="1">
      <c r="A1481" s="26">
        <v>1476</v>
      </c>
      <c r="B1481" s="25" t="s">
        <v>5439</v>
      </c>
      <c r="C1481" s="8" t="s">
        <v>5440</v>
      </c>
      <c r="D1481" s="8" t="s">
        <v>3868</v>
      </c>
    </row>
    <row r="1482" spans="1:4" ht="36" customHeight="1">
      <c r="A1482" s="26">
        <v>1477</v>
      </c>
      <c r="B1482" s="25" t="s">
        <v>5441</v>
      </c>
      <c r="C1482" s="8" t="s">
        <v>5442</v>
      </c>
      <c r="D1482" s="8" t="s">
        <v>3868</v>
      </c>
    </row>
    <row r="1483" spans="1:4" ht="36" customHeight="1">
      <c r="A1483" s="26">
        <v>1478</v>
      </c>
      <c r="B1483" s="25" t="s">
        <v>5443</v>
      </c>
      <c r="C1483" s="8" t="s">
        <v>5444</v>
      </c>
      <c r="D1483" s="8" t="s">
        <v>3868</v>
      </c>
    </row>
    <row r="1484" spans="1:4" ht="36" customHeight="1">
      <c r="A1484" s="26">
        <v>1479</v>
      </c>
      <c r="B1484" s="25" t="s">
        <v>5445</v>
      </c>
      <c r="C1484" s="8" t="s">
        <v>5446</v>
      </c>
      <c r="D1484" s="8" t="s">
        <v>3868</v>
      </c>
    </row>
    <row r="1485" spans="1:4" ht="36" customHeight="1">
      <c r="A1485" s="26">
        <v>1480</v>
      </c>
      <c r="B1485" s="25" t="s">
        <v>5447</v>
      </c>
      <c r="C1485" s="8" t="s">
        <v>5448</v>
      </c>
      <c r="D1485" s="8" t="s">
        <v>3868</v>
      </c>
    </row>
    <row r="1486" spans="1:4" ht="36" customHeight="1">
      <c r="A1486" s="26">
        <v>1481</v>
      </c>
      <c r="B1486" s="25" t="s">
        <v>5449</v>
      </c>
      <c r="C1486" s="8" t="s">
        <v>5450</v>
      </c>
      <c r="D1486" s="8" t="s">
        <v>3868</v>
      </c>
    </row>
    <row r="1487" spans="1:4" ht="36" customHeight="1">
      <c r="A1487" s="26">
        <v>1482</v>
      </c>
      <c r="B1487" s="25" t="s">
        <v>5451</v>
      </c>
      <c r="C1487" s="8" t="s">
        <v>5452</v>
      </c>
      <c r="D1487" s="8" t="s">
        <v>3868</v>
      </c>
    </row>
    <row r="1488" spans="1:4" ht="36" customHeight="1">
      <c r="A1488" s="26">
        <v>1483</v>
      </c>
      <c r="B1488" s="25" t="s">
        <v>5453</v>
      </c>
      <c r="C1488" s="8" t="s">
        <v>5454</v>
      </c>
      <c r="D1488" s="8" t="s">
        <v>3868</v>
      </c>
    </row>
    <row r="1489" spans="1:4" ht="36" customHeight="1">
      <c r="A1489" s="26">
        <v>1484</v>
      </c>
      <c r="B1489" s="25" t="s">
        <v>5455</v>
      </c>
      <c r="C1489" s="8" t="s">
        <v>5456</v>
      </c>
      <c r="D1489" s="8" t="s">
        <v>3868</v>
      </c>
    </row>
    <row r="1490" spans="1:4" ht="36" customHeight="1">
      <c r="A1490" s="26">
        <v>1485</v>
      </c>
      <c r="B1490" s="25" t="s">
        <v>5457</v>
      </c>
      <c r="C1490" s="8" t="s">
        <v>5458</v>
      </c>
      <c r="D1490" s="8" t="s">
        <v>3868</v>
      </c>
    </row>
    <row r="1491" spans="1:4" ht="36" customHeight="1">
      <c r="A1491" s="26">
        <v>1486</v>
      </c>
      <c r="B1491" s="25" t="s">
        <v>2472</v>
      </c>
      <c r="C1491" s="8" t="s">
        <v>2473</v>
      </c>
      <c r="D1491" s="8" t="s">
        <v>3868</v>
      </c>
    </row>
    <row r="1492" spans="1:4" ht="36" customHeight="1">
      <c r="A1492" s="26">
        <v>1487</v>
      </c>
      <c r="B1492" s="25" t="s">
        <v>5459</v>
      </c>
      <c r="C1492" s="8" t="s">
        <v>5460</v>
      </c>
      <c r="D1492" s="8" t="s">
        <v>3868</v>
      </c>
    </row>
    <row r="1493" spans="1:4" ht="36" customHeight="1">
      <c r="A1493" s="26">
        <v>1488</v>
      </c>
      <c r="B1493" s="25" t="s">
        <v>5461</v>
      </c>
      <c r="C1493" s="8" t="s">
        <v>5462</v>
      </c>
      <c r="D1493" s="8" t="s">
        <v>3868</v>
      </c>
    </row>
    <row r="1494" spans="1:4" ht="36" customHeight="1">
      <c r="A1494" s="26">
        <v>1489</v>
      </c>
      <c r="B1494" s="25" t="s">
        <v>5463</v>
      </c>
      <c r="C1494" s="8" t="s">
        <v>5464</v>
      </c>
      <c r="D1494" s="8" t="s">
        <v>3868</v>
      </c>
    </row>
    <row r="1495" spans="1:4" ht="36" customHeight="1">
      <c r="A1495" s="26">
        <v>1490</v>
      </c>
      <c r="B1495" s="25" t="s">
        <v>5465</v>
      </c>
      <c r="C1495" s="8" t="s">
        <v>5466</v>
      </c>
      <c r="D1495" s="8" t="s">
        <v>3868</v>
      </c>
    </row>
    <row r="1496" spans="1:4" ht="36" customHeight="1">
      <c r="A1496" s="26">
        <v>1491</v>
      </c>
      <c r="B1496" s="25" t="s">
        <v>5467</v>
      </c>
      <c r="C1496" s="8" t="s">
        <v>5468</v>
      </c>
      <c r="D1496" s="8" t="s">
        <v>3868</v>
      </c>
    </row>
    <row r="1497" spans="1:4" ht="36" customHeight="1">
      <c r="A1497" s="26">
        <v>1492</v>
      </c>
      <c r="B1497" s="25" t="s">
        <v>5469</v>
      </c>
      <c r="C1497" s="8" t="s">
        <v>5470</v>
      </c>
      <c r="D1497" s="8" t="s">
        <v>3868</v>
      </c>
    </row>
    <row r="1498" spans="1:4" ht="36" customHeight="1">
      <c r="A1498" s="26">
        <v>1493</v>
      </c>
      <c r="B1498" s="25" t="s">
        <v>5471</v>
      </c>
      <c r="C1498" s="8" t="s">
        <v>5472</v>
      </c>
      <c r="D1498" s="8" t="s">
        <v>3868</v>
      </c>
    </row>
    <row r="1499" spans="1:4" ht="36" customHeight="1">
      <c r="A1499" s="26">
        <v>1494</v>
      </c>
      <c r="B1499" s="25" t="s">
        <v>5473</v>
      </c>
      <c r="C1499" s="8" t="s">
        <v>5474</v>
      </c>
      <c r="D1499" s="8" t="s">
        <v>3868</v>
      </c>
    </row>
    <row r="1500" spans="1:4" ht="36" customHeight="1">
      <c r="A1500" s="26">
        <v>1495</v>
      </c>
      <c r="B1500" s="25" t="s">
        <v>5475</v>
      </c>
      <c r="C1500" s="8" t="s">
        <v>5476</v>
      </c>
      <c r="D1500" s="8" t="s">
        <v>3868</v>
      </c>
    </row>
    <row r="1501" spans="1:4" ht="36" customHeight="1">
      <c r="A1501" s="26">
        <v>1496</v>
      </c>
      <c r="B1501" s="25" t="s">
        <v>5477</v>
      </c>
      <c r="C1501" s="8" t="s">
        <v>5478</v>
      </c>
      <c r="D1501" s="8" t="s">
        <v>3868</v>
      </c>
    </row>
    <row r="1502" spans="1:4" ht="36" customHeight="1">
      <c r="A1502" s="26">
        <v>1497</v>
      </c>
      <c r="B1502" s="25" t="s">
        <v>5479</v>
      </c>
      <c r="C1502" s="8" t="s">
        <v>5480</v>
      </c>
      <c r="D1502" s="8" t="s">
        <v>3868</v>
      </c>
    </row>
    <row r="1503" spans="1:4" ht="36" customHeight="1">
      <c r="A1503" s="26">
        <v>1498</v>
      </c>
      <c r="B1503" s="25" t="s">
        <v>5481</v>
      </c>
      <c r="C1503" s="8" t="s">
        <v>5482</v>
      </c>
      <c r="D1503" s="8" t="s">
        <v>3868</v>
      </c>
    </row>
    <row r="1504" spans="1:4" ht="36" customHeight="1">
      <c r="A1504" s="26">
        <v>1499</v>
      </c>
      <c r="B1504" s="25" t="s">
        <v>5483</v>
      </c>
      <c r="C1504" s="8" t="s">
        <v>5484</v>
      </c>
      <c r="D1504" s="8" t="s">
        <v>3868</v>
      </c>
    </row>
    <row r="1505" spans="1:4" ht="36" customHeight="1">
      <c r="A1505" s="26">
        <v>1500</v>
      </c>
      <c r="B1505" s="25" t="s">
        <v>5485</v>
      </c>
      <c r="C1505" s="8" t="s">
        <v>5486</v>
      </c>
      <c r="D1505" s="8" t="s">
        <v>3868</v>
      </c>
    </row>
    <row r="1506" spans="1:4" ht="36" customHeight="1">
      <c r="A1506" s="26">
        <v>1501</v>
      </c>
      <c r="B1506" s="25" t="s">
        <v>5487</v>
      </c>
      <c r="C1506" s="8" t="s">
        <v>5488</v>
      </c>
      <c r="D1506" s="8" t="s">
        <v>3868</v>
      </c>
    </row>
    <row r="1507" spans="1:4" ht="36" customHeight="1">
      <c r="A1507" s="26">
        <v>1502</v>
      </c>
      <c r="B1507" s="25" t="s">
        <v>5489</v>
      </c>
      <c r="C1507" s="8" t="s">
        <v>5490</v>
      </c>
      <c r="D1507" s="8" t="s">
        <v>3868</v>
      </c>
    </row>
    <row r="1508" spans="1:4" ht="36" customHeight="1">
      <c r="A1508" s="26">
        <v>1503</v>
      </c>
      <c r="B1508" s="25" t="s">
        <v>5491</v>
      </c>
      <c r="C1508" s="8" t="s">
        <v>5492</v>
      </c>
      <c r="D1508" s="8" t="s">
        <v>3868</v>
      </c>
    </row>
    <row r="1509" spans="1:4" ht="36" customHeight="1">
      <c r="A1509" s="26">
        <v>1504</v>
      </c>
      <c r="B1509" s="25" t="s">
        <v>5493</v>
      </c>
      <c r="C1509" s="8" t="s">
        <v>5494</v>
      </c>
      <c r="D1509" s="8" t="s">
        <v>3868</v>
      </c>
    </row>
    <row r="1510" spans="1:4" ht="36" customHeight="1">
      <c r="A1510" s="26">
        <v>1505</v>
      </c>
      <c r="B1510" s="25" t="s">
        <v>5495</v>
      </c>
      <c r="C1510" s="8" t="s">
        <v>5496</v>
      </c>
      <c r="D1510" s="8" t="s">
        <v>3868</v>
      </c>
    </row>
    <row r="1511" spans="1:4" ht="36" customHeight="1">
      <c r="A1511" s="26">
        <v>1506</v>
      </c>
      <c r="B1511" s="25" t="s">
        <v>5497</v>
      </c>
      <c r="C1511" s="8" t="s">
        <v>5498</v>
      </c>
      <c r="D1511" s="8" t="s">
        <v>3868</v>
      </c>
    </row>
    <row r="1512" spans="1:4" ht="36" customHeight="1">
      <c r="A1512" s="26">
        <v>1507</v>
      </c>
      <c r="B1512" s="25" t="s">
        <v>5499</v>
      </c>
      <c r="C1512" s="8" t="s">
        <v>5500</v>
      </c>
      <c r="D1512" s="8" t="s">
        <v>3868</v>
      </c>
    </row>
    <row r="1513" spans="1:4" ht="36" customHeight="1">
      <c r="A1513" s="26">
        <v>1508</v>
      </c>
      <c r="B1513" s="25" t="s">
        <v>5501</v>
      </c>
      <c r="C1513" s="8" t="s">
        <v>5502</v>
      </c>
      <c r="D1513" s="8" t="s">
        <v>3868</v>
      </c>
    </row>
    <row r="1514" spans="1:4" ht="36" customHeight="1">
      <c r="A1514" s="26">
        <v>1509</v>
      </c>
      <c r="B1514" s="25" t="s">
        <v>5503</v>
      </c>
      <c r="C1514" s="8" t="s">
        <v>5504</v>
      </c>
      <c r="D1514" s="8" t="s">
        <v>3868</v>
      </c>
    </row>
    <row r="1515" spans="1:4" ht="36" customHeight="1">
      <c r="A1515" s="26">
        <v>1510</v>
      </c>
      <c r="B1515" s="25" t="s">
        <v>5505</v>
      </c>
      <c r="C1515" s="8" t="s">
        <v>5506</v>
      </c>
      <c r="D1515" s="8" t="s">
        <v>3868</v>
      </c>
    </row>
    <row r="1516" spans="1:4" ht="36" customHeight="1">
      <c r="A1516" s="26">
        <v>1511</v>
      </c>
      <c r="B1516" s="25" t="s">
        <v>5507</v>
      </c>
      <c r="C1516" s="8" t="s">
        <v>5508</v>
      </c>
      <c r="D1516" s="8" t="s">
        <v>3868</v>
      </c>
    </row>
    <row r="1517" spans="1:4" ht="36" customHeight="1">
      <c r="A1517" s="26">
        <v>1512</v>
      </c>
      <c r="B1517" s="25" t="s">
        <v>5509</v>
      </c>
      <c r="C1517" s="8" t="s">
        <v>5510</v>
      </c>
      <c r="D1517" s="8" t="s">
        <v>3868</v>
      </c>
    </row>
    <row r="1518" spans="1:4" ht="36" customHeight="1">
      <c r="A1518" s="26">
        <v>1513</v>
      </c>
      <c r="B1518" s="25" t="s">
        <v>5511</v>
      </c>
      <c r="C1518" s="8" t="s">
        <v>5512</v>
      </c>
      <c r="D1518" s="8" t="s">
        <v>3868</v>
      </c>
    </row>
    <row r="1519" spans="1:4" ht="36" customHeight="1">
      <c r="A1519" s="26">
        <v>1514</v>
      </c>
      <c r="B1519" s="25" t="s">
        <v>5513</v>
      </c>
      <c r="C1519" s="8" t="s">
        <v>5514</v>
      </c>
      <c r="D1519" s="8" t="s">
        <v>3868</v>
      </c>
    </row>
    <row r="1520" spans="1:4" ht="36" customHeight="1">
      <c r="A1520" s="26">
        <v>1515</v>
      </c>
      <c r="B1520" s="25" t="s">
        <v>5515</v>
      </c>
      <c r="C1520" s="8" t="s">
        <v>5516</v>
      </c>
      <c r="D1520" s="8" t="s">
        <v>3868</v>
      </c>
    </row>
    <row r="1521" spans="1:4" ht="36" customHeight="1">
      <c r="A1521" s="26">
        <v>1516</v>
      </c>
      <c r="B1521" s="25" t="s">
        <v>5517</v>
      </c>
      <c r="C1521" s="8" t="s">
        <v>5518</v>
      </c>
      <c r="D1521" s="8" t="s">
        <v>3868</v>
      </c>
    </row>
    <row r="1522" spans="1:4" ht="36" customHeight="1">
      <c r="A1522" s="26">
        <v>1517</v>
      </c>
      <c r="B1522" s="25" t="s">
        <v>5519</v>
      </c>
      <c r="C1522" s="8" t="s">
        <v>5520</v>
      </c>
      <c r="D1522" s="8" t="s">
        <v>3868</v>
      </c>
    </row>
    <row r="1523" spans="1:4" ht="36" customHeight="1">
      <c r="A1523" s="26">
        <v>1518</v>
      </c>
      <c r="B1523" s="25" t="s">
        <v>5521</v>
      </c>
      <c r="C1523" s="8" t="s">
        <v>5522</v>
      </c>
      <c r="D1523" s="8" t="s">
        <v>3868</v>
      </c>
    </row>
    <row r="1524" spans="1:4" ht="36" customHeight="1">
      <c r="A1524" s="26">
        <v>1519</v>
      </c>
      <c r="B1524" s="25" t="s">
        <v>5523</v>
      </c>
      <c r="C1524" s="8" t="s">
        <v>5524</v>
      </c>
      <c r="D1524" s="8" t="s">
        <v>3868</v>
      </c>
    </row>
    <row r="1525" spans="1:4" ht="36" customHeight="1">
      <c r="A1525" s="26">
        <v>1520</v>
      </c>
      <c r="B1525" s="25" t="s">
        <v>5525</v>
      </c>
      <c r="C1525" s="8" t="s">
        <v>5526</v>
      </c>
      <c r="D1525" s="8" t="s">
        <v>3868</v>
      </c>
    </row>
    <row r="1526" spans="1:4" ht="36" customHeight="1">
      <c r="A1526" s="26">
        <v>1521</v>
      </c>
      <c r="B1526" s="25" t="s">
        <v>5527</v>
      </c>
      <c r="C1526" s="8" t="s">
        <v>5528</v>
      </c>
      <c r="D1526" s="8" t="s">
        <v>3868</v>
      </c>
    </row>
    <row r="1527" spans="1:4" ht="36" customHeight="1">
      <c r="A1527" s="26">
        <v>1522</v>
      </c>
      <c r="B1527" s="25" t="s">
        <v>5529</v>
      </c>
      <c r="C1527" s="8" t="s">
        <v>5530</v>
      </c>
      <c r="D1527" s="8" t="s">
        <v>3868</v>
      </c>
    </row>
    <row r="1528" spans="1:4" ht="36" customHeight="1">
      <c r="A1528" s="26">
        <v>1523</v>
      </c>
      <c r="B1528" s="25" t="s">
        <v>5531</v>
      </c>
      <c r="C1528" s="8" t="s">
        <v>5532</v>
      </c>
      <c r="D1528" s="8" t="s">
        <v>3868</v>
      </c>
    </row>
    <row r="1529" spans="1:4" ht="36" customHeight="1">
      <c r="A1529" s="26">
        <v>1524</v>
      </c>
      <c r="B1529" s="25" t="s">
        <v>5533</v>
      </c>
      <c r="C1529" s="8" t="s">
        <v>5534</v>
      </c>
      <c r="D1529" s="8" t="s">
        <v>3868</v>
      </c>
    </row>
    <row r="1530" spans="1:4" ht="36" customHeight="1">
      <c r="A1530" s="26">
        <v>1525</v>
      </c>
      <c r="B1530" s="25" t="s">
        <v>5535</v>
      </c>
      <c r="C1530" s="8" t="s">
        <v>5536</v>
      </c>
      <c r="D1530" s="8" t="s">
        <v>3868</v>
      </c>
    </row>
    <row r="1531" spans="1:4" ht="36" customHeight="1">
      <c r="A1531" s="26">
        <v>1526</v>
      </c>
      <c r="B1531" s="25" t="s">
        <v>5537</v>
      </c>
      <c r="C1531" s="8" t="s">
        <v>5538</v>
      </c>
      <c r="D1531" s="8" t="s">
        <v>3868</v>
      </c>
    </row>
    <row r="1532" spans="1:4" ht="36" customHeight="1">
      <c r="A1532" s="26">
        <v>1527</v>
      </c>
      <c r="B1532" s="25" t="s">
        <v>5539</v>
      </c>
      <c r="C1532" s="8" t="s">
        <v>5540</v>
      </c>
      <c r="D1532" s="8" t="s">
        <v>3868</v>
      </c>
    </row>
    <row r="1533" spans="1:4" ht="36" customHeight="1">
      <c r="A1533" s="26">
        <v>1528</v>
      </c>
      <c r="B1533" s="25" t="s">
        <v>5541</v>
      </c>
      <c r="C1533" s="8" t="s">
        <v>5542</v>
      </c>
      <c r="D1533" s="8" t="s">
        <v>3868</v>
      </c>
    </row>
    <row r="1534" spans="1:4" ht="36" customHeight="1">
      <c r="A1534" s="26">
        <v>1529</v>
      </c>
      <c r="B1534" s="25" t="s">
        <v>5543</v>
      </c>
      <c r="C1534" s="8" t="s">
        <v>5544</v>
      </c>
      <c r="D1534" s="8" t="s">
        <v>3868</v>
      </c>
    </row>
    <row r="1535" spans="1:4" ht="36" customHeight="1">
      <c r="A1535" s="26">
        <v>1530</v>
      </c>
      <c r="B1535" s="25" t="s">
        <v>5545</v>
      </c>
      <c r="C1535" s="8" t="s">
        <v>5546</v>
      </c>
      <c r="D1535" s="8" t="s">
        <v>3868</v>
      </c>
    </row>
    <row r="1536" spans="1:4" ht="36" customHeight="1">
      <c r="A1536" s="26">
        <v>1531</v>
      </c>
      <c r="B1536" s="25" t="s">
        <v>5547</v>
      </c>
      <c r="C1536" s="8" t="s">
        <v>5548</v>
      </c>
      <c r="D1536" s="8" t="s">
        <v>3868</v>
      </c>
    </row>
    <row r="1537" spans="1:4" ht="36" customHeight="1">
      <c r="A1537" s="26">
        <v>1532</v>
      </c>
      <c r="B1537" s="25" t="s">
        <v>5549</v>
      </c>
      <c r="C1537" s="8" t="s">
        <v>5550</v>
      </c>
      <c r="D1537" s="8" t="s">
        <v>3868</v>
      </c>
    </row>
    <row r="1538" spans="1:4" ht="36" customHeight="1">
      <c r="A1538" s="26">
        <v>1533</v>
      </c>
      <c r="B1538" s="25" t="s">
        <v>5551</v>
      </c>
      <c r="C1538" s="8" t="s">
        <v>5552</v>
      </c>
      <c r="D1538" s="8" t="s">
        <v>3868</v>
      </c>
    </row>
    <row r="1539" spans="1:4" ht="36" customHeight="1">
      <c r="A1539" s="26">
        <v>1534</v>
      </c>
      <c r="B1539" s="25" t="s">
        <v>5553</v>
      </c>
      <c r="C1539" s="8" t="s">
        <v>5554</v>
      </c>
      <c r="D1539" s="8" t="s">
        <v>3868</v>
      </c>
    </row>
    <row r="1540" spans="1:4" ht="36" customHeight="1">
      <c r="A1540" s="26">
        <v>1535</v>
      </c>
      <c r="B1540" s="25" t="s">
        <v>5555</v>
      </c>
      <c r="C1540" s="8" t="s">
        <v>5556</v>
      </c>
      <c r="D1540" s="8" t="s">
        <v>3868</v>
      </c>
    </row>
    <row r="1541" spans="1:4" ht="36" customHeight="1">
      <c r="A1541" s="26">
        <v>1536</v>
      </c>
      <c r="B1541" s="25" t="s">
        <v>5557</v>
      </c>
      <c r="C1541" s="8" t="s">
        <v>5558</v>
      </c>
      <c r="D1541" s="8" t="s">
        <v>3868</v>
      </c>
    </row>
    <row r="1542" spans="1:4" ht="36" customHeight="1">
      <c r="A1542" s="26">
        <v>1537</v>
      </c>
      <c r="B1542" s="25" t="s">
        <v>2469</v>
      </c>
      <c r="C1542" s="8" t="s">
        <v>2470</v>
      </c>
      <c r="D1542" s="8" t="s">
        <v>3868</v>
      </c>
    </row>
    <row r="1543" spans="1:4" ht="36" customHeight="1">
      <c r="A1543" s="26">
        <v>1538</v>
      </c>
      <c r="B1543" s="25" t="s">
        <v>5559</v>
      </c>
      <c r="C1543" s="8" t="s">
        <v>5560</v>
      </c>
      <c r="D1543" s="8" t="s">
        <v>3868</v>
      </c>
    </row>
    <row r="1544" spans="1:4" ht="36" customHeight="1">
      <c r="A1544" s="26">
        <v>1539</v>
      </c>
      <c r="B1544" s="25" t="s">
        <v>5561</v>
      </c>
      <c r="C1544" s="8" t="s">
        <v>5562</v>
      </c>
      <c r="D1544" s="8" t="s">
        <v>3868</v>
      </c>
    </row>
    <row r="1545" spans="1:4" ht="36" customHeight="1">
      <c r="A1545" s="26">
        <v>1540</v>
      </c>
      <c r="B1545" s="25" t="s">
        <v>5563</v>
      </c>
      <c r="C1545" s="8" t="s">
        <v>5564</v>
      </c>
      <c r="D1545" s="8" t="s">
        <v>3868</v>
      </c>
    </row>
    <row r="1546" spans="1:4" ht="36" customHeight="1">
      <c r="A1546" s="26">
        <v>1541</v>
      </c>
      <c r="B1546" s="25" t="s">
        <v>5565</v>
      </c>
      <c r="C1546" s="8" t="s">
        <v>5566</v>
      </c>
      <c r="D1546" s="8" t="s">
        <v>3868</v>
      </c>
    </row>
    <row r="1547" spans="1:4" ht="36" customHeight="1">
      <c r="A1547" s="26">
        <v>1542</v>
      </c>
      <c r="B1547" s="25" t="s">
        <v>5567</v>
      </c>
      <c r="C1547" s="8" t="s">
        <v>5568</v>
      </c>
      <c r="D1547" s="8" t="s">
        <v>3868</v>
      </c>
    </row>
    <row r="1548" spans="1:4" ht="36" customHeight="1">
      <c r="A1548" s="26">
        <v>1543</v>
      </c>
      <c r="B1548" s="25" t="s">
        <v>5569</v>
      </c>
      <c r="C1548" s="8" t="s">
        <v>5570</v>
      </c>
      <c r="D1548" s="8" t="s">
        <v>3868</v>
      </c>
    </row>
    <row r="1549" spans="1:4" ht="36" customHeight="1">
      <c r="A1549" s="26">
        <v>1544</v>
      </c>
      <c r="B1549" s="25" t="s">
        <v>5571</v>
      </c>
      <c r="C1549" s="8" t="s">
        <v>5572</v>
      </c>
      <c r="D1549" s="8" t="s">
        <v>3868</v>
      </c>
    </row>
    <row r="1550" spans="1:4" ht="36" customHeight="1">
      <c r="A1550" s="26">
        <v>1545</v>
      </c>
      <c r="B1550" s="25" t="s">
        <v>5573</v>
      </c>
      <c r="C1550" s="8" t="s">
        <v>5574</v>
      </c>
      <c r="D1550" s="8" t="s">
        <v>3868</v>
      </c>
    </row>
    <row r="1551" spans="1:4" ht="36" customHeight="1">
      <c r="A1551" s="26">
        <v>1546</v>
      </c>
      <c r="B1551" s="25" t="s">
        <v>5575</v>
      </c>
      <c r="C1551" s="8" t="s">
        <v>5576</v>
      </c>
      <c r="D1551" s="8" t="s">
        <v>3868</v>
      </c>
    </row>
    <row r="1552" spans="1:4" ht="36" customHeight="1">
      <c r="A1552" s="26">
        <v>1547</v>
      </c>
      <c r="B1552" s="25" t="s">
        <v>5577</v>
      </c>
      <c r="C1552" s="8" t="s">
        <v>5578</v>
      </c>
      <c r="D1552" s="8" t="s">
        <v>3868</v>
      </c>
    </row>
    <row r="1553" spans="1:4" ht="36" customHeight="1">
      <c r="A1553" s="26">
        <v>1548</v>
      </c>
      <c r="B1553" s="25" t="s">
        <v>3036</v>
      </c>
      <c r="C1553" s="8" t="s">
        <v>3037</v>
      </c>
      <c r="D1553" s="8" t="s">
        <v>3868</v>
      </c>
    </row>
    <row r="1554" spans="1:4" ht="36" customHeight="1">
      <c r="A1554" s="26">
        <v>1549</v>
      </c>
      <c r="B1554" s="25" t="s">
        <v>5579</v>
      </c>
      <c r="C1554" s="8" t="s">
        <v>5580</v>
      </c>
      <c r="D1554" s="8" t="s">
        <v>3868</v>
      </c>
    </row>
    <row r="1555" spans="1:4" ht="36" customHeight="1">
      <c r="A1555" s="26">
        <v>1550</v>
      </c>
      <c r="B1555" s="25" t="s">
        <v>5581</v>
      </c>
      <c r="C1555" s="8" t="s">
        <v>5582</v>
      </c>
      <c r="D1555" s="8" t="s">
        <v>3868</v>
      </c>
    </row>
    <row r="1556" spans="1:4" ht="36" customHeight="1">
      <c r="A1556" s="26">
        <v>1551</v>
      </c>
      <c r="B1556" s="25" t="s">
        <v>5583</v>
      </c>
      <c r="C1556" s="8" t="s">
        <v>5584</v>
      </c>
      <c r="D1556" s="8" t="s">
        <v>3868</v>
      </c>
    </row>
    <row r="1557" spans="1:4" ht="36" customHeight="1">
      <c r="A1557" s="26">
        <v>1552</v>
      </c>
      <c r="B1557" s="25" t="s">
        <v>5585</v>
      </c>
      <c r="C1557" s="8" t="s">
        <v>5586</v>
      </c>
      <c r="D1557" s="8" t="s">
        <v>3868</v>
      </c>
    </row>
    <row r="1558" spans="1:4" ht="36" customHeight="1">
      <c r="A1558" s="26">
        <v>1553</v>
      </c>
      <c r="B1558" s="25" t="s">
        <v>5587</v>
      </c>
      <c r="C1558" s="8" t="s">
        <v>5588</v>
      </c>
      <c r="D1558" s="8" t="s">
        <v>3868</v>
      </c>
    </row>
    <row r="1559" spans="1:4" ht="36" customHeight="1">
      <c r="A1559" s="26">
        <v>1554</v>
      </c>
      <c r="B1559" s="25" t="s">
        <v>5589</v>
      </c>
      <c r="C1559" s="8" t="s">
        <v>5590</v>
      </c>
      <c r="D1559" s="8" t="s">
        <v>3868</v>
      </c>
    </row>
    <row r="1560" spans="1:4" ht="36" customHeight="1">
      <c r="A1560" s="26">
        <v>1555</v>
      </c>
      <c r="B1560" s="25" t="s">
        <v>2938</v>
      </c>
      <c r="C1560" s="8" t="s">
        <v>2939</v>
      </c>
      <c r="D1560" s="8" t="s">
        <v>3868</v>
      </c>
    </row>
    <row r="1561" spans="1:4" ht="36" customHeight="1">
      <c r="A1561" s="26">
        <v>1556</v>
      </c>
      <c r="B1561" s="25" t="s">
        <v>5591</v>
      </c>
      <c r="C1561" s="8" t="s">
        <v>5592</v>
      </c>
      <c r="D1561" s="8" t="s">
        <v>3868</v>
      </c>
    </row>
    <row r="1562" spans="1:4" ht="36" customHeight="1">
      <c r="A1562" s="26">
        <v>1557</v>
      </c>
      <c r="B1562" s="25" t="s">
        <v>5593</v>
      </c>
      <c r="C1562" s="8" t="s">
        <v>5594</v>
      </c>
      <c r="D1562" s="8" t="s">
        <v>3868</v>
      </c>
    </row>
    <row r="1563" spans="1:4" ht="36" customHeight="1">
      <c r="A1563" s="26">
        <v>1558</v>
      </c>
      <c r="B1563" s="25" t="s">
        <v>5595</v>
      </c>
      <c r="C1563" s="8" t="s">
        <v>5596</v>
      </c>
      <c r="D1563" s="8" t="s">
        <v>3868</v>
      </c>
    </row>
    <row r="1564" spans="1:4" ht="36" customHeight="1">
      <c r="A1564" s="26">
        <v>1559</v>
      </c>
      <c r="B1564" s="25" t="s">
        <v>5597</v>
      </c>
      <c r="C1564" s="8" t="s">
        <v>5598</v>
      </c>
      <c r="D1564" s="8" t="s">
        <v>3868</v>
      </c>
    </row>
    <row r="1565" spans="1:4" ht="36" customHeight="1">
      <c r="A1565" s="26">
        <v>1560</v>
      </c>
      <c r="B1565" s="25" t="s">
        <v>5599</v>
      </c>
      <c r="C1565" s="8" t="s">
        <v>5600</v>
      </c>
      <c r="D1565" s="8" t="s">
        <v>3868</v>
      </c>
    </row>
    <row r="1566" spans="1:4" ht="36" customHeight="1">
      <c r="A1566" s="26">
        <v>1561</v>
      </c>
      <c r="B1566" s="25" t="s">
        <v>5601</v>
      </c>
      <c r="C1566" s="8" t="s">
        <v>5602</v>
      </c>
      <c r="D1566" s="8" t="s">
        <v>3868</v>
      </c>
    </row>
    <row r="1567" spans="1:4" ht="36" customHeight="1">
      <c r="A1567" s="26">
        <v>1562</v>
      </c>
      <c r="B1567" s="25" t="s">
        <v>5603</v>
      </c>
      <c r="C1567" s="8" t="s">
        <v>5604</v>
      </c>
      <c r="D1567" s="8" t="s">
        <v>3868</v>
      </c>
    </row>
    <row r="1568" spans="1:4" ht="36" customHeight="1">
      <c r="A1568" s="26">
        <v>1563</v>
      </c>
      <c r="B1568" s="25" t="s">
        <v>5605</v>
      </c>
      <c r="C1568" s="8" t="s">
        <v>5606</v>
      </c>
      <c r="D1568" s="8" t="s">
        <v>3868</v>
      </c>
    </row>
    <row r="1569" spans="1:4" ht="36" customHeight="1">
      <c r="A1569" s="26">
        <v>1564</v>
      </c>
      <c r="B1569" s="25" t="s">
        <v>5607</v>
      </c>
      <c r="C1569" s="8" t="s">
        <v>5608</v>
      </c>
      <c r="D1569" s="8" t="s">
        <v>3868</v>
      </c>
    </row>
    <row r="1570" spans="1:4" ht="36" customHeight="1">
      <c r="A1570" s="26">
        <v>1565</v>
      </c>
      <c r="B1570" s="25" t="s">
        <v>5609</v>
      </c>
      <c r="C1570" s="8" t="s">
        <v>5610</v>
      </c>
      <c r="D1570" s="8" t="s">
        <v>3868</v>
      </c>
    </row>
    <row r="1571" spans="1:4" ht="36" customHeight="1">
      <c r="A1571" s="26">
        <v>1566</v>
      </c>
      <c r="B1571" s="25" t="s">
        <v>5611</v>
      </c>
      <c r="C1571" s="8" t="s">
        <v>5612</v>
      </c>
      <c r="D1571" s="8" t="s">
        <v>3868</v>
      </c>
    </row>
    <row r="1572" spans="1:4" ht="36" customHeight="1">
      <c r="A1572" s="26">
        <v>1567</v>
      </c>
      <c r="B1572" s="25" t="s">
        <v>5613</v>
      </c>
      <c r="C1572" s="8" t="s">
        <v>5614</v>
      </c>
      <c r="D1572" s="8" t="s">
        <v>3868</v>
      </c>
    </row>
    <row r="1573" spans="1:4" ht="36" customHeight="1">
      <c r="A1573" s="26">
        <v>1568</v>
      </c>
      <c r="B1573" s="25" t="s">
        <v>5615</v>
      </c>
      <c r="C1573" s="8" t="s">
        <v>5616</v>
      </c>
      <c r="D1573" s="8" t="s">
        <v>3868</v>
      </c>
    </row>
    <row r="1574" spans="1:4" ht="36" customHeight="1">
      <c r="A1574" s="26">
        <v>1569</v>
      </c>
      <c r="B1574" s="25" t="s">
        <v>5617</v>
      </c>
      <c r="C1574" s="8" t="s">
        <v>5618</v>
      </c>
      <c r="D1574" s="8" t="s">
        <v>3868</v>
      </c>
    </row>
    <row r="1575" spans="1:4" ht="36" customHeight="1">
      <c r="A1575" s="26">
        <v>1570</v>
      </c>
      <c r="B1575" s="25" t="s">
        <v>5619</v>
      </c>
      <c r="C1575" s="8" t="s">
        <v>5620</v>
      </c>
      <c r="D1575" s="8" t="s">
        <v>3868</v>
      </c>
    </row>
    <row r="1576" spans="1:4" ht="36" customHeight="1">
      <c r="A1576" s="26">
        <v>1571</v>
      </c>
      <c r="B1576" s="25" t="s">
        <v>5621</v>
      </c>
      <c r="C1576" s="8" t="s">
        <v>5622</v>
      </c>
      <c r="D1576" s="8" t="s">
        <v>3868</v>
      </c>
    </row>
    <row r="1577" spans="1:4" ht="36" customHeight="1">
      <c r="A1577" s="26">
        <v>1572</v>
      </c>
      <c r="B1577" s="25" t="s">
        <v>5623</v>
      </c>
      <c r="C1577" s="8" t="s">
        <v>5624</v>
      </c>
      <c r="D1577" s="8" t="s">
        <v>3868</v>
      </c>
    </row>
    <row r="1578" spans="1:4" ht="36" customHeight="1">
      <c r="A1578" s="26">
        <v>1573</v>
      </c>
      <c r="B1578" s="25" t="s">
        <v>5625</v>
      </c>
      <c r="C1578" s="8" t="s">
        <v>5626</v>
      </c>
      <c r="D1578" s="8" t="s">
        <v>3868</v>
      </c>
    </row>
    <row r="1579" spans="1:4" ht="36" customHeight="1">
      <c r="A1579" s="26">
        <v>1574</v>
      </c>
      <c r="B1579" s="25" t="s">
        <v>5627</v>
      </c>
      <c r="C1579" s="8" t="s">
        <v>5628</v>
      </c>
      <c r="D1579" s="8" t="s">
        <v>3868</v>
      </c>
    </row>
    <row r="1580" spans="1:4" ht="36" customHeight="1">
      <c r="A1580" s="26">
        <v>1575</v>
      </c>
      <c r="B1580" s="25" t="s">
        <v>2932</v>
      </c>
      <c r="C1580" s="8" t="s">
        <v>2933</v>
      </c>
      <c r="D1580" s="8" t="s">
        <v>3868</v>
      </c>
    </row>
    <row r="1581" spans="1:4" ht="36" customHeight="1">
      <c r="A1581" s="26">
        <v>1576</v>
      </c>
      <c r="B1581" s="25" t="s">
        <v>5629</v>
      </c>
      <c r="C1581" s="8" t="s">
        <v>5630</v>
      </c>
      <c r="D1581" s="8" t="s">
        <v>3868</v>
      </c>
    </row>
    <row r="1582" spans="1:4" ht="36" customHeight="1">
      <c r="A1582" s="26">
        <v>1577</v>
      </c>
      <c r="B1582" s="25" t="s">
        <v>5631</v>
      </c>
      <c r="C1582" s="8" t="s">
        <v>5632</v>
      </c>
      <c r="D1582" s="8" t="s">
        <v>3868</v>
      </c>
    </row>
    <row r="1583" spans="1:4" ht="36" customHeight="1">
      <c r="A1583" s="26">
        <v>1578</v>
      </c>
      <c r="B1583" s="25" t="s">
        <v>5633</v>
      </c>
      <c r="C1583" s="8" t="s">
        <v>5634</v>
      </c>
      <c r="D1583" s="8" t="s">
        <v>3868</v>
      </c>
    </row>
    <row r="1584" spans="1:4" ht="36" customHeight="1">
      <c r="A1584" s="26">
        <v>1579</v>
      </c>
      <c r="B1584" s="25" t="s">
        <v>5635</v>
      </c>
      <c r="C1584" s="8" t="s">
        <v>5636</v>
      </c>
      <c r="D1584" s="8" t="s">
        <v>3868</v>
      </c>
    </row>
    <row r="1585" spans="1:4" ht="36" customHeight="1">
      <c r="A1585" s="26">
        <v>1580</v>
      </c>
      <c r="B1585" s="25" t="s">
        <v>5637</v>
      </c>
      <c r="C1585" s="8" t="s">
        <v>5638</v>
      </c>
      <c r="D1585" s="8" t="s">
        <v>3868</v>
      </c>
    </row>
    <row r="1586" spans="1:4" ht="36" customHeight="1">
      <c r="A1586" s="26">
        <v>1581</v>
      </c>
      <c r="B1586" s="25" t="s">
        <v>5639</v>
      </c>
      <c r="C1586" s="8" t="s">
        <v>5640</v>
      </c>
      <c r="D1586" s="8" t="s">
        <v>3868</v>
      </c>
    </row>
    <row r="1587" spans="1:4" ht="36" customHeight="1">
      <c r="A1587" s="26">
        <v>1582</v>
      </c>
      <c r="B1587" s="25" t="s">
        <v>5641</v>
      </c>
      <c r="C1587" s="8" t="s">
        <v>5642</v>
      </c>
      <c r="D1587" s="8" t="s">
        <v>3868</v>
      </c>
    </row>
    <row r="1588" spans="1:4" ht="36" customHeight="1">
      <c r="A1588" s="26">
        <v>1583</v>
      </c>
      <c r="B1588" s="25" t="s">
        <v>5643</v>
      </c>
      <c r="C1588" s="8" t="s">
        <v>5644</v>
      </c>
      <c r="D1588" s="8" t="s">
        <v>3868</v>
      </c>
    </row>
    <row r="1589" spans="1:4" ht="36" customHeight="1">
      <c r="A1589" s="26">
        <v>1584</v>
      </c>
      <c r="B1589" s="25" t="s">
        <v>5645</v>
      </c>
      <c r="C1589" s="8" t="s">
        <v>5646</v>
      </c>
      <c r="D1589" s="8" t="s">
        <v>3868</v>
      </c>
    </row>
    <row r="1590" spans="1:4" ht="36" customHeight="1">
      <c r="A1590" s="26">
        <v>1585</v>
      </c>
      <c r="B1590" s="25" t="s">
        <v>5647</v>
      </c>
      <c r="C1590" s="8" t="s">
        <v>5648</v>
      </c>
      <c r="D1590" s="8" t="s">
        <v>3868</v>
      </c>
    </row>
    <row r="1591" spans="1:4" ht="36" customHeight="1">
      <c r="A1591" s="26">
        <v>1586</v>
      </c>
      <c r="B1591" s="25" t="s">
        <v>5649</v>
      </c>
      <c r="C1591" s="8" t="s">
        <v>5650</v>
      </c>
      <c r="D1591" s="8" t="s">
        <v>3868</v>
      </c>
    </row>
    <row r="1592" spans="1:4" ht="36" customHeight="1">
      <c r="A1592" s="26">
        <v>1587</v>
      </c>
      <c r="B1592" s="25" t="s">
        <v>5651</v>
      </c>
      <c r="C1592" s="8" t="s">
        <v>5652</v>
      </c>
      <c r="D1592" s="8" t="s">
        <v>3868</v>
      </c>
    </row>
    <row r="1593" spans="1:4" ht="36" customHeight="1">
      <c r="A1593" s="26">
        <v>1588</v>
      </c>
      <c r="B1593" s="25" t="s">
        <v>5653</v>
      </c>
      <c r="C1593" s="8" t="s">
        <v>5654</v>
      </c>
      <c r="D1593" s="8" t="s">
        <v>3868</v>
      </c>
    </row>
    <row r="1594" spans="1:4" ht="36" customHeight="1">
      <c r="A1594" s="26">
        <v>1589</v>
      </c>
      <c r="B1594" s="25" t="s">
        <v>5655</v>
      </c>
      <c r="C1594" s="8" t="s">
        <v>5656</v>
      </c>
      <c r="D1594" s="8" t="s">
        <v>3868</v>
      </c>
    </row>
    <row r="1595" spans="1:4" ht="36" customHeight="1">
      <c r="A1595" s="26">
        <v>1590</v>
      </c>
      <c r="B1595" s="25" t="s">
        <v>5657</v>
      </c>
      <c r="C1595" s="8" t="s">
        <v>5658</v>
      </c>
      <c r="D1595" s="8" t="s">
        <v>3868</v>
      </c>
    </row>
    <row r="1596" spans="1:4" ht="36" customHeight="1">
      <c r="A1596" s="26">
        <v>1591</v>
      </c>
      <c r="B1596" s="25" t="s">
        <v>5659</v>
      </c>
      <c r="C1596" s="8" t="s">
        <v>5660</v>
      </c>
      <c r="D1596" s="8" t="s">
        <v>3868</v>
      </c>
    </row>
    <row r="1597" spans="1:4" ht="36" customHeight="1">
      <c r="A1597" s="26">
        <v>1592</v>
      </c>
      <c r="B1597" s="25" t="s">
        <v>5661</v>
      </c>
      <c r="C1597" s="8" t="s">
        <v>5662</v>
      </c>
      <c r="D1597" s="8" t="s">
        <v>3868</v>
      </c>
    </row>
    <row r="1598" spans="1:4" ht="36" customHeight="1">
      <c r="A1598" s="26">
        <v>1593</v>
      </c>
      <c r="B1598" s="25" t="s">
        <v>5663</v>
      </c>
      <c r="C1598" s="8" t="s">
        <v>5664</v>
      </c>
      <c r="D1598" s="8" t="s">
        <v>3868</v>
      </c>
    </row>
    <row r="1599" spans="1:4" ht="36" customHeight="1">
      <c r="A1599" s="26">
        <v>1594</v>
      </c>
      <c r="B1599" s="25" t="s">
        <v>5665</v>
      </c>
      <c r="C1599" s="8" t="s">
        <v>5666</v>
      </c>
      <c r="D1599" s="8" t="s">
        <v>3868</v>
      </c>
    </row>
    <row r="1600" spans="1:4" ht="36" customHeight="1">
      <c r="A1600" s="26">
        <v>1595</v>
      </c>
      <c r="B1600" s="25" t="s">
        <v>5667</v>
      </c>
      <c r="C1600" s="8" t="s">
        <v>5668</v>
      </c>
      <c r="D1600" s="8" t="s">
        <v>3868</v>
      </c>
    </row>
    <row r="1601" spans="1:4" ht="36" customHeight="1">
      <c r="A1601" s="26">
        <v>1596</v>
      </c>
      <c r="B1601" s="25" t="s">
        <v>5669</v>
      </c>
      <c r="C1601" s="8" t="s">
        <v>5670</v>
      </c>
      <c r="D1601" s="8" t="s">
        <v>3868</v>
      </c>
    </row>
    <row r="1602" spans="1:4" ht="36" customHeight="1">
      <c r="A1602" s="26">
        <v>1597</v>
      </c>
      <c r="B1602" s="25" t="s">
        <v>5671</v>
      </c>
      <c r="C1602" s="8" t="s">
        <v>5672</v>
      </c>
      <c r="D1602" s="8" t="s">
        <v>3868</v>
      </c>
    </row>
    <row r="1603" spans="1:4" ht="36" customHeight="1">
      <c r="A1603" s="26">
        <v>1598</v>
      </c>
      <c r="B1603" s="25" t="s">
        <v>5673</v>
      </c>
      <c r="C1603" s="8" t="s">
        <v>5674</v>
      </c>
      <c r="D1603" s="8" t="s">
        <v>3868</v>
      </c>
    </row>
    <row r="1604" spans="1:4" ht="36" customHeight="1">
      <c r="A1604" s="26">
        <v>1599</v>
      </c>
      <c r="B1604" s="25" t="s">
        <v>5675</v>
      </c>
      <c r="C1604" s="8" t="s">
        <v>5676</v>
      </c>
      <c r="D1604" s="8" t="s">
        <v>3868</v>
      </c>
    </row>
    <row r="1605" spans="1:4" ht="36" customHeight="1">
      <c r="A1605" s="26">
        <v>1600</v>
      </c>
      <c r="B1605" s="25" t="s">
        <v>5677</v>
      </c>
      <c r="C1605" s="8" t="s">
        <v>5678</v>
      </c>
      <c r="D1605" s="8" t="s">
        <v>3868</v>
      </c>
    </row>
    <row r="1606" spans="1:4" ht="36" customHeight="1">
      <c r="A1606" s="26">
        <v>1601</v>
      </c>
      <c r="B1606" s="25" t="s">
        <v>5679</v>
      </c>
      <c r="C1606" s="8" t="s">
        <v>5680</v>
      </c>
      <c r="D1606" s="8" t="s">
        <v>3868</v>
      </c>
    </row>
    <row r="1607" spans="1:4" ht="36" customHeight="1">
      <c r="A1607" s="26">
        <v>1602</v>
      </c>
      <c r="B1607" s="25" t="s">
        <v>5681</v>
      </c>
      <c r="C1607" s="8" t="s">
        <v>5682</v>
      </c>
      <c r="D1607" s="8" t="s">
        <v>3868</v>
      </c>
    </row>
    <row r="1608" spans="1:4" ht="36" customHeight="1">
      <c r="A1608" s="26">
        <v>1603</v>
      </c>
      <c r="B1608" s="25" t="s">
        <v>5683</v>
      </c>
      <c r="C1608" s="8" t="s">
        <v>5684</v>
      </c>
      <c r="D1608" s="8" t="s">
        <v>3868</v>
      </c>
    </row>
    <row r="1609" spans="1:4" ht="36" customHeight="1">
      <c r="A1609" s="26">
        <v>1604</v>
      </c>
      <c r="B1609" s="25" t="s">
        <v>5685</v>
      </c>
      <c r="C1609" s="8" t="s">
        <v>5686</v>
      </c>
      <c r="D1609" s="8" t="s">
        <v>3868</v>
      </c>
    </row>
    <row r="1610" spans="1:4" ht="36" customHeight="1">
      <c r="A1610" s="26">
        <v>1605</v>
      </c>
      <c r="B1610" s="25" t="s">
        <v>5687</v>
      </c>
      <c r="C1610" s="8" t="s">
        <v>5688</v>
      </c>
      <c r="D1610" s="8" t="s">
        <v>3868</v>
      </c>
    </row>
    <row r="1611" spans="1:4" ht="36" customHeight="1">
      <c r="A1611" s="26">
        <v>1606</v>
      </c>
      <c r="B1611" s="25" t="s">
        <v>5689</v>
      </c>
      <c r="C1611" s="8" t="s">
        <v>5690</v>
      </c>
      <c r="D1611" s="8" t="s">
        <v>3868</v>
      </c>
    </row>
    <row r="1612" spans="1:4" ht="36" customHeight="1">
      <c r="A1612" s="26">
        <v>1607</v>
      </c>
      <c r="B1612" s="25" t="s">
        <v>5691</v>
      </c>
      <c r="C1612" s="8" t="s">
        <v>5692</v>
      </c>
      <c r="D1612" s="8" t="s">
        <v>3868</v>
      </c>
    </row>
    <row r="1613" spans="1:4" ht="36" customHeight="1">
      <c r="A1613" s="26">
        <v>1608</v>
      </c>
      <c r="B1613" s="25" t="s">
        <v>5693</v>
      </c>
      <c r="C1613" s="8" t="s">
        <v>5694</v>
      </c>
      <c r="D1613" s="8" t="s">
        <v>3868</v>
      </c>
    </row>
    <row r="1614" spans="1:4" ht="36" customHeight="1">
      <c r="A1614" s="26">
        <v>1609</v>
      </c>
      <c r="B1614" s="25" t="s">
        <v>5695</v>
      </c>
      <c r="C1614" s="8" t="s">
        <v>5696</v>
      </c>
      <c r="D1614" s="8" t="s">
        <v>3868</v>
      </c>
    </row>
    <row r="1615" spans="1:4" ht="36" customHeight="1">
      <c r="A1615" s="26">
        <v>1610</v>
      </c>
      <c r="B1615" s="25" t="s">
        <v>5697</v>
      </c>
      <c r="C1615" s="8" t="s">
        <v>5698</v>
      </c>
      <c r="D1615" s="8" t="s">
        <v>3868</v>
      </c>
    </row>
    <row r="1616" spans="1:4" ht="36" customHeight="1">
      <c r="A1616" s="26">
        <v>1611</v>
      </c>
      <c r="B1616" s="25" t="s">
        <v>5699</v>
      </c>
      <c r="C1616" s="8" t="s">
        <v>5700</v>
      </c>
      <c r="D1616" s="8" t="s">
        <v>3868</v>
      </c>
    </row>
    <row r="1617" spans="1:4" ht="36" customHeight="1">
      <c r="A1617" s="26">
        <v>1612</v>
      </c>
      <c r="B1617" s="25" t="s">
        <v>5701</v>
      </c>
      <c r="C1617" s="8" t="s">
        <v>5702</v>
      </c>
      <c r="D1617" s="8" t="s">
        <v>3868</v>
      </c>
    </row>
    <row r="1618" spans="1:4" ht="36" customHeight="1">
      <c r="A1618" s="26">
        <v>1613</v>
      </c>
      <c r="B1618" s="25" t="s">
        <v>5703</v>
      </c>
      <c r="C1618" s="8" t="s">
        <v>5704</v>
      </c>
      <c r="D1618" s="8" t="s">
        <v>3868</v>
      </c>
    </row>
    <row r="1619" spans="1:4" ht="36" customHeight="1">
      <c r="A1619" s="26">
        <v>1614</v>
      </c>
      <c r="B1619" s="25" t="s">
        <v>5705</v>
      </c>
      <c r="C1619" s="8" t="s">
        <v>5706</v>
      </c>
      <c r="D1619" s="8" t="s">
        <v>3868</v>
      </c>
    </row>
    <row r="1620" spans="1:4" ht="36" customHeight="1">
      <c r="A1620" s="26">
        <v>1615</v>
      </c>
      <c r="B1620" s="25" t="s">
        <v>5707</v>
      </c>
      <c r="C1620" s="8" t="s">
        <v>5708</v>
      </c>
      <c r="D1620" s="8" t="s">
        <v>3868</v>
      </c>
    </row>
    <row r="1621" spans="1:4" ht="36" customHeight="1">
      <c r="A1621" s="26">
        <v>1616</v>
      </c>
      <c r="B1621" s="25" t="s">
        <v>5709</v>
      </c>
      <c r="C1621" s="8" t="s">
        <v>5710</v>
      </c>
      <c r="D1621" s="8" t="s">
        <v>3868</v>
      </c>
    </row>
    <row r="1622" spans="1:4" ht="36" customHeight="1">
      <c r="A1622" s="26">
        <v>1617</v>
      </c>
      <c r="B1622" s="25" t="s">
        <v>5711</v>
      </c>
      <c r="C1622" s="8" t="s">
        <v>5712</v>
      </c>
      <c r="D1622" s="8" t="s">
        <v>3868</v>
      </c>
    </row>
    <row r="1623" spans="1:4" ht="36" customHeight="1">
      <c r="A1623" s="26">
        <v>1618</v>
      </c>
      <c r="B1623" s="25" t="s">
        <v>5713</v>
      </c>
      <c r="C1623" s="8" t="s">
        <v>5714</v>
      </c>
      <c r="D1623" s="8" t="s">
        <v>3868</v>
      </c>
    </row>
    <row r="1624" spans="1:4" ht="36" customHeight="1">
      <c r="A1624" s="26">
        <v>1619</v>
      </c>
      <c r="B1624" s="25" t="s">
        <v>5715</v>
      </c>
      <c r="C1624" s="8" t="s">
        <v>5716</v>
      </c>
      <c r="D1624" s="8" t="s">
        <v>3868</v>
      </c>
    </row>
    <row r="1625" spans="1:4" ht="36" customHeight="1">
      <c r="A1625" s="26">
        <v>1620</v>
      </c>
      <c r="B1625" s="25" t="s">
        <v>5717</v>
      </c>
      <c r="C1625" s="8" t="s">
        <v>5718</v>
      </c>
      <c r="D1625" s="8" t="s">
        <v>3868</v>
      </c>
    </row>
    <row r="1626" spans="1:4" ht="36" customHeight="1">
      <c r="A1626" s="26">
        <v>1621</v>
      </c>
      <c r="B1626" s="25" t="s">
        <v>5719</v>
      </c>
      <c r="C1626" s="8" t="s">
        <v>5720</v>
      </c>
      <c r="D1626" s="8" t="s">
        <v>3868</v>
      </c>
    </row>
    <row r="1627" spans="1:4" ht="36" customHeight="1">
      <c r="A1627" s="26">
        <v>1622</v>
      </c>
      <c r="B1627" s="25" t="s">
        <v>5721</v>
      </c>
      <c r="C1627" s="8" t="s">
        <v>5722</v>
      </c>
      <c r="D1627" s="8" t="s">
        <v>3868</v>
      </c>
    </row>
    <row r="1628" spans="1:4" ht="36" customHeight="1">
      <c r="A1628" s="26">
        <v>1623</v>
      </c>
      <c r="B1628" s="25" t="s">
        <v>5723</v>
      </c>
      <c r="C1628" s="8" t="s">
        <v>5724</v>
      </c>
      <c r="D1628" s="8" t="s">
        <v>3868</v>
      </c>
    </row>
    <row r="1629" spans="1:4" ht="36" customHeight="1">
      <c r="A1629" s="26">
        <v>1624</v>
      </c>
      <c r="B1629" s="25" t="s">
        <v>5725</v>
      </c>
      <c r="C1629" s="8" t="s">
        <v>5726</v>
      </c>
      <c r="D1629" s="8" t="s">
        <v>3868</v>
      </c>
    </row>
    <row r="1630" spans="1:4" ht="36" customHeight="1">
      <c r="A1630" s="26">
        <v>1625</v>
      </c>
      <c r="B1630" s="25" t="s">
        <v>5727</v>
      </c>
      <c r="C1630" s="8" t="s">
        <v>5728</v>
      </c>
      <c r="D1630" s="8" t="s">
        <v>3868</v>
      </c>
    </row>
    <row r="1631" spans="1:4" ht="36" customHeight="1">
      <c r="A1631" s="26">
        <v>1626</v>
      </c>
      <c r="B1631" s="25" t="s">
        <v>5729</v>
      </c>
      <c r="C1631" s="8" t="s">
        <v>5730</v>
      </c>
      <c r="D1631" s="8" t="s">
        <v>3868</v>
      </c>
    </row>
    <row r="1632" spans="1:4" ht="36" customHeight="1">
      <c r="A1632" s="26">
        <v>1627</v>
      </c>
      <c r="B1632" s="25" t="s">
        <v>5731</v>
      </c>
      <c r="C1632" s="8" t="s">
        <v>5732</v>
      </c>
      <c r="D1632" s="8" t="s">
        <v>3868</v>
      </c>
    </row>
    <row r="1633" spans="1:4" ht="36" customHeight="1">
      <c r="A1633" s="26">
        <v>1628</v>
      </c>
      <c r="B1633" s="25" t="s">
        <v>5733</v>
      </c>
      <c r="C1633" s="8" t="s">
        <v>5734</v>
      </c>
      <c r="D1633" s="8" t="s">
        <v>3868</v>
      </c>
    </row>
    <row r="1634" spans="1:4" ht="36" customHeight="1">
      <c r="A1634" s="26">
        <v>1629</v>
      </c>
      <c r="B1634" s="25" t="s">
        <v>5735</v>
      </c>
      <c r="C1634" s="8" t="s">
        <v>5736</v>
      </c>
      <c r="D1634" s="8" t="s">
        <v>3868</v>
      </c>
    </row>
    <row r="1635" spans="1:4" ht="36" customHeight="1">
      <c r="A1635" s="26">
        <v>1630</v>
      </c>
      <c r="B1635" s="25" t="s">
        <v>5737</v>
      </c>
      <c r="C1635" s="8" t="s">
        <v>5738</v>
      </c>
      <c r="D1635" s="8" t="s">
        <v>3868</v>
      </c>
    </row>
    <row r="1636" spans="1:4" ht="36" customHeight="1">
      <c r="A1636" s="26">
        <v>1631</v>
      </c>
      <c r="B1636" s="25" t="s">
        <v>5739</v>
      </c>
      <c r="C1636" s="8" t="s">
        <v>5740</v>
      </c>
      <c r="D1636" s="8" t="s">
        <v>3868</v>
      </c>
    </row>
    <row r="1637" spans="1:4" ht="36" customHeight="1">
      <c r="A1637" s="26">
        <v>1632</v>
      </c>
      <c r="B1637" s="25" t="s">
        <v>5741</v>
      </c>
      <c r="C1637" s="8" t="s">
        <v>5742</v>
      </c>
      <c r="D1637" s="8" t="s">
        <v>3868</v>
      </c>
    </row>
    <row r="1638" spans="1:4" ht="36" customHeight="1">
      <c r="A1638" s="26">
        <v>1633</v>
      </c>
      <c r="B1638" s="25" t="s">
        <v>5743</v>
      </c>
      <c r="C1638" s="8" t="s">
        <v>5744</v>
      </c>
      <c r="D1638" s="8" t="s">
        <v>3868</v>
      </c>
    </row>
    <row r="1639" spans="1:4" ht="36" customHeight="1">
      <c r="A1639" s="26">
        <v>1634</v>
      </c>
      <c r="B1639" s="25" t="s">
        <v>5745</v>
      </c>
      <c r="C1639" s="8" t="s">
        <v>5746</v>
      </c>
      <c r="D1639" s="8" t="s">
        <v>3868</v>
      </c>
    </row>
    <row r="1640" spans="1:4" ht="36" customHeight="1">
      <c r="A1640" s="26">
        <v>1635</v>
      </c>
      <c r="B1640" s="25" t="s">
        <v>5747</v>
      </c>
      <c r="C1640" s="8" t="s">
        <v>5748</v>
      </c>
      <c r="D1640" s="8" t="s">
        <v>3868</v>
      </c>
    </row>
    <row r="1641" spans="1:4" ht="36" customHeight="1">
      <c r="A1641" s="26">
        <v>1636</v>
      </c>
      <c r="B1641" s="25" t="s">
        <v>5749</v>
      </c>
      <c r="C1641" s="8" t="s">
        <v>5750</v>
      </c>
      <c r="D1641" s="8" t="s">
        <v>3868</v>
      </c>
    </row>
    <row r="1642" spans="1:4" ht="36" customHeight="1">
      <c r="A1642" s="26">
        <v>1637</v>
      </c>
      <c r="B1642" s="25" t="s">
        <v>5751</v>
      </c>
      <c r="C1642" s="8" t="s">
        <v>5752</v>
      </c>
      <c r="D1642" s="8" t="s">
        <v>3868</v>
      </c>
    </row>
    <row r="1643" spans="1:4" ht="36" customHeight="1">
      <c r="A1643" s="26">
        <v>1638</v>
      </c>
      <c r="B1643" s="25" t="s">
        <v>5753</v>
      </c>
      <c r="C1643" s="8" t="s">
        <v>5754</v>
      </c>
      <c r="D1643" s="8" t="s">
        <v>3868</v>
      </c>
    </row>
    <row r="1644" spans="1:4" ht="36" customHeight="1">
      <c r="A1644" s="26">
        <v>1639</v>
      </c>
      <c r="B1644" s="25" t="s">
        <v>5755</v>
      </c>
      <c r="C1644" s="8" t="s">
        <v>5756</v>
      </c>
      <c r="D1644" s="8" t="s">
        <v>3868</v>
      </c>
    </row>
    <row r="1645" spans="1:4" ht="36" customHeight="1">
      <c r="A1645" s="26">
        <v>1640</v>
      </c>
      <c r="B1645" s="25" t="s">
        <v>5757</v>
      </c>
      <c r="C1645" s="8" t="s">
        <v>5758</v>
      </c>
      <c r="D1645" s="8" t="s">
        <v>3868</v>
      </c>
    </row>
    <row r="1646" spans="1:4" ht="36" customHeight="1">
      <c r="A1646" s="26">
        <v>1641</v>
      </c>
      <c r="B1646" s="25" t="s">
        <v>5759</v>
      </c>
      <c r="C1646" s="8" t="s">
        <v>5760</v>
      </c>
      <c r="D1646" s="8" t="s">
        <v>3868</v>
      </c>
    </row>
    <row r="1647" spans="1:4" ht="36" customHeight="1">
      <c r="A1647" s="26">
        <v>1642</v>
      </c>
      <c r="B1647" s="25" t="s">
        <v>5761</v>
      </c>
      <c r="C1647" s="8" t="s">
        <v>5762</v>
      </c>
      <c r="D1647" s="8" t="s">
        <v>3868</v>
      </c>
    </row>
    <row r="1648" spans="1:4" ht="36" customHeight="1">
      <c r="A1648" s="26">
        <v>1643</v>
      </c>
      <c r="B1648" s="25" t="s">
        <v>5763</v>
      </c>
      <c r="C1648" s="8" t="s">
        <v>5764</v>
      </c>
      <c r="D1648" s="8" t="s">
        <v>3868</v>
      </c>
    </row>
    <row r="1649" spans="1:4" ht="36" customHeight="1">
      <c r="A1649" s="26">
        <v>1644</v>
      </c>
      <c r="B1649" s="25" t="s">
        <v>5765</v>
      </c>
      <c r="C1649" s="8" t="s">
        <v>5766</v>
      </c>
      <c r="D1649" s="8" t="s">
        <v>3868</v>
      </c>
    </row>
    <row r="1650" spans="1:4" ht="36" customHeight="1">
      <c r="A1650" s="26">
        <v>1645</v>
      </c>
      <c r="B1650" s="25" t="s">
        <v>5767</v>
      </c>
      <c r="C1650" s="8" t="s">
        <v>5768</v>
      </c>
      <c r="D1650" s="8" t="s">
        <v>3868</v>
      </c>
    </row>
    <row r="1651" spans="1:4" ht="36" customHeight="1">
      <c r="A1651" s="26">
        <v>1646</v>
      </c>
      <c r="B1651" s="25" t="s">
        <v>5769</v>
      </c>
      <c r="C1651" s="8" t="s">
        <v>5770</v>
      </c>
      <c r="D1651" s="8" t="s">
        <v>3868</v>
      </c>
    </row>
    <row r="1652" spans="1:4" ht="36" customHeight="1">
      <c r="A1652" s="26">
        <v>1647</v>
      </c>
      <c r="B1652" s="25" t="s">
        <v>5771</v>
      </c>
      <c r="C1652" s="8" t="s">
        <v>5772</v>
      </c>
      <c r="D1652" s="8" t="s">
        <v>3868</v>
      </c>
    </row>
    <row r="1653" spans="1:4" ht="36" customHeight="1">
      <c r="A1653" s="26">
        <v>1648</v>
      </c>
      <c r="B1653" s="25" t="s">
        <v>5773</v>
      </c>
      <c r="C1653" s="8" t="s">
        <v>5774</v>
      </c>
      <c r="D1653" s="8" t="s">
        <v>3868</v>
      </c>
    </row>
    <row r="1654" spans="1:4" ht="36" customHeight="1">
      <c r="A1654" s="26">
        <v>1649</v>
      </c>
      <c r="B1654" s="25" t="s">
        <v>5775</v>
      </c>
      <c r="C1654" s="8" t="s">
        <v>5776</v>
      </c>
      <c r="D1654" s="8" t="s">
        <v>3868</v>
      </c>
    </row>
    <row r="1655" spans="1:4" ht="36" customHeight="1">
      <c r="A1655" s="26">
        <v>1650</v>
      </c>
      <c r="B1655" s="25" t="s">
        <v>5777</v>
      </c>
      <c r="C1655" s="8" t="s">
        <v>5778</v>
      </c>
      <c r="D1655" s="8" t="s">
        <v>3868</v>
      </c>
    </row>
    <row r="1656" spans="1:4" ht="36" customHeight="1">
      <c r="A1656" s="26">
        <v>1651</v>
      </c>
      <c r="B1656" s="25" t="s">
        <v>5779</v>
      </c>
      <c r="C1656" s="8" t="s">
        <v>5780</v>
      </c>
      <c r="D1656" s="8" t="s">
        <v>3868</v>
      </c>
    </row>
    <row r="1657" spans="1:4" ht="36" customHeight="1">
      <c r="A1657" s="26">
        <v>1652</v>
      </c>
      <c r="B1657" s="25" t="s">
        <v>5781</v>
      </c>
      <c r="C1657" s="8" t="s">
        <v>5782</v>
      </c>
      <c r="D1657" s="8" t="s">
        <v>3868</v>
      </c>
    </row>
    <row r="1658" spans="1:4" ht="36" customHeight="1">
      <c r="A1658" s="26">
        <v>1653</v>
      </c>
      <c r="B1658" s="25" t="s">
        <v>5783</v>
      </c>
      <c r="C1658" s="8" t="s">
        <v>5784</v>
      </c>
      <c r="D1658" s="8" t="s">
        <v>3868</v>
      </c>
    </row>
    <row r="1659" spans="1:4" ht="36" customHeight="1">
      <c r="A1659" s="26">
        <v>1654</v>
      </c>
      <c r="B1659" s="25" t="s">
        <v>5785</v>
      </c>
      <c r="C1659" s="8" t="s">
        <v>5786</v>
      </c>
      <c r="D1659" s="8" t="s">
        <v>3868</v>
      </c>
    </row>
    <row r="1660" spans="1:4" ht="36" customHeight="1">
      <c r="A1660" s="26">
        <v>1655</v>
      </c>
      <c r="B1660" s="25" t="s">
        <v>5787</v>
      </c>
      <c r="C1660" s="8" t="s">
        <v>5788</v>
      </c>
      <c r="D1660" s="8" t="s">
        <v>3868</v>
      </c>
    </row>
    <row r="1661" spans="1:4" ht="36" customHeight="1">
      <c r="A1661" s="26">
        <v>1656</v>
      </c>
      <c r="B1661" s="25" t="s">
        <v>5789</v>
      </c>
      <c r="C1661" s="8" t="s">
        <v>5790</v>
      </c>
      <c r="D1661" s="8" t="s">
        <v>3868</v>
      </c>
    </row>
    <row r="1662" spans="1:4" ht="36" customHeight="1">
      <c r="A1662" s="26">
        <v>1657</v>
      </c>
      <c r="B1662" s="25" t="s">
        <v>5791</v>
      </c>
      <c r="C1662" s="8" t="s">
        <v>5792</v>
      </c>
      <c r="D1662" s="8" t="s">
        <v>3868</v>
      </c>
    </row>
    <row r="1663" spans="1:4" ht="36" customHeight="1">
      <c r="A1663" s="26">
        <v>1658</v>
      </c>
      <c r="B1663" s="25" t="s">
        <v>5793</v>
      </c>
      <c r="C1663" s="8" t="s">
        <v>5794</v>
      </c>
      <c r="D1663" s="8" t="s">
        <v>3868</v>
      </c>
    </row>
    <row r="1664" spans="1:4" ht="36" customHeight="1">
      <c r="A1664" s="26">
        <v>1659</v>
      </c>
      <c r="B1664" s="25" t="s">
        <v>5795</v>
      </c>
      <c r="C1664" s="8" t="s">
        <v>5796</v>
      </c>
      <c r="D1664" s="8" t="s">
        <v>3868</v>
      </c>
    </row>
    <row r="1665" spans="1:4" ht="36" customHeight="1">
      <c r="A1665" s="26">
        <v>1660</v>
      </c>
      <c r="B1665" s="25" t="s">
        <v>5797</v>
      </c>
      <c r="C1665" s="8" t="s">
        <v>5798</v>
      </c>
      <c r="D1665" s="8" t="s">
        <v>3868</v>
      </c>
    </row>
    <row r="1666" spans="1:4" ht="36" customHeight="1">
      <c r="A1666" s="26">
        <v>1661</v>
      </c>
      <c r="B1666" s="25" t="s">
        <v>5799</v>
      </c>
      <c r="C1666" s="8" t="s">
        <v>5800</v>
      </c>
      <c r="D1666" s="8" t="s">
        <v>3868</v>
      </c>
    </row>
    <row r="1667" spans="1:4" ht="36" customHeight="1">
      <c r="A1667" s="26">
        <v>1662</v>
      </c>
      <c r="B1667" s="25" t="s">
        <v>5801</v>
      </c>
      <c r="C1667" s="8" t="s">
        <v>5802</v>
      </c>
      <c r="D1667" s="8" t="s">
        <v>3868</v>
      </c>
    </row>
    <row r="1668" spans="1:4" ht="36" customHeight="1">
      <c r="A1668" s="26">
        <v>1663</v>
      </c>
      <c r="B1668" s="25" t="s">
        <v>5803</v>
      </c>
      <c r="C1668" s="8" t="s">
        <v>5804</v>
      </c>
      <c r="D1668" s="8" t="s">
        <v>3868</v>
      </c>
    </row>
    <row r="1669" spans="1:4" ht="36" customHeight="1">
      <c r="A1669" s="26">
        <v>1664</v>
      </c>
      <c r="B1669" s="25" t="s">
        <v>5805</v>
      </c>
      <c r="C1669" s="8" t="s">
        <v>5806</v>
      </c>
      <c r="D1669" s="8" t="s">
        <v>3868</v>
      </c>
    </row>
    <row r="1670" spans="1:4" ht="36" customHeight="1">
      <c r="A1670" s="26">
        <v>1665</v>
      </c>
      <c r="B1670" s="25" t="s">
        <v>5807</v>
      </c>
      <c r="C1670" s="8" t="s">
        <v>5808</v>
      </c>
      <c r="D1670" s="8" t="s">
        <v>3868</v>
      </c>
    </row>
    <row r="1671" spans="1:4" ht="36" customHeight="1">
      <c r="A1671" s="26">
        <v>1666</v>
      </c>
      <c r="B1671" s="25" t="s">
        <v>5809</v>
      </c>
      <c r="C1671" s="8" t="s">
        <v>5810</v>
      </c>
      <c r="D1671" s="8" t="s">
        <v>3868</v>
      </c>
    </row>
    <row r="1672" spans="1:4" ht="36" customHeight="1">
      <c r="A1672" s="26">
        <v>1667</v>
      </c>
      <c r="B1672" s="25" t="s">
        <v>5811</v>
      </c>
      <c r="C1672" s="8" t="s">
        <v>5812</v>
      </c>
      <c r="D1672" s="8" t="s">
        <v>3868</v>
      </c>
    </row>
    <row r="1673" spans="1:4" ht="36" customHeight="1">
      <c r="A1673" s="26">
        <v>1668</v>
      </c>
      <c r="B1673" s="25" t="s">
        <v>5813</v>
      </c>
      <c r="C1673" s="8" t="s">
        <v>5814</v>
      </c>
      <c r="D1673" s="8" t="s">
        <v>3868</v>
      </c>
    </row>
    <row r="1674" spans="1:4" ht="36" customHeight="1">
      <c r="A1674" s="26">
        <v>1669</v>
      </c>
      <c r="B1674" s="25" t="s">
        <v>5815</v>
      </c>
      <c r="C1674" s="8" t="s">
        <v>5816</v>
      </c>
      <c r="D1674" s="8" t="s">
        <v>3868</v>
      </c>
    </row>
    <row r="1675" spans="1:4" ht="36" customHeight="1">
      <c r="A1675" s="26">
        <v>1670</v>
      </c>
      <c r="B1675" s="25" t="s">
        <v>5817</v>
      </c>
      <c r="C1675" s="8" t="s">
        <v>5818</v>
      </c>
      <c r="D1675" s="8" t="s">
        <v>3868</v>
      </c>
    </row>
    <row r="1676" spans="1:4" ht="36" customHeight="1">
      <c r="A1676" s="26">
        <v>1671</v>
      </c>
      <c r="B1676" s="25" t="s">
        <v>5819</v>
      </c>
      <c r="C1676" s="8" t="s">
        <v>5820</v>
      </c>
      <c r="D1676" s="8" t="s">
        <v>3868</v>
      </c>
    </row>
    <row r="1677" spans="1:4" ht="36" customHeight="1">
      <c r="A1677" s="26">
        <v>1672</v>
      </c>
      <c r="B1677" s="25" t="s">
        <v>5821</v>
      </c>
      <c r="C1677" s="8" t="s">
        <v>5822</v>
      </c>
      <c r="D1677" s="8" t="s">
        <v>3868</v>
      </c>
    </row>
    <row r="1678" spans="1:4" ht="36" customHeight="1">
      <c r="A1678" s="26">
        <v>1673</v>
      </c>
      <c r="B1678" s="25" t="s">
        <v>5823</v>
      </c>
      <c r="C1678" s="8" t="s">
        <v>5824</v>
      </c>
      <c r="D1678" s="8" t="s">
        <v>3868</v>
      </c>
    </row>
    <row r="1679" spans="1:4" ht="36" customHeight="1">
      <c r="A1679" s="26">
        <v>1674</v>
      </c>
      <c r="B1679" s="25" t="s">
        <v>5825</v>
      </c>
      <c r="C1679" s="8" t="s">
        <v>5826</v>
      </c>
      <c r="D1679" s="8" t="s">
        <v>3868</v>
      </c>
    </row>
    <row r="1680" spans="1:4" ht="36" customHeight="1">
      <c r="A1680" s="26">
        <v>1675</v>
      </c>
      <c r="B1680" s="25" t="s">
        <v>5827</v>
      </c>
      <c r="C1680" s="8" t="s">
        <v>5828</v>
      </c>
      <c r="D1680" s="8" t="s">
        <v>3868</v>
      </c>
    </row>
    <row r="1681" spans="1:4" ht="36" customHeight="1">
      <c r="A1681" s="26">
        <v>1676</v>
      </c>
      <c r="B1681" s="25" t="s">
        <v>5829</v>
      </c>
      <c r="C1681" s="8" t="s">
        <v>5830</v>
      </c>
      <c r="D1681" s="8" t="s">
        <v>3868</v>
      </c>
    </row>
    <row r="1682" spans="1:4" ht="36" customHeight="1">
      <c r="A1682" s="26">
        <v>1677</v>
      </c>
      <c r="B1682" s="25" t="s">
        <v>5831</v>
      </c>
      <c r="C1682" s="8" t="s">
        <v>5832</v>
      </c>
      <c r="D1682" s="8" t="s">
        <v>3868</v>
      </c>
    </row>
    <row r="1683" spans="1:4" ht="36" customHeight="1">
      <c r="A1683" s="26">
        <v>1678</v>
      </c>
      <c r="B1683" s="25" t="s">
        <v>5833</v>
      </c>
      <c r="C1683" s="8" t="s">
        <v>5834</v>
      </c>
      <c r="D1683" s="8" t="s">
        <v>3868</v>
      </c>
    </row>
    <row r="1684" spans="1:4" ht="36" customHeight="1">
      <c r="A1684" s="26">
        <v>1679</v>
      </c>
      <c r="B1684" s="25" t="s">
        <v>5835</v>
      </c>
      <c r="C1684" s="8" t="s">
        <v>5836</v>
      </c>
      <c r="D1684" s="8" t="s">
        <v>3868</v>
      </c>
    </row>
    <row r="1685" spans="1:4" ht="36" customHeight="1">
      <c r="A1685" s="26">
        <v>1680</v>
      </c>
      <c r="B1685" s="25" t="s">
        <v>5837</v>
      </c>
      <c r="C1685" s="8" t="s">
        <v>5838</v>
      </c>
      <c r="D1685" s="8" t="s">
        <v>3868</v>
      </c>
    </row>
    <row r="1686" spans="1:4" ht="36" customHeight="1">
      <c r="A1686" s="26">
        <v>1681</v>
      </c>
      <c r="B1686" s="25" t="s">
        <v>5839</v>
      </c>
      <c r="C1686" s="8" t="s">
        <v>5840</v>
      </c>
      <c r="D1686" s="8" t="s">
        <v>3868</v>
      </c>
    </row>
    <row r="1687" spans="1:4" ht="36" customHeight="1">
      <c r="A1687" s="26">
        <v>1682</v>
      </c>
      <c r="B1687" s="25" t="s">
        <v>5841</v>
      </c>
      <c r="C1687" s="8" t="s">
        <v>5842</v>
      </c>
      <c r="D1687" s="8" t="s">
        <v>3868</v>
      </c>
    </row>
    <row r="1688" spans="1:4" ht="36" customHeight="1">
      <c r="A1688" s="26">
        <v>1683</v>
      </c>
      <c r="B1688" s="25" t="s">
        <v>5843</v>
      </c>
      <c r="C1688" s="8" t="s">
        <v>5844</v>
      </c>
      <c r="D1688" s="8" t="s">
        <v>3868</v>
      </c>
    </row>
    <row r="1689" spans="1:4" ht="36" customHeight="1">
      <c r="A1689" s="26">
        <v>1684</v>
      </c>
      <c r="B1689" s="25" t="s">
        <v>5845</v>
      </c>
      <c r="C1689" s="8" t="s">
        <v>5846</v>
      </c>
      <c r="D1689" s="8" t="s">
        <v>3868</v>
      </c>
    </row>
    <row r="1690" spans="1:4" ht="36" customHeight="1">
      <c r="A1690" s="26">
        <v>1685</v>
      </c>
      <c r="B1690" s="25" t="s">
        <v>5847</v>
      </c>
      <c r="C1690" s="8" t="s">
        <v>5848</v>
      </c>
      <c r="D1690" s="8" t="s">
        <v>3868</v>
      </c>
    </row>
    <row r="1691" spans="1:4" ht="36" customHeight="1">
      <c r="A1691" s="26">
        <v>1686</v>
      </c>
      <c r="B1691" s="25" t="s">
        <v>5849</v>
      </c>
      <c r="C1691" s="8" t="s">
        <v>5850</v>
      </c>
      <c r="D1691" s="8" t="s">
        <v>3868</v>
      </c>
    </row>
    <row r="1692" spans="1:4" ht="36" customHeight="1">
      <c r="A1692" s="26">
        <v>1687</v>
      </c>
      <c r="B1692" s="25" t="s">
        <v>5851</v>
      </c>
      <c r="C1692" s="8" t="s">
        <v>5852</v>
      </c>
      <c r="D1692" s="8" t="s">
        <v>3868</v>
      </c>
    </row>
    <row r="1693" spans="1:4" ht="36" customHeight="1">
      <c r="A1693" s="26">
        <v>1688</v>
      </c>
      <c r="B1693" s="25" t="s">
        <v>5853</v>
      </c>
      <c r="C1693" s="8" t="s">
        <v>5854</v>
      </c>
      <c r="D1693" s="8" t="s">
        <v>3868</v>
      </c>
    </row>
    <row r="1694" spans="1:4" ht="36" customHeight="1">
      <c r="A1694" s="26">
        <v>1689</v>
      </c>
      <c r="B1694" s="25" t="s">
        <v>5855</v>
      </c>
      <c r="C1694" s="8" t="s">
        <v>5856</v>
      </c>
      <c r="D1694" s="8" t="s">
        <v>3868</v>
      </c>
    </row>
    <row r="1695" spans="1:4" ht="36" customHeight="1">
      <c r="A1695" s="26">
        <v>1690</v>
      </c>
      <c r="B1695" s="25" t="s">
        <v>5857</v>
      </c>
      <c r="C1695" s="8" t="s">
        <v>5858</v>
      </c>
      <c r="D1695" s="8" t="s">
        <v>3868</v>
      </c>
    </row>
    <row r="1696" spans="1:4" ht="36" customHeight="1">
      <c r="A1696" s="26">
        <v>1691</v>
      </c>
      <c r="B1696" s="25" t="s">
        <v>5859</v>
      </c>
      <c r="C1696" s="8" t="s">
        <v>5860</v>
      </c>
      <c r="D1696" s="8" t="s">
        <v>3868</v>
      </c>
    </row>
    <row r="1697" spans="1:4" ht="36" customHeight="1">
      <c r="A1697" s="26">
        <v>1692</v>
      </c>
      <c r="B1697" s="25" t="s">
        <v>5861</v>
      </c>
      <c r="C1697" s="8" t="s">
        <v>5862</v>
      </c>
      <c r="D1697" s="8" t="s">
        <v>3868</v>
      </c>
    </row>
    <row r="1698" spans="1:4" ht="36" customHeight="1">
      <c r="A1698" s="26">
        <v>1693</v>
      </c>
      <c r="B1698" s="25" t="s">
        <v>5863</v>
      </c>
      <c r="C1698" s="8" t="s">
        <v>5864</v>
      </c>
      <c r="D1698" s="8" t="s">
        <v>3868</v>
      </c>
    </row>
    <row r="1699" spans="1:4" ht="36" customHeight="1">
      <c r="A1699" s="26">
        <v>1694</v>
      </c>
      <c r="B1699" s="25" t="s">
        <v>5865</v>
      </c>
      <c r="C1699" s="8" t="s">
        <v>5866</v>
      </c>
      <c r="D1699" s="8" t="s">
        <v>3868</v>
      </c>
    </row>
    <row r="1700" spans="1:4" ht="36" customHeight="1">
      <c r="A1700" s="26">
        <v>1695</v>
      </c>
      <c r="B1700" s="25" t="s">
        <v>5867</v>
      </c>
      <c r="C1700" s="8" t="s">
        <v>5868</v>
      </c>
      <c r="D1700" s="8" t="s">
        <v>3868</v>
      </c>
    </row>
    <row r="1701" spans="1:4" ht="36" customHeight="1">
      <c r="A1701" s="26">
        <v>1696</v>
      </c>
      <c r="B1701" s="25" t="s">
        <v>5869</v>
      </c>
      <c r="C1701" s="8" t="s">
        <v>5870</v>
      </c>
      <c r="D1701" s="8" t="s">
        <v>3868</v>
      </c>
    </row>
    <row r="1702" spans="1:4" ht="36" customHeight="1">
      <c r="A1702" s="26">
        <v>1697</v>
      </c>
      <c r="B1702" s="25" t="s">
        <v>5871</v>
      </c>
      <c r="C1702" s="8" t="s">
        <v>5872</v>
      </c>
      <c r="D1702" s="8" t="s">
        <v>3868</v>
      </c>
    </row>
    <row r="1703" spans="1:4" ht="36" customHeight="1">
      <c r="A1703" s="26">
        <v>1698</v>
      </c>
      <c r="B1703" s="25" t="s">
        <v>5873</v>
      </c>
      <c r="C1703" s="8" t="s">
        <v>5874</v>
      </c>
      <c r="D1703" s="8" t="s">
        <v>3868</v>
      </c>
    </row>
    <row r="1704" spans="1:4" ht="36" customHeight="1">
      <c r="A1704" s="26">
        <v>1699</v>
      </c>
      <c r="B1704" s="25" t="s">
        <v>5875</v>
      </c>
      <c r="C1704" s="8" t="s">
        <v>5876</v>
      </c>
      <c r="D1704" s="8" t="s">
        <v>3868</v>
      </c>
    </row>
    <row r="1705" spans="1:4" ht="36" customHeight="1">
      <c r="A1705" s="26">
        <v>1700</v>
      </c>
      <c r="B1705" s="25" t="s">
        <v>5877</v>
      </c>
      <c r="C1705" s="8" t="s">
        <v>5878</v>
      </c>
      <c r="D1705" s="8" t="s">
        <v>3868</v>
      </c>
    </row>
    <row r="1706" spans="1:4" ht="36" customHeight="1">
      <c r="A1706" s="26">
        <v>1701</v>
      </c>
      <c r="B1706" s="25" t="s">
        <v>5879</v>
      </c>
      <c r="C1706" s="8" t="s">
        <v>5880</v>
      </c>
      <c r="D1706" s="8" t="s">
        <v>3868</v>
      </c>
    </row>
    <row r="1707" spans="1:4" ht="36" customHeight="1">
      <c r="A1707" s="26">
        <v>1702</v>
      </c>
      <c r="B1707" s="25" t="s">
        <v>5881</v>
      </c>
      <c r="C1707" s="8" t="s">
        <v>5882</v>
      </c>
      <c r="D1707" s="8" t="s">
        <v>3868</v>
      </c>
    </row>
    <row r="1708" spans="1:4" ht="36" customHeight="1">
      <c r="A1708" s="26">
        <v>1703</v>
      </c>
      <c r="B1708" s="25" t="s">
        <v>5883</v>
      </c>
      <c r="C1708" s="8" t="s">
        <v>5884</v>
      </c>
      <c r="D1708" s="8" t="s">
        <v>3868</v>
      </c>
    </row>
    <row r="1709" spans="1:4" ht="36" customHeight="1">
      <c r="A1709" s="26">
        <v>1704</v>
      </c>
      <c r="B1709" s="25" t="s">
        <v>5885</v>
      </c>
      <c r="C1709" s="8" t="s">
        <v>5886</v>
      </c>
      <c r="D1709" s="8" t="s">
        <v>3868</v>
      </c>
    </row>
    <row r="1710" spans="1:4" ht="36" customHeight="1">
      <c r="A1710" s="26">
        <v>1705</v>
      </c>
      <c r="B1710" s="25" t="s">
        <v>5887</v>
      </c>
      <c r="C1710" s="8" t="s">
        <v>5888</v>
      </c>
      <c r="D1710" s="8" t="s">
        <v>3868</v>
      </c>
    </row>
    <row r="1711" spans="1:4" ht="36" customHeight="1">
      <c r="A1711" s="26">
        <v>1706</v>
      </c>
      <c r="B1711" s="25" t="s">
        <v>5889</v>
      </c>
      <c r="C1711" s="8" t="s">
        <v>5890</v>
      </c>
      <c r="D1711" s="8" t="s">
        <v>3868</v>
      </c>
    </row>
    <row r="1712" spans="1:4" ht="36" customHeight="1">
      <c r="A1712" s="26">
        <v>1707</v>
      </c>
      <c r="B1712" s="25" t="s">
        <v>5891</v>
      </c>
      <c r="C1712" s="8" t="s">
        <v>5892</v>
      </c>
      <c r="D1712" s="8" t="s">
        <v>3868</v>
      </c>
    </row>
    <row r="1713" spans="1:4" ht="36" customHeight="1">
      <c r="A1713" s="26">
        <v>1708</v>
      </c>
      <c r="B1713" s="25" t="s">
        <v>5893</v>
      </c>
      <c r="C1713" s="8" t="s">
        <v>5894</v>
      </c>
      <c r="D1713" s="8" t="s">
        <v>3868</v>
      </c>
    </row>
    <row r="1714" spans="1:4" ht="36" customHeight="1">
      <c r="A1714" s="26">
        <v>1709</v>
      </c>
      <c r="B1714" s="25" t="s">
        <v>5895</v>
      </c>
      <c r="C1714" s="8" t="s">
        <v>5896</v>
      </c>
      <c r="D1714" s="8" t="s">
        <v>3868</v>
      </c>
    </row>
    <row r="1715" spans="1:4" ht="36" customHeight="1">
      <c r="A1715" s="26">
        <v>1710</v>
      </c>
      <c r="B1715" s="25" t="s">
        <v>5897</v>
      </c>
      <c r="C1715" s="8" t="s">
        <v>5898</v>
      </c>
      <c r="D1715" s="8" t="s">
        <v>3868</v>
      </c>
    </row>
    <row r="1716" spans="1:4" ht="36" customHeight="1">
      <c r="A1716" s="26">
        <v>1711</v>
      </c>
      <c r="B1716" s="25" t="s">
        <v>5899</v>
      </c>
      <c r="C1716" s="8" t="s">
        <v>5900</v>
      </c>
      <c r="D1716" s="8" t="s">
        <v>3868</v>
      </c>
    </row>
    <row r="1717" spans="1:4" ht="36" customHeight="1">
      <c r="A1717" s="26">
        <v>1712</v>
      </c>
      <c r="B1717" s="25" t="s">
        <v>5901</v>
      </c>
      <c r="C1717" s="8" t="s">
        <v>5902</v>
      </c>
      <c r="D1717" s="8" t="s">
        <v>3868</v>
      </c>
    </row>
    <row r="1718" spans="1:4" ht="36" customHeight="1">
      <c r="A1718" s="26">
        <v>1713</v>
      </c>
      <c r="B1718" s="25" t="s">
        <v>5903</v>
      </c>
      <c r="C1718" s="8" t="s">
        <v>5904</v>
      </c>
      <c r="D1718" s="8" t="s">
        <v>3868</v>
      </c>
    </row>
    <row r="1719" spans="1:4" ht="36" customHeight="1">
      <c r="A1719" s="26">
        <v>1714</v>
      </c>
      <c r="B1719" s="25" t="s">
        <v>5905</v>
      </c>
      <c r="C1719" s="8" t="s">
        <v>5906</v>
      </c>
      <c r="D1719" s="8" t="s">
        <v>3868</v>
      </c>
    </row>
    <row r="1720" spans="1:4" ht="36" customHeight="1">
      <c r="A1720" s="26">
        <v>1715</v>
      </c>
      <c r="B1720" s="25" t="s">
        <v>5907</v>
      </c>
      <c r="C1720" s="8" t="s">
        <v>5908</v>
      </c>
      <c r="D1720" s="8" t="s">
        <v>3868</v>
      </c>
    </row>
    <row r="1721" spans="1:4" ht="36" customHeight="1">
      <c r="A1721" s="26">
        <v>1716</v>
      </c>
      <c r="B1721" s="25" t="s">
        <v>5909</v>
      </c>
      <c r="C1721" s="8" t="s">
        <v>5910</v>
      </c>
      <c r="D1721" s="8" t="s">
        <v>3868</v>
      </c>
    </row>
    <row r="1722" spans="1:4" ht="36" customHeight="1">
      <c r="A1722" s="26">
        <v>1717</v>
      </c>
      <c r="B1722" s="25" t="s">
        <v>5911</v>
      </c>
      <c r="C1722" s="8" t="s">
        <v>5912</v>
      </c>
      <c r="D1722" s="8" t="s">
        <v>3868</v>
      </c>
    </row>
    <row r="1723" spans="1:4" ht="36" customHeight="1">
      <c r="A1723" s="26">
        <v>1718</v>
      </c>
      <c r="B1723" s="25" t="s">
        <v>5913</v>
      </c>
      <c r="C1723" s="8" t="s">
        <v>5914</v>
      </c>
      <c r="D1723" s="8" t="s">
        <v>3868</v>
      </c>
    </row>
    <row r="1724" spans="1:4" ht="36" customHeight="1">
      <c r="A1724" s="26">
        <v>1719</v>
      </c>
      <c r="B1724" s="25" t="s">
        <v>5915</v>
      </c>
      <c r="C1724" s="8" t="s">
        <v>5916</v>
      </c>
      <c r="D1724" s="8" t="s">
        <v>3868</v>
      </c>
    </row>
    <row r="1725" spans="1:4" ht="36" customHeight="1">
      <c r="A1725" s="26">
        <v>1720</v>
      </c>
      <c r="B1725" s="25" t="s">
        <v>5917</v>
      </c>
      <c r="C1725" s="8" t="s">
        <v>5918</v>
      </c>
      <c r="D1725" s="8" t="s">
        <v>3868</v>
      </c>
    </row>
    <row r="1726" spans="1:4" ht="36" customHeight="1">
      <c r="A1726" s="26">
        <v>1721</v>
      </c>
      <c r="B1726" s="25" t="s">
        <v>5919</v>
      </c>
      <c r="C1726" s="8" t="s">
        <v>5920</v>
      </c>
      <c r="D1726" s="8" t="s">
        <v>3868</v>
      </c>
    </row>
    <row r="1727" spans="1:4" ht="36" customHeight="1">
      <c r="A1727" s="26">
        <v>1722</v>
      </c>
      <c r="B1727" s="25" t="s">
        <v>5921</v>
      </c>
      <c r="C1727" s="8" t="s">
        <v>5922</v>
      </c>
      <c r="D1727" s="8" t="s">
        <v>3868</v>
      </c>
    </row>
    <row r="1728" spans="1:4" ht="36" customHeight="1">
      <c r="A1728" s="26">
        <v>1723</v>
      </c>
      <c r="B1728" s="25" t="s">
        <v>5923</v>
      </c>
      <c r="C1728" s="8" t="s">
        <v>5924</v>
      </c>
      <c r="D1728" s="8" t="s">
        <v>3868</v>
      </c>
    </row>
    <row r="1729" spans="1:4" ht="36" customHeight="1">
      <c r="A1729" s="26">
        <v>1724</v>
      </c>
      <c r="B1729" s="25" t="s">
        <v>2457</v>
      </c>
      <c r="C1729" s="8" t="s">
        <v>2458</v>
      </c>
      <c r="D1729" s="8" t="s">
        <v>3868</v>
      </c>
    </row>
    <row r="1730" spans="1:4" ht="36" customHeight="1">
      <c r="A1730" s="26">
        <v>1725</v>
      </c>
      <c r="B1730" s="25" t="s">
        <v>5925</v>
      </c>
      <c r="C1730" s="8" t="s">
        <v>5926</v>
      </c>
      <c r="D1730" s="8" t="s">
        <v>3868</v>
      </c>
    </row>
    <row r="1731" spans="1:4" ht="36" customHeight="1">
      <c r="A1731" s="26">
        <v>1726</v>
      </c>
      <c r="B1731" s="25" t="s">
        <v>5927</v>
      </c>
      <c r="C1731" s="8" t="s">
        <v>5928</v>
      </c>
      <c r="D1731" s="8" t="s">
        <v>3868</v>
      </c>
    </row>
    <row r="1732" spans="1:4" ht="36" customHeight="1">
      <c r="A1732" s="26">
        <v>1727</v>
      </c>
      <c r="B1732" s="25" t="s">
        <v>5929</v>
      </c>
      <c r="C1732" s="8" t="s">
        <v>5930</v>
      </c>
      <c r="D1732" s="8" t="s">
        <v>3868</v>
      </c>
    </row>
    <row r="1733" spans="1:4" ht="36" customHeight="1">
      <c r="A1733" s="26">
        <v>1728</v>
      </c>
      <c r="B1733" s="25" t="s">
        <v>5931</v>
      </c>
      <c r="C1733" s="8" t="s">
        <v>5932</v>
      </c>
      <c r="D1733" s="8" t="s">
        <v>3868</v>
      </c>
    </row>
    <row r="1734" spans="1:4" ht="36" customHeight="1">
      <c r="A1734" s="26">
        <v>1729</v>
      </c>
      <c r="B1734" s="25" t="s">
        <v>5933</v>
      </c>
      <c r="C1734" s="8" t="s">
        <v>5934</v>
      </c>
      <c r="D1734" s="8" t="s">
        <v>3868</v>
      </c>
    </row>
    <row r="1735" spans="1:4" ht="36" customHeight="1">
      <c r="A1735" s="26">
        <v>1730</v>
      </c>
      <c r="B1735" s="25" t="s">
        <v>5935</v>
      </c>
      <c r="C1735" s="8" t="s">
        <v>5936</v>
      </c>
      <c r="D1735" s="8" t="s">
        <v>3868</v>
      </c>
    </row>
    <row r="1736" spans="1:4" ht="36" customHeight="1">
      <c r="A1736" s="26">
        <v>1731</v>
      </c>
      <c r="B1736" s="25" t="s">
        <v>5937</v>
      </c>
      <c r="C1736" s="8" t="s">
        <v>5938</v>
      </c>
      <c r="D1736" s="8" t="s">
        <v>3868</v>
      </c>
    </row>
    <row r="1737" spans="1:4" ht="36" customHeight="1">
      <c r="A1737" s="26">
        <v>1732</v>
      </c>
      <c r="B1737" s="25" t="s">
        <v>5939</v>
      </c>
      <c r="C1737" s="8" t="s">
        <v>5940</v>
      </c>
      <c r="D1737" s="8" t="s">
        <v>3868</v>
      </c>
    </row>
    <row r="1738" spans="1:4" ht="36" customHeight="1">
      <c r="A1738" s="26">
        <v>1733</v>
      </c>
      <c r="B1738" s="25" t="s">
        <v>5941</v>
      </c>
      <c r="C1738" s="8" t="s">
        <v>5942</v>
      </c>
      <c r="D1738" s="8" t="s">
        <v>3868</v>
      </c>
    </row>
    <row r="1739" spans="1:4" ht="36" customHeight="1">
      <c r="A1739" s="26">
        <v>1734</v>
      </c>
      <c r="B1739" s="25" t="s">
        <v>5943</v>
      </c>
      <c r="C1739" s="8" t="s">
        <v>5944</v>
      </c>
      <c r="D1739" s="8" t="s">
        <v>3868</v>
      </c>
    </row>
    <row r="1740" spans="1:4" ht="36" customHeight="1">
      <c r="A1740" s="26">
        <v>1735</v>
      </c>
      <c r="B1740" s="25" t="s">
        <v>5945</v>
      </c>
      <c r="C1740" s="8" t="s">
        <v>5946</v>
      </c>
      <c r="D1740" s="8" t="s">
        <v>3868</v>
      </c>
    </row>
    <row r="1741" spans="1:4" ht="36" customHeight="1">
      <c r="A1741" s="26">
        <v>1736</v>
      </c>
      <c r="B1741" s="25" t="s">
        <v>5947</v>
      </c>
      <c r="C1741" s="8" t="s">
        <v>5948</v>
      </c>
      <c r="D1741" s="8" t="s">
        <v>3868</v>
      </c>
    </row>
    <row r="1742" spans="1:4" ht="36" customHeight="1">
      <c r="A1742" s="26">
        <v>1737</v>
      </c>
      <c r="B1742" s="25" t="s">
        <v>5949</v>
      </c>
      <c r="C1742" s="8" t="s">
        <v>5950</v>
      </c>
      <c r="D1742" s="8" t="s">
        <v>3868</v>
      </c>
    </row>
    <row r="1743" spans="1:4" ht="36" customHeight="1">
      <c r="A1743" s="26">
        <v>1738</v>
      </c>
      <c r="B1743" s="25" t="s">
        <v>5951</v>
      </c>
      <c r="C1743" s="8" t="s">
        <v>5952</v>
      </c>
      <c r="D1743" s="8" t="s">
        <v>3868</v>
      </c>
    </row>
    <row r="1744" spans="1:4" ht="36" customHeight="1">
      <c r="A1744" s="26">
        <v>1739</v>
      </c>
      <c r="B1744" s="25" t="s">
        <v>5953</v>
      </c>
      <c r="C1744" s="8" t="s">
        <v>5954</v>
      </c>
      <c r="D1744" s="8" t="s">
        <v>3868</v>
      </c>
    </row>
    <row r="1745" spans="1:4" ht="36" customHeight="1">
      <c r="A1745" s="26">
        <v>1740</v>
      </c>
      <c r="B1745" s="25" t="s">
        <v>5955</v>
      </c>
      <c r="C1745" s="8" t="s">
        <v>5956</v>
      </c>
      <c r="D1745" s="8" t="s">
        <v>3868</v>
      </c>
    </row>
    <row r="1746" spans="1:4" ht="36" customHeight="1">
      <c r="A1746" s="26">
        <v>1741</v>
      </c>
      <c r="B1746" s="25" t="s">
        <v>5957</v>
      </c>
      <c r="C1746" s="8" t="s">
        <v>5958</v>
      </c>
      <c r="D1746" s="8" t="s">
        <v>3868</v>
      </c>
    </row>
    <row r="1747" spans="1:4" ht="36" customHeight="1">
      <c r="A1747" s="26">
        <v>1742</v>
      </c>
      <c r="B1747" s="25" t="s">
        <v>5959</v>
      </c>
      <c r="C1747" s="8" t="s">
        <v>5960</v>
      </c>
      <c r="D1747" s="8" t="s">
        <v>3868</v>
      </c>
    </row>
    <row r="1748" spans="1:4" ht="36" customHeight="1">
      <c r="A1748" s="26">
        <v>1743</v>
      </c>
      <c r="B1748" s="25" t="s">
        <v>5961</v>
      </c>
      <c r="C1748" s="8" t="s">
        <v>5962</v>
      </c>
      <c r="D1748" s="8" t="s">
        <v>3868</v>
      </c>
    </row>
    <row r="1749" spans="1:4" ht="36" customHeight="1">
      <c r="A1749" s="26">
        <v>1744</v>
      </c>
      <c r="B1749" s="25" t="s">
        <v>5963</v>
      </c>
      <c r="C1749" s="8" t="s">
        <v>5964</v>
      </c>
      <c r="D1749" s="8" t="s">
        <v>3868</v>
      </c>
    </row>
    <row r="1750" spans="1:4" ht="36" customHeight="1">
      <c r="A1750" s="26">
        <v>1745</v>
      </c>
      <c r="B1750" s="25" t="s">
        <v>5965</v>
      </c>
      <c r="C1750" s="8" t="s">
        <v>5966</v>
      </c>
      <c r="D1750" s="8" t="s">
        <v>3868</v>
      </c>
    </row>
    <row r="1751" spans="1:4" ht="36" customHeight="1">
      <c r="A1751" s="26">
        <v>1746</v>
      </c>
      <c r="B1751" s="25" t="s">
        <v>5967</v>
      </c>
      <c r="C1751" s="8" t="s">
        <v>5968</v>
      </c>
      <c r="D1751" s="8" t="s">
        <v>3868</v>
      </c>
    </row>
    <row r="1752" spans="1:4" ht="36" customHeight="1">
      <c r="A1752" s="26">
        <v>1747</v>
      </c>
      <c r="B1752" s="25" t="s">
        <v>5969</v>
      </c>
      <c r="C1752" s="8" t="s">
        <v>5970</v>
      </c>
      <c r="D1752" s="8" t="s">
        <v>3868</v>
      </c>
    </row>
    <row r="1753" spans="1:4" ht="36" customHeight="1">
      <c r="A1753" s="26">
        <v>1748</v>
      </c>
      <c r="B1753" s="25" t="s">
        <v>5971</v>
      </c>
      <c r="C1753" s="8" t="s">
        <v>5972</v>
      </c>
      <c r="D1753" s="8" t="s">
        <v>3868</v>
      </c>
    </row>
    <row r="1754" spans="1:4" ht="36" customHeight="1">
      <c r="A1754" s="26">
        <v>1749</v>
      </c>
      <c r="B1754" s="25" t="s">
        <v>5973</v>
      </c>
      <c r="C1754" s="8" t="s">
        <v>5974</v>
      </c>
      <c r="D1754" s="8" t="s">
        <v>3868</v>
      </c>
    </row>
    <row r="1755" spans="1:4" ht="36" customHeight="1">
      <c r="A1755" s="26">
        <v>1750</v>
      </c>
      <c r="B1755" s="25" t="s">
        <v>5975</v>
      </c>
      <c r="C1755" s="8" t="s">
        <v>5976</v>
      </c>
      <c r="D1755" s="8" t="s">
        <v>3868</v>
      </c>
    </row>
    <row r="1756" spans="1:4" ht="36" customHeight="1">
      <c r="A1756" s="26">
        <v>1751</v>
      </c>
      <c r="B1756" s="25" t="s">
        <v>5977</v>
      </c>
      <c r="C1756" s="8" t="s">
        <v>5978</v>
      </c>
      <c r="D1756" s="8" t="s">
        <v>3868</v>
      </c>
    </row>
    <row r="1757" spans="1:4" ht="36" customHeight="1">
      <c r="A1757" s="26">
        <v>1752</v>
      </c>
      <c r="B1757" s="25" t="s">
        <v>5979</v>
      </c>
      <c r="C1757" s="8" t="s">
        <v>5980</v>
      </c>
      <c r="D1757" s="8" t="s">
        <v>3868</v>
      </c>
    </row>
    <row r="1758" spans="1:4" ht="36" customHeight="1">
      <c r="A1758" s="26">
        <v>1753</v>
      </c>
      <c r="B1758" s="25" t="s">
        <v>5981</v>
      </c>
      <c r="C1758" s="8" t="s">
        <v>5982</v>
      </c>
      <c r="D1758" s="8" t="s">
        <v>3868</v>
      </c>
    </row>
    <row r="1759" spans="1:4" ht="36" customHeight="1">
      <c r="A1759" s="26">
        <v>1754</v>
      </c>
      <c r="B1759" s="25" t="s">
        <v>5983</v>
      </c>
      <c r="C1759" s="8" t="s">
        <v>5984</v>
      </c>
      <c r="D1759" s="8" t="s">
        <v>3868</v>
      </c>
    </row>
    <row r="1760" spans="1:4" ht="36" customHeight="1">
      <c r="A1760" s="26">
        <v>1755</v>
      </c>
      <c r="B1760" s="25" t="s">
        <v>2929</v>
      </c>
      <c r="C1760" s="8" t="s">
        <v>2930</v>
      </c>
      <c r="D1760" s="8" t="s">
        <v>3868</v>
      </c>
    </row>
    <row r="1761" spans="1:4" ht="36" customHeight="1">
      <c r="A1761" s="26">
        <v>1756</v>
      </c>
      <c r="B1761" s="25" t="s">
        <v>5985</v>
      </c>
      <c r="C1761" s="8" t="s">
        <v>5986</v>
      </c>
      <c r="D1761" s="8" t="s">
        <v>3868</v>
      </c>
    </row>
    <row r="1762" spans="1:4" ht="36" customHeight="1">
      <c r="A1762" s="26">
        <v>1757</v>
      </c>
      <c r="B1762" s="25" t="s">
        <v>5987</v>
      </c>
      <c r="C1762" s="8" t="s">
        <v>5988</v>
      </c>
      <c r="D1762" s="8" t="s">
        <v>3868</v>
      </c>
    </row>
    <row r="1763" spans="1:4" ht="36" customHeight="1">
      <c r="A1763" s="26">
        <v>1758</v>
      </c>
      <c r="B1763" s="25" t="s">
        <v>5989</v>
      </c>
      <c r="C1763" s="8" t="s">
        <v>5990</v>
      </c>
      <c r="D1763" s="8" t="s">
        <v>3868</v>
      </c>
    </row>
    <row r="1764" spans="1:4" ht="36" customHeight="1">
      <c r="A1764" s="26">
        <v>1759</v>
      </c>
      <c r="B1764" s="25" t="s">
        <v>5991</v>
      </c>
      <c r="C1764" s="8" t="s">
        <v>5992</v>
      </c>
      <c r="D1764" s="8" t="s">
        <v>3868</v>
      </c>
    </row>
    <row r="1765" spans="1:4" ht="36" customHeight="1">
      <c r="A1765" s="26">
        <v>1760</v>
      </c>
      <c r="B1765" s="25" t="s">
        <v>5993</v>
      </c>
      <c r="C1765" s="8" t="s">
        <v>5994</v>
      </c>
      <c r="D1765" s="8" t="s">
        <v>3868</v>
      </c>
    </row>
    <row r="1766" spans="1:4" ht="36" customHeight="1">
      <c r="A1766" s="26">
        <v>1761</v>
      </c>
      <c r="B1766" s="25" t="s">
        <v>5995</v>
      </c>
      <c r="C1766" s="8" t="s">
        <v>5996</v>
      </c>
      <c r="D1766" s="8" t="s">
        <v>3868</v>
      </c>
    </row>
    <row r="1767" spans="1:4" ht="36" customHeight="1">
      <c r="A1767" s="26">
        <v>1762</v>
      </c>
      <c r="B1767" s="25" t="s">
        <v>5997</v>
      </c>
      <c r="C1767" s="8" t="s">
        <v>5998</v>
      </c>
      <c r="D1767" s="8" t="s">
        <v>3868</v>
      </c>
    </row>
    <row r="1768" spans="1:4" ht="36" customHeight="1">
      <c r="A1768" s="26">
        <v>1763</v>
      </c>
      <c r="B1768" s="25" t="s">
        <v>5999</v>
      </c>
      <c r="C1768" s="8" t="s">
        <v>6000</v>
      </c>
      <c r="D1768" s="8" t="s">
        <v>3868</v>
      </c>
    </row>
    <row r="1769" spans="1:4" ht="36" customHeight="1">
      <c r="A1769" s="26">
        <v>1764</v>
      </c>
      <c r="B1769" s="25" t="s">
        <v>6001</v>
      </c>
      <c r="C1769" s="8" t="s">
        <v>6002</v>
      </c>
      <c r="D1769" s="8" t="s">
        <v>3868</v>
      </c>
    </row>
    <row r="1770" spans="1:4" ht="36" customHeight="1">
      <c r="A1770" s="26">
        <v>1765</v>
      </c>
      <c r="B1770" s="25" t="s">
        <v>6003</v>
      </c>
      <c r="C1770" s="8" t="s">
        <v>6004</v>
      </c>
      <c r="D1770" s="8" t="s">
        <v>3868</v>
      </c>
    </row>
    <row r="1771" spans="1:4" ht="36" customHeight="1">
      <c r="A1771" s="26">
        <v>1766</v>
      </c>
      <c r="B1771" s="25" t="s">
        <v>6005</v>
      </c>
      <c r="C1771" s="8" t="s">
        <v>6006</v>
      </c>
      <c r="D1771" s="8" t="s">
        <v>3868</v>
      </c>
    </row>
    <row r="1772" spans="1:4" ht="36" customHeight="1">
      <c r="A1772" s="26">
        <v>1767</v>
      </c>
      <c r="B1772" s="25" t="s">
        <v>6007</v>
      </c>
      <c r="C1772" s="8" t="s">
        <v>6008</v>
      </c>
      <c r="D1772" s="8" t="s">
        <v>3868</v>
      </c>
    </row>
    <row r="1773" spans="1:4" ht="36" customHeight="1">
      <c r="A1773" s="26">
        <v>1768</v>
      </c>
      <c r="B1773" s="25" t="s">
        <v>6009</v>
      </c>
      <c r="C1773" s="8" t="s">
        <v>6010</v>
      </c>
      <c r="D1773" s="8" t="s">
        <v>3868</v>
      </c>
    </row>
    <row r="1774" spans="1:4" ht="36" customHeight="1">
      <c r="A1774" s="26">
        <v>1769</v>
      </c>
      <c r="B1774" s="25" t="s">
        <v>6011</v>
      </c>
      <c r="C1774" s="8" t="s">
        <v>6012</v>
      </c>
      <c r="D1774" s="8" t="s">
        <v>3868</v>
      </c>
    </row>
    <row r="1775" spans="1:4" ht="36" customHeight="1">
      <c r="A1775" s="26">
        <v>1770</v>
      </c>
      <c r="B1775" s="25" t="s">
        <v>6013</v>
      </c>
      <c r="C1775" s="8" t="s">
        <v>6014</v>
      </c>
      <c r="D1775" s="8" t="s">
        <v>3868</v>
      </c>
    </row>
    <row r="1776" spans="1:4" ht="36" customHeight="1">
      <c r="A1776" s="26">
        <v>1771</v>
      </c>
      <c r="B1776" s="25" t="s">
        <v>6015</v>
      </c>
      <c r="C1776" s="8" t="s">
        <v>6016</v>
      </c>
      <c r="D1776" s="8" t="s">
        <v>3868</v>
      </c>
    </row>
    <row r="1777" spans="1:4" ht="36" customHeight="1">
      <c r="A1777" s="26">
        <v>1772</v>
      </c>
      <c r="B1777" s="25" t="s">
        <v>6017</v>
      </c>
      <c r="C1777" s="8" t="s">
        <v>6018</v>
      </c>
      <c r="D1777" s="8" t="s">
        <v>3868</v>
      </c>
    </row>
    <row r="1778" spans="1:4" ht="36" customHeight="1">
      <c r="A1778" s="26">
        <v>1773</v>
      </c>
      <c r="B1778" s="25" t="s">
        <v>6019</v>
      </c>
      <c r="C1778" s="8" t="s">
        <v>6020</v>
      </c>
      <c r="D1778" s="8" t="s">
        <v>3868</v>
      </c>
    </row>
    <row r="1779" spans="1:4" ht="36" customHeight="1">
      <c r="A1779" s="26">
        <v>1774</v>
      </c>
      <c r="B1779" s="25" t="s">
        <v>6021</v>
      </c>
      <c r="C1779" s="8" t="s">
        <v>6022</v>
      </c>
      <c r="D1779" s="8" t="s">
        <v>3868</v>
      </c>
    </row>
    <row r="1780" spans="1:4" ht="36" customHeight="1">
      <c r="A1780" s="26">
        <v>1775</v>
      </c>
      <c r="B1780" s="25" t="s">
        <v>6023</v>
      </c>
      <c r="C1780" s="8" t="s">
        <v>6024</v>
      </c>
      <c r="D1780" s="8" t="s">
        <v>3868</v>
      </c>
    </row>
    <row r="1781" spans="1:4" ht="36" customHeight="1">
      <c r="A1781" s="26">
        <v>1776</v>
      </c>
      <c r="B1781" s="25" t="s">
        <v>6025</v>
      </c>
      <c r="C1781" s="8" t="s">
        <v>6026</v>
      </c>
      <c r="D1781" s="8" t="s">
        <v>3868</v>
      </c>
    </row>
    <row r="1782" spans="1:4" ht="36" customHeight="1">
      <c r="A1782" s="26">
        <v>1777</v>
      </c>
      <c r="B1782" s="25" t="s">
        <v>6027</v>
      </c>
      <c r="C1782" s="8" t="s">
        <v>6028</v>
      </c>
      <c r="D1782" s="8" t="s">
        <v>3868</v>
      </c>
    </row>
    <row r="1783" spans="1:4" ht="36" customHeight="1">
      <c r="A1783" s="26">
        <v>1778</v>
      </c>
      <c r="B1783" s="25" t="s">
        <v>6029</v>
      </c>
      <c r="C1783" s="8" t="s">
        <v>6030</v>
      </c>
      <c r="D1783" s="8" t="s">
        <v>3868</v>
      </c>
    </row>
    <row r="1784" spans="1:4" ht="36" customHeight="1">
      <c r="A1784" s="26">
        <v>1779</v>
      </c>
      <c r="B1784" s="25" t="s">
        <v>6031</v>
      </c>
      <c r="C1784" s="8" t="s">
        <v>6032</v>
      </c>
      <c r="D1784" s="8" t="s">
        <v>3868</v>
      </c>
    </row>
    <row r="1785" spans="1:4" ht="36" customHeight="1">
      <c r="A1785" s="26">
        <v>1780</v>
      </c>
      <c r="B1785" s="25" t="s">
        <v>6033</v>
      </c>
      <c r="C1785" s="8" t="s">
        <v>6034</v>
      </c>
      <c r="D1785" s="8" t="s">
        <v>3868</v>
      </c>
    </row>
    <row r="1786" spans="1:4" ht="36" customHeight="1">
      <c r="A1786" s="26">
        <v>1781</v>
      </c>
      <c r="B1786" s="25" t="s">
        <v>6035</v>
      </c>
      <c r="C1786" s="8" t="s">
        <v>6036</v>
      </c>
      <c r="D1786" s="8" t="s">
        <v>3868</v>
      </c>
    </row>
    <row r="1787" spans="1:4" ht="36" customHeight="1">
      <c r="A1787" s="26">
        <v>1782</v>
      </c>
      <c r="B1787" s="25" t="s">
        <v>6037</v>
      </c>
      <c r="C1787" s="8" t="s">
        <v>6038</v>
      </c>
      <c r="D1787" s="8" t="s">
        <v>3868</v>
      </c>
    </row>
    <row r="1788" spans="1:4" ht="36" customHeight="1">
      <c r="A1788" s="26">
        <v>1783</v>
      </c>
      <c r="B1788" s="25" t="s">
        <v>6039</v>
      </c>
      <c r="C1788" s="8" t="s">
        <v>6040</v>
      </c>
      <c r="D1788" s="8" t="s">
        <v>3868</v>
      </c>
    </row>
    <row r="1789" spans="1:4" ht="36" customHeight="1">
      <c r="A1789" s="26">
        <v>1784</v>
      </c>
      <c r="B1789" s="25" t="s">
        <v>6041</v>
      </c>
      <c r="C1789" s="8" t="s">
        <v>6042</v>
      </c>
      <c r="D1789" s="8" t="s">
        <v>3868</v>
      </c>
    </row>
    <row r="1790" spans="1:4" ht="36" customHeight="1">
      <c r="A1790" s="26">
        <v>1785</v>
      </c>
      <c r="B1790" s="25" t="s">
        <v>6043</v>
      </c>
      <c r="C1790" s="8" t="s">
        <v>6044</v>
      </c>
      <c r="D1790" s="8" t="s">
        <v>3868</v>
      </c>
    </row>
    <row r="1791" spans="1:4" ht="36" customHeight="1">
      <c r="A1791" s="26">
        <v>1786</v>
      </c>
      <c r="B1791" s="25" t="s">
        <v>6045</v>
      </c>
      <c r="C1791" s="8" t="s">
        <v>6046</v>
      </c>
      <c r="D1791" s="8" t="s">
        <v>3868</v>
      </c>
    </row>
    <row r="1792" spans="1:4" ht="36" customHeight="1">
      <c r="A1792" s="26">
        <v>1787</v>
      </c>
      <c r="B1792" s="25" t="s">
        <v>6047</v>
      </c>
      <c r="C1792" s="8" t="s">
        <v>6048</v>
      </c>
      <c r="D1792" s="8" t="s">
        <v>3868</v>
      </c>
    </row>
    <row r="1793" spans="1:4" ht="36" customHeight="1">
      <c r="A1793" s="26">
        <v>1788</v>
      </c>
      <c r="B1793" s="25" t="s">
        <v>6049</v>
      </c>
      <c r="C1793" s="8" t="s">
        <v>6050</v>
      </c>
      <c r="D1793" s="8" t="s">
        <v>3868</v>
      </c>
    </row>
    <row r="1794" spans="1:4" ht="36" customHeight="1">
      <c r="A1794" s="26">
        <v>1789</v>
      </c>
      <c r="B1794" s="25" t="s">
        <v>6051</v>
      </c>
      <c r="C1794" s="8" t="s">
        <v>6052</v>
      </c>
      <c r="D1794" s="8" t="s">
        <v>3868</v>
      </c>
    </row>
    <row r="1795" spans="1:4" ht="36" customHeight="1">
      <c r="A1795" s="26">
        <v>1790</v>
      </c>
      <c r="B1795" s="25" t="s">
        <v>6053</v>
      </c>
      <c r="C1795" s="8" t="s">
        <v>6054</v>
      </c>
      <c r="D1795" s="8" t="s">
        <v>3868</v>
      </c>
    </row>
    <row r="1796" spans="1:4" ht="36" customHeight="1">
      <c r="A1796" s="26">
        <v>1791</v>
      </c>
      <c r="B1796" s="25" t="s">
        <v>6055</v>
      </c>
      <c r="C1796" s="8" t="s">
        <v>6056</v>
      </c>
      <c r="D1796" s="8" t="s">
        <v>3868</v>
      </c>
    </row>
    <row r="1797" spans="1:4" ht="36" customHeight="1">
      <c r="A1797" s="26">
        <v>1792</v>
      </c>
      <c r="B1797" s="25" t="s">
        <v>6057</v>
      </c>
      <c r="C1797" s="8" t="s">
        <v>6058</v>
      </c>
      <c r="D1797" s="8" t="s">
        <v>3868</v>
      </c>
    </row>
    <row r="1798" spans="1:4" ht="36" customHeight="1">
      <c r="A1798" s="26">
        <v>1793</v>
      </c>
      <c r="B1798" s="25" t="s">
        <v>6059</v>
      </c>
      <c r="C1798" s="8" t="s">
        <v>6060</v>
      </c>
      <c r="D1798" s="8" t="s">
        <v>3868</v>
      </c>
    </row>
    <row r="1799" spans="1:4" ht="36" customHeight="1">
      <c r="A1799" s="26">
        <v>1794</v>
      </c>
      <c r="B1799" s="25" t="s">
        <v>6061</v>
      </c>
      <c r="C1799" s="8" t="s">
        <v>6062</v>
      </c>
      <c r="D1799" s="8" t="s">
        <v>3868</v>
      </c>
    </row>
    <row r="1800" spans="1:4" ht="36" customHeight="1">
      <c r="A1800" s="26">
        <v>1795</v>
      </c>
      <c r="B1800" s="25" t="s">
        <v>6063</v>
      </c>
      <c r="C1800" s="8" t="s">
        <v>6064</v>
      </c>
      <c r="D1800" s="8" t="s">
        <v>3868</v>
      </c>
    </row>
    <row r="1801" spans="1:4" ht="36" customHeight="1">
      <c r="A1801" s="26">
        <v>1796</v>
      </c>
      <c r="B1801" s="25" t="s">
        <v>6065</v>
      </c>
      <c r="C1801" s="8" t="s">
        <v>6066</v>
      </c>
      <c r="D1801" s="8" t="s">
        <v>3868</v>
      </c>
    </row>
    <row r="1802" spans="1:4" ht="36" customHeight="1">
      <c r="A1802" s="26">
        <v>1797</v>
      </c>
      <c r="B1802" s="25" t="s">
        <v>6067</v>
      </c>
      <c r="C1802" s="8" t="s">
        <v>6068</v>
      </c>
      <c r="D1802" s="8" t="s">
        <v>3868</v>
      </c>
    </row>
    <row r="1803" spans="1:4" ht="36" customHeight="1">
      <c r="A1803" s="26">
        <v>1798</v>
      </c>
      <c r="B1803" s="25" t="s">
        <v>6069</v>
      </c>
      <c r="C1803" s="8" t="s">
        <v>6070</v>
      </c>
      <c r="D1803" s="8" t="s">
        <v>3868</v>
      </c>
    </row>
    <row r="1804" spans="1:4" ht="36" customHeight="1">
      <c r="A1804" s="26">
        <v>1799</v>
      </c>
      <c r="B1804" s="25" t="s">
        <v>6071</v>
      </c>
      <c r="C1804" s="8" t="s">
        <v>6072</v>
      </c>
      <c r="D1804" s="8" t="s">
        <v>3868</v>
      </c>
    </row>
    <row r="1805" spans="1:4" ht="36" customHeight="1">
      <c r="A1805" s="26">
        <v>1800</v>
      </c>
      <c r="B1805" s="25" t="s">
        <v>6073</v>
      </c>
      <c r="C1805" s="8" t="s">
        <v>6074</v>
      </c>
      <c r="D1805" s="8" t="s">
        <v>3868</v>
      </c>
    </row>
    <row r="1806" spans="1:4" ht="36" customHeight="1">
      <c r="A1806" s="26">
        <v>1801</v>
      </c>
      <c r="B1806" s="25" t="s">
        <v>6075</v>
      </c>
      <c r="C1806" s="8" t="s">
        <v>6076</v>
      </c>
      <c r="D1806" s="8" t="s">
        <v>3868</v>
      </c>
    </row>
    <row r="1807" spans="1:4" ht="36" customHeight="1">
      <c r="A1807" s="26">
        <v>1802</v>
      </c>
      <c r="B1807" s="25" t="s">
        <v>6077</v>
      </c>
      <c r="C1807" s="8" t="s">
        <v>6078</v>
      </c>
      <c r="D1807" s="8" t="s">
        <v>3868</v>
      </c>
    </row>
    <row r="1808" spans="1:4" ht="36" customHeight="1">
      <c r="A1808" s="26">
        <v>1803</v>
      </c>
      <c r="B1808" s="25" t="s">
        <v>6079</v>
      </c>
      <c r="C1808" s="8" t="s">
        <v>6080</v>
      </c>
      <c r="D1808" s="8" t="s">
        <v>3868</v>
      </c>
    </row>
    <row r="1809" spans="1:4" ht="36" customHeight="1">
      <c r="A1809" s="26">
        <v>1804</v>
      </c>
      <c r="B1809" s="25" t="s">
        <v>6081</v>
      </c>
      <c r="C1809" s="8" t="s">
        <v>6082</v>
      </c>
      <c r="D1809" s="8" t="s">
        <v>3868</v>
      </c>
    </row>
    <row r="1810" spans="1:4" ht="36" customHeight="1">
      <c r="A1810" s="26">
        <v>1805</v>
      </c>
      <c r="B1810" s="25" t="s">
        <v>6083</v>
      </c>
      <c r="C1810" s="8" t="s">
        <v>6084</v>
      </c>
      <c r="D1810" s="8" t="s">
        <v>3868</v>
      </c>
    </row>
    <row r="1811" spans="1:4" ht="36" customHeight="1">
      <c r="A1811" s="26">
        <v>1806</v>
      </c>
      <c r="B1811" s="25" t="s">
        <v>6085</v>
      </c>
      <c r="C1811" s="8" t="s">
        <v>6086</v>
      </c>
      <c r="D1811" s="8" t="s">
        <v>3868</v>
      </c>
    </row>
    <row r="1812" spans="1:4" ht="36" customHeight="1">
      <c r="A1812" s="26">
        <v>1807</v>
      </c>
      <c r="B1812" s="25" t="s">
        <v>6087</v>
      </c>
      <c r="C1812" s="8" t="s">
        <v>6088</v>
      </c>
      <c r="D1812" s="8" t="s">
        <v>3868</v>
      </c>
    </row>
    <row r="1813" spans="1:4" ht="36" customHeight="1">
      <c r="A1813" s="26">
        <v>1808</v>
      </c>
      <c r="B1813" s="25" t="s">
        <v>6089</v>
      </c>
      <c r="C1813" s="8" t="s">
        <v>6090</v>
      </c>
      <c r="D1813" s="8" t="s">
        <v>3868</v>
      </c>
    </row>
    <row r="1814" spans="1:4" ht="36" customHeight="1">
      <c r="A1814" s="26">
        <v>1809</v>
      </c>
      <c r="B1814" s="25" t="s">
        <v>6091</v>
      </c>
      <c r="C1814" s="8" t="s">
        <v>6092</v>
      </c>
      <c r="D1814" s="8" t="s">
        <v>3868</v>
      </c>
    </row>
    <row r="1815" spans="1:4" ht="36" customHeight="1">
      <c r="A1815" s="26">
        <v>1810</v>
      </c>
      <c r="B1815" s="25" t="s">
        <v>6093</v>
      </c>
      <c r="C1815" s="8" t="s">
        <v>6094</v>
      </c>
      <c r="D1815" s="8" t="s">
        <v>3868</v>
      </c>
    </row>
    <row r="1816" spans="1:4" ht="36" customHeight="1">
      <c r="A1816" s="26">
        <v>1811</v>
      </c>
      <c r="B1816" s="25" t="s">
        <v>6095</v>
      </c>
      <c r="C1816" s="8" t="s">
        <v>6096</v>
      </c>
      <c r="D1816" s="8" t="s">
        <v>3868</v>
      </c>
    </row>
    <row r="1817" spans="1:4" ht="36" customHeight="1">
      <c r="A1817" s="26">
        <v>1812</v>
      </c>
      <c r="B1817" s="25" t="s">
        <v>6097</v>
      </c>
      <c r="C1817" s="8" t="s">
        <v>6098</v>
      </c>
      <c r="D1817" s="8" t="s">
        <v>3868</v>
      </c>
    </row>
    <row r="1818" spans="1:4" ht="36" customHeight="1">
      <c r="A1818" s="26">
        <v>1813</v>
      </c>
      <c r="B1818" s="25" t="s">
        <v>6099</v>
      </c>
      <c r="C1818" s="8" t="s">
        <v>6100</v>
      </c>
      <c r="D1818" s="8" t="s">
        <v>3868</v>
      </c>
    </row>
    <row r="1819" spans="1:4" ht="36" customHeight="1">
      <c r="A1819" s="26">
        <v>1814</v>
      </c>
      <c r="B1819" s="25" t="s">
        <v>6101</v>
      </c>
      <c r="C1819" s="8" t="s">
        <v>6102</v>
      </c>
      <c r="D1819" s="8" t="s">
        <v>3868</v>
      </c>
    </row>
    <row r="1820" spans="1:4" ht="36" customHeight="1">
      <c r="A1820" s="26">
        <v>1815</v>
      </c>
      <c r="B1820" s="25" t="s">
        <v>6103</v>
      </c>
      <c r="C1820" s="8" t="s">
        <v>6104</v>
      </c>
      <c r="D1820" s="8" t="s">
        <v>3868</v>
      </c>
    </row>
    <row r="1821" spans="1:4" ht="36" customHeight="1">
      <c r="A1821" s="26">
        <v>1816</v>
      </c>
      <c r="B1821" s="25" t="s">
        <v>6105</v>
      </c>
      <c r="C1821" s="8" t="s">
        <v>6106</v>
      </c>
      <c r="D1821" s="8" t="s">
        <v>3868</v>
      </c>
    </row>
    <row r="1822" spans="1:4" ht="36" customHeight="1">
      <c r="A1822" s="26">
        <v>1817</v>
      </c>
      <c r="B1822" s="25" t="s">
        <v>6107</v>
      </c>
      <c r="C1822" s="8" t="s">
        <v>6108</v>
      </c>
      <c r="D1822" s="8" t="s">
        <v>3868</v>
      </c>
    </row>
    <row r="1823" spans="1:4" ht="36" customHeight="1">
      <c r="A1823" s="26">
        <v>1818</v>
      </c>
      <c r="B1823" s="25" t="s">
        <v>6109</v>
      </c>
      <c r="C1823" s="8" t="s">
        <v>6110</v>
      </c>
      <c r="D1823" s="8" t="s">
        <v>3868</v>
      </c>
    </row>
    <row r="1824" spans="1:4" ht="36" customHeight="1">
      <c r="A1824" s="26">
        <v>1819</v>
      </c>
      <c r="B1824" s="25" t="s">
        <v>6111</v>
      </c>
      <c r="C1824" s="8" t="s">
        <v>6112</v>
      </c>
      <c r="D1824" s="8" t="s">
        <v>3868</v>
      </c>
    </row>
    <row r="1825" spans="1:4" ht="36" customHeight="1">
      <c r="A1825" s="26">
        <v>1820</v>
      </c>
      <c r="B1825" s="25" t="s">
        <v>6113</v>
      </c>
      <c r="C1825" s="8" t="s">
        <v>6114</v>
      </c>
      <c r="D1825" s="8" t="s">
        <v>3868</v>
      </c>
    </row>
    <row r="1826" spans="1:4" ht="36" customHeight="1">
      <c r="A1826" s="26">
        <v>1821</v>
      </c>
      <c r="B1826" s="25" t="s">
        <v>6115</v>
      </c>
      <c r="C1826" s="8" t="s">
        <v>6116</v>
      </c>
      <c r="D1826" s="8" t="s">
        <v>3868</v>
      </c>
    </row>
    <row r="1827" spans="1:4" ht="36" customHeight="1">
      <c r="A1827" s="26">
        <v>1822</v>
      </c>
      <c r="B1827" s="25" t="s">
        <v>6117</v>
      </c>
      <c r="C1827" s="8" t="s">
        <v>6118</v>
      </c>
      <c r="D1827" s="8" t="s">
        <v>3868</v>
      </c>
    </row>
    <row r="1828" spans="1:4" ht="36" customHeight="1">
      <c r="A1828" s="26">
        <v>1823</v>
      </c>
      <c r="B1828" s="25" t="s">
        <v>6119</v>
      </c>
      <c r="C1828" s="8" t="s">
        <v>6120</v>
      </c>
      <c r="D1828" s="8" t="s">
        <v>3868</v>
      </c>
    </row>
    <row r="1829" spans="1:4" ht="36" customHeight="1">
      <c r="A1829" s="26">
        <v>1824</v>
      </c>
      <c r="B1829" s="25" t="s">
        <v>6121</v>
      </c>
      <c r="C1829" s="8" t="s">
        <v>6122</v>
      </c>
      <c r="D1829" s="8" t="s">
        <v>3868</v>
      </c>
    </row>
    <row r="1830" spans="1:4" ht="36" customHeight="1">
      <c r="A1830" s="26">
        <v>1825</v>
      </c>
      <c r="B1830" s="25" t="s">
        <v>6123</v>
      </c>
      <c r="C1830" s="8" t="s">
        <v>6124</v>
      </c>
      <c r="D1830" s="8" t="s">
        <v>3868</v>
      </c>
    </row>
    <row r="1831" spans="1:4" ht="36" customHeight="1">
      <c r="A1831" s="26">
        <v>1826</v>
      </c>
      <c r="B1831" s="25" t="s">
        <v>6125</v>
      </c>
      <c r="C1831" s="8" t="s">
        <v>6126</v>
      </c>
      <c r="D1831" s="8" t="s">
        <v>3868</v>
      </c>
    </row>
    <row r="1832" spans="1:4" ht="36" customHeight="1">
      <c r="A1832" s="26">
        <v>1827</v>
      </c>
      <c r="B1832" s="25" t="s">
        <v>6127</v>
      </c>
      <c r="C1832" s="8" t="s">
        <v>6128</v>
      </c>
      <c r="D1832" s="8" t="s">
        <v>3868</v>
      </c>
    </row>
    <row r="1833" spans="1:4" ht="36" customHeight="1">
      <c r="A1833" s="26">
        <v>1828</v>
      </c>
      <c r="B1833" s="25" t="s">
        <v>6129</v>
      </c>
      <c r="C1833" s="8" t="s">
        <v>6130</v>
      </c>
      <c r="D1833" s="8" t="s">
        <v>3868</v>
      </c>
    </row>
    <row r="1834" spans="1:4" ht="36" customHeight="1">
      <c r="A1834" s="26">
        <v>1829</v>
      </c>
      <c r="B1834" s="25" t="s">
        <v>6131</v>
      </c>
      <c r="C1834" s="8" t="s">
        <v>6132</v>
      </c>
      <c r="D1834" s="8" t="s">
        <v>3868</v>
      </c>
    </row>
    <row r="1835" spans="1:4" ht="36" customHeight="1">
      <c r="A1835" s="26">
        <v>1830</v>
      </c>
      <c r="B1835" s="25" t="s">
        <v>6133</v>
      </c>
      <c r="C1835" s="8" t="s">
        <v>6134</v>
      </c>
      <c r="D1835" s="8" t="s">
        <v>3868</v>
      </c>
    </row>
    <row r="1836" spans="1:4" ht="36" customHeight="1">
      <c r="A1836" s="26">
        <v>1831</v>
      </c>
      <c r="B1836" s="25" t="s">
        <v>6135</v>
      </c>
      <c r="C1836" s="8" t="s">
        <v>6136</v>
      </c>
      <c r="D1836" s="8" t="s">
        <v>3868</v>
      </c>
    </row>
    <row r="1837" spans="1:4" ht="36" customHeight="1">
      <c r="A1837" s="26">
        <v>1832</v>
      </c>
      <c r="B1837" s="25" t="s">
        <v>6137</v>
      </c>
      <c r="C1837" s="8" t="s">
        <v>6138</v>
      </c>
      <c r="D1837" s="8" t="s">
        <v>3868</v>
      </c>
    </row>
    <row r="1838" spans="1:4" ht="36" customHeight="1">
      <c r="A1838" s="26">
        <v>1833</v>
      </c>
      <c r="B1838" s="25" t="s">
        <v>6139</v>
      </c>
      <c r="C1838" s="8" t="s">
        <v>6140</v>
      </c>
      <c r="D1838" s="8" t="s">
        <v>3868</v>
      </c>
    </row>
    <row r="1839" spans="1:4" ht="36" customHeight="1">
      <c r="A1839" s="26">
        <v>1834</v>
      </c>
      <c r="B1839" s="25" t="s">
        <v>6141</v>
      </c>
      <c r="C1839" s="8" t="s">
        <v>6142</v>
      </c>
      <c r="D1839" s="8" t="s">
        <v>3868</v>
      </c>
    </row>
    <row r="1840" spans="1:4" ht="36" customHeight="1">
      <c r="A1840" s="26">
        <v>1835</v>
      </c>
      <c r="B1840" s="25" t="s">
        <v>6143</v>
      </c>
      <c r="C1840" s="8" t="s">
        <v>6144</v>
      </c>
      <c r="D1840" s="8" t="s">
        <v>3868</v>
      </c>
    </row>
    <row r="1841" spans="1:4" ht="36" customHeight="1">
      <c r="A1841" s="26">
        <v>1836</v>
      </c>
      <c r="B1841" s="25" t="s">
        <v>6145</v>
      </c>
      <c r="C1841" s="8" t="s">
        <v>6146</v>
      </c>
      <c r="D1841" s="8" t="s">
        <v>3868</v>
      </c>
    </row>
    <row r="1842" spans="1:4" ht="36" customHeight="1">
      <c r="A1842" s="26">
        <v>1837</v>
      </c>
      <c r="B1842" s="25" t="s">
        <v>6147</v>
      </c>
      <c r="C1842" s="8" t="s">
        <v>6148</v>
      </c>
      <c r="D1842" s="8" t="s">
        <v>3868</v>
      </c>
    </row>
    <row r="1843" spans="1:4" ht="36" customHeight="1">
      <c r="A1843" s="26">
        <v>1838</v>
      </c>
      <c r="B1843" s="25" t="s">
        <v>6149</v>
      </c>
      <c r="C1843" s="8" t="s">
        <v>6150</v>
      </c>
      <c r="D1843" s="8" t="s">
        <v>3868</v>
      </c>
    </row>
    <row r="1844" spans="1:4" ht="36" customHeight="1">
      <c r="A1844" s="26">
        <v>1839</v>
      </c>
      <c r="B1844" s="25" t="s">
        <v>6151</v>
      </c>
      <c r="C1844" s="8" t="s">
        <v>6152</v>
      </c>
      <c r="D1844" s="8" t="s">
        <v>3868</v>
      </c>
    </row>
    <row r="1845" spans="1:4" ht="36" customHeight="1">
      <c r="A1845" s="26">
        <v>1840</v>
      </c>
      <c r="B1845" s="25" t="s">
        <v>6153</v>
      </c>
      <c r="C1845" s="8" t="s">
        <v>6154</v>
      </c>
      <c r="D1845" s="8" t="s">
        <v>3868</v>
      </c>
    </row>
    <row r="1846" spans="1:4" ht="36" customHeight="1">
      <c r="A1846" s="26">
        <v>1841</v>
      </c>
      <c r="B1846" s="25" t="s">
        <v>6155</v>
      </c>
      <c r="C1846" s="8" t="s">
        <v>6156</v>
      </c>
      <c r="D1846" s="8" t="s">
        <v>3868</v>
      </c>
    </row>
    <row r="1847" spans="1:4" ht="36" customHeight="1">
      <c r="A1847" s="26">
        <v>1842</v>
      </c>
      <c r="B1847" s="25" t="s">
        <v>6157</v>
      </c>
      <c r="C1847" s="8" t="s">
        <v>6158</v>
      </c>
      <c r="D1847" s="8" t="s">
        <v>3868</v>
      </c>
    </row>
    <row r="1848" spans="1:4" ht="36" customHeight="1">
      <c r="A1848" s="26">
        <v>1843</v>
      </c>
      <c r="B1848" s="25" t="s">
        <v>6159</v>
      </c>
      <c r="C1848" s="8" t="s">
        <v>6160</v>
      </c>
      <c r="D1848" s="8" t="s">
        <v>3868</v>
      </c>
    </row>
    <row r="1849" spans="1:4" ht="36" customHeight="1">
      <c r="A1849" s="26">
        <v>1844</v>
      </c>
      <c r="B1849" s="25" t="s">
        <v>6161</v>
      </c>
      <c r="C1849" s="8" t="s">
        <v>6162</v>
      </c>
      <c r="D1849" s="8" t="s">
        <v>3868</v>
      </c>
    </row>
    <row r="1850" spans="1:4" ht="36" customHeight="1">
      <c r="A1850" s="26">
        <v>1845</v>
      </c>
      <c r="B1850" s="25" t="s">
        <v>6163</v>
      </c>
      <c r="C1850" s="8" t="s">
        <v>6164</v>
      </c>
      <c r="D1850" s="8" t="s">
        <v>3868</v>
      </c>
    </row>
    <row r="1851" spans="1:4" ht="36" customHeight="1">
      <c r="A1851" s="26">
        <v>1846</v>
      </c>
      <c r="B1851" s="25" t="s">
        <v>6165</v>
      </c>
      <c r="C1851" s="8" t="s">
        <v>6166</v>
      </c>
      <c r="D1851" s="8" t="s">
        <v>3868</v>
      </c>
    </row>
    <row r="1852" spans="1:4" ht="36" customHeight="1">
      <c r="A1852" s="26">
        <v>1847</v>
      </c>
      <c r="B1852" s="25" t="s">
        <v>6167</v>
      </c>
      <c r="C1852" s="8" t="s">
        <v>6168</v>
      </c>
      <c r="D1852" s="8" t="s">
        <v>3868</v>
      </c>
    </row>
    <row r="1853" spans="1:4" ht="36" customHeight="1">
      <c r="A1853" s="26">
        <v>1848</v>
      </c>
      <c r="B1853" s="25" t="s">
        <v>6169</v>
      </c>
      <c r="C1853" s="8" t="s">
        <v>6170</v>
      </c>
      <c r="D1853" s="8" t="s">
        <v>3868</v>
      </c>
    </row>
    <row r="1854" spans="1:4" ht="36" customHeight="1">
      <c r="A1854" s="26">
        <v>1849</v>
      </c>
      <c r="B1854" s="25" t="s">
        <v>6171</v>
      </c>
      <c r="C1854" s="8" t="s">
        <v>6172</v>
      </c>
      <c r="D1854" s="8" t="s">
        <v>3868</v>
      </c>
    </row>
    <row r="1855" spans="1:4" ht="36" customHeight="1">
      <c r="A1855" s="26">
        <v>1850</v>
      </c>
      <c r="B1855" s="25" t="s">
        <v>6173</v>
      </c>
      <c r="C1855" s="8" t="s">
        <v>6174</v>
      </c>
      <c r="D1855" s="8" t="s">
        <v>3868</v>
      </c>
    </row>
    <row r="1856" spans="1:4" ht="36" customHeight="1">
      <c r="A1856" s="26">
        <v>1851</v>
      </c>
      <c r="B1856" s="25" t="s">
        <v>6175</v>
      </c>
      <c r="C1856" s="8" t="s">
        <v>6176</v>
      </c>
      <c r="D1856" s="8" t="s">
        <v>3868</v>
      </c>
    </row>
    <row r="1857" spans="1:4" ht="36" customHeight="1">
      <c r="A1857" s="26">
        <v>1852</v>
      </c>
      <c r="B1857" s="25" t="s">
        <v>6177</v>
      </c>
      <c r="C1857" s="8" t="s">
        <v>6178</v>
      </c>
      <c r="D1857" s="8" t="s">
        <v>3868</v>
      </c>
    </row>
    <row r="1858" spans="1:4" ht="36" customHeight="1">
      <c r="A1858" s="26">
        <v>1853</v>
      </c>
      <c r="B1858" s="25" t="s">
        <v>6179</v>
      </c>
      <c r="C1858" s="8" t="s">
        <v>6180</v>
      </c>
      <c r="D1858" s="8" t="s">
        <v>3868</v>
      </c>
    </row>
    <row r="1859" spans="1:4" ht="36" customHeight="1">
      <c r="A1859" s="26">
        <v>1854</v>
      </c>
      <c r="B1859" s="25" t="s">
        <v>6181</v>
      </c>
      <c r="C1859" s="8" t="s">
        <v>6182</v>
      </c>
      <c r="D1859" s="8" t="s">
        <v>3868</v>
      </c>
    </row>
    <row r="1860" spans="1:4" ht="36" customHeight="1">
      <c r="A1860" s="26">
        <v>1855</v>
      </c>
      <c r="B1860" s="25" t="s">
        <v>6183</v>
      </c>
      <c r="C1860" s="8" t="s">
        <v>6184</v>
      </c>
      <c r="D1860" s="8" t="s">
        <v>3868</v>
      </c>
    </row>
    <row r="1861" spans="1:4" ht="36" customHeight="1">
      <c r="A1861" s="26">
        <v>1856</v>
      </c>
      <c r="B1861" s="25" t="s">
        <v>6185</v>
      </c>
      <c r="C1861" s="8" t="s">
        <v>6186</v>
      </c>
      <c r="D1861" s="8" t="s">
        <v>3868</v>
      </c>
    </row>
    <row r="1862" spans="1:4" ht="36" customHeight="1">
      <c r="A1862" s="26">
        <v>1857</v>
      </c>
      <c r="B1862" s="25" t="s">
        <v>6187</v>
      </c>
      <c r="C1862" s="8" t="s">
        <v>6188</v>
      </c>
      <c r="D1862" s="8" t="s">
        <v>3868</v>
      </c>
    </row>
    <row r="1863" spans="1:4" ht="36" customHeight="1">
      <c r="A1863" s="26">
        <v>1858</v>
      </c>
      <c r="B1863" s="25" t="s">
        <v>6189</v>
      </c>
      <c r="C1863" s="8" t="s">
        <v>6190</v>
      </c>
      <c r="D1863" s="8" t="s">
        <v>3868</v>
      </c>
    </row>
    <row r="1864" spans="1:4" ht="36" customHeight="1">
      <c r="A1864" s="26">
        <v>1859</v>
      </c>
      <c r="B1864" s="25" t="s">
        <v>6191</v>
      </c>
      <c r="C1864" s="8" t="s">
        <v>6192</v>
      </c>
      <c r="D1864" s="8" t="s">
        <v>3868</v>
      </c>
    </row>
    <row r="1865" spans="1:4" ht="36" customHeight="1">
      <c r="A1865" s="26">
        <v>1860</v>
      </c>
      <c r="B1865" s="25" t="s">
        <v>6193</v>
      </c>
      <c r="C1865" s="8" t="s">
        <v>6194</v>
      </c>
      <c r="D1865" s="8" t="s">
        <v>3868</v>
      </c>
    </row>
    <row r="1866" spans="1:4" ht="36" customHeight="1">
      <c r="A1866" s="26">
        <v>1861</v>
      </c>
      <c r="B1866" s="25" t="s">
        <v>6195</v>
      </c>
      <c r="C1866" s="8" t="s">
        <v>6196</v>
      </c>
      <c r="D1866" s="8" t="s">
        <v>3868</v>
      </c>
    </row>
    <row r="1867" spans="1:4" ht="36" customHeight="1">
      <c r="A1867" s="26">
        <v>1862</v>
      </c>
      <c r="B1867" s="25" t="s">
        <v>6197</v>
      </c>
      <c r="C1867" s="8" t="s">
        <v>6198</v>
      </c>
      <c r="D1867" s="8" t="s">
        <v>3868</v>
      </c>
    </row>
    <row r="1868" spans="1:4" ht="36" customHeight="1">
      <c r="A1868" s="26">
        <v>1863</v>
      </c>
      <c r="B1868" s="25" t="s">
        <v>6199</v>
      </c>
      <c r="C1868" s="8" t="s">
        <v>6200</v>
      </c>
      <c r="D1868" s="8" t="s">
        <v>3868</v>
      </c>
    </row>
    <row r="1869" spans="1:4" ht="36" customHeight="1">
      <c r="A1869" s="26">
        <v>1864</v>
      </c>
      <c r="B1869" s="25" t="s">
        <v>6201</v>
      </c>
      <c r="C1869" s="8" t="s">
        <v>6202</v>
      </c>
      <c r="D1869" s="8" t="s">
        <v>3868</v>
      </c>
    </row>
    <row r="1870" spans="1:4" ht="36" customHeight="1">
      <c r="A1870" s="26">
        <v>1865</v>
      </c>
      <c r="B1870" s="25" t="s">
        <v>6203</v>
      </c>
      <c r="C1870" s="8" t="s">
        <v>6204</v>
      </c>
      <c r="D1870" s="8" t="s">
        <v>3868</v>
      </c>
    </row>
    <row r="1871" spans="1:4" ht="36" customHeight="1">
      <c r="A1871" s="26">
        <v>1866</v>
      </c>
      <c r="B1871" s="25" t="s">
        <v>6205</v>
      </c>
      <c r="C1871" s="8" t="s">
        <v>6206</v>
      </c>
      <c r="D1871" s="8" t="s">
        <v>3868</v>
      </c>
    </row>
    <row r="1872" spans="1:4" ht="36" customHeight="1">
      <c r="A1872" s="26">
        <v>1867</v>
      </c>
      <c r="B1872" s="25" t="s">
        <v>6207</v>
      </c>
      <c r="C1872" s="8" t="s">
        <v>6208</v>
      </c>
      <c r="D1872" s="8" t="s">
        <v>3868</v>
      </c>
    </row>
    <row r="1873" spans="1:4" ht="36" customHeight="1">
      <c r="A1873" s="26">
        <v>1868</v>
      </c>
      <c r="B1873" s="25" t="s">
        <v>6209</v>
      </c>
      <c r="C1873" s="8" t="s">
        <v>6210</v>
      </c>
      <c r="D1873" s="8" t="s">
        <v>3868</v>
      </c>
    </row>
    <row r="1874" spans="1:4" ht="36" customHeight="1">
      <c r="A1874" s="26">
        <v>1869</v>
      </c>
      <c r="B1874" s="25" t="s">
        <v>6211</v>
      </c>
      <c r="C1874" s="8" t="s">
        <v>6212</v>
      </c>
      <c r="D1874" s="8" t="s">
        <v>3868</v>
      </c>
    </row>
    <row r="1875" spans="1:4" ht="36" customHeight="1">
      <c r="A1875" s="26">
        <v>1870</v>
      </c>
      <c r="B1875" s="25" t="s">
        <v>6213</v>
      </c>
      <c r="C1875" s="8" t="s">
        <v>6214</v>
      </c>
      <c r="D1875" s="8" t="s">
        <v>3868</v>
      </c>
    </row>
    <row r="1876" spans="1:4" ht="36" customHeight="1">
      <c r="A1876" s="26">
        <v>1871</v>
      </c>
      <c r="B1876" s="25" t="s">
        <v>6215</v>
      </c>
      <c r="C1876" s="8" t="s">
        <v>6216</v>
      </c>
      <c r="D1876" s="8" t="s">
        <v>3868</v>
      </c>
    </row>
    <row r="1877" spans="1:4" ht="36" customHeight="1">
      <c r="A1877" s="26">
        <v>1872</v>
      </c>
      <c r="B1877" s="25" t="s">
        <v>6217</v>
      </c>
      <c r="C1877" s="8" t="s">
        <v>6218</v>
      </c>
      <c r="D1877" s="8" t="s">
        <v>3868</v>
      </c>
    </row>
    <row r="1878" spans="1:4" ht="36" customHeight="1">
      <c r="A1878" s="26">
        <v>1873</v>
      </c>
      <c r="B1878" s="25" t="s">
        <v>6219</v>
      </c>
      <c r="C1878" s="8" t="s">
        <v>6220</v>
      </c>
      <c r="D1878" s="8" t="s">
        <v>3868</v>
      </c>
    </row>
    <row r="1879" spans="1:4" ht="36" customHeight="1">
      <c r="A1879" s="26">
        <v>1874</v>
      </c>
      <c r="B1879" s="25" t="s">
        <v>6221</v>
      </c>
      <c r="C1879" s="8" t="s">
        <v>6222</v>
      </c>
      <c r="D1879" s="8" t="s">
        <v>3868</v>
      </c>
    </row>
    <row r="1880" spans="1:4" ht="36" customHeight="1">
      <c r="A1880" s="26">
        <v>1875</v>
      </c>
      <c r="B1880" s="25" t="s">
        <v>6223</v>
      </c>
      <c r="C1880" s="8" t="s">
        <v>6224</v>
      </c>
      <c r="D1880" s="8" t="s">
        <v>3868</v>
      </c>
    </row>
    <row r="1881" spans="1:4" ht="36" customHeight="1">
      <c r="A1881" s="26">
        <v>1876</v>
      </c>
      <c r="B1881" s="25" t="s">
        <v>2987</v>
      </c>
      <c r="C1881" s="8" t="s">
        <v>2988</v>
      </c>
      <c r="D1881" s="8" t="s">
        <v>3868</v>
      </c>
    </row>
    <row r="1882" spans="1:4" ht="36" customHeight="1">
      <c r="A1882" s="26">
        <v>1877</v>
      </c>
      <c r="B1882" s="25" t="s">
        <v>6225</v>
      </c>
      <c r="C1882" s="8" t="s">
        <v>6226</v>
      </c>
      <c r="D1882" s="8" t="s">
        <v>3868</v>
      </c>
    </row>
    <row r="1883" spans="1:4" ht="36" customHeight="1">
      <c r="A1883" s="26">
        <v>1878</v>
      </c>
      <c r="B1883" s="25" t="s">
        <v>6227</v>
      </c>
      <c r="C1883" s="8" t="s">
        <v>6228</v>
      </c>
      <c r="D1883" s="8" t="s">
        <v>3868</v>
      </c>
    </row>
    <row r="1884" spans="1:4" ht="36" customHeight="1">
      <c r="A1884" s="26">
        <v>1879</v>
      </c>
      <c r="B1884" s="25" t="s">
        <v>6229</v>
      </c>
      <c r="C1884" s="8" t="s">
        <v>6230</v>
      </c>
      <c r="D1884" s="8" t="s">
        <v>3868</v>
      </c>
    </row>
    <row r="1885" spans="1:4" ht="36" customHeight="1">
      <c r="A1885" s="26">
        <v>1880</v>
      </c>
      <c r="B1885" s="25" t="s">
        <v>6231</v>
      </c>
      <c r="C1885" s="8" t="s">
        <v>6232</v>
      </c>
      <c r="D1885" s="8" t="s">
        <v>3868</v>
      </c>
    </row>
    <row r="1886" spans="1:4" ht="36" customHeight="1">
      <c r="A1886" s="26">
        <v>1881</v>
      </c>
      <c r="B1886" s="25" t="s">
        <v>6233</v>
      </c>
      <c r="C1886" s="8" t="s">
        <v>6234</v>
      </c>
      <c r="D1886" s="8" t="s">
        <v>3868</v>
      </c>
    </row>
    <row r="1887" spans="1:4" ht="36" customHeight="1">
      <c r="A1887" s="26">
        <v>1882</v>
      </c>
      <c r="B1887" s="25" t="s">
        <v>6235</v>
      </c>
      <c r="C1887" s="8" t="s">
        <v>6236</v>
      </c>
      <c r="D1887" s="8" t="s">
        <v>3868</v>
      </c>
    </row>
    <row r="1888" spans="1:4" ht="36" customHeight="1">
      <c r="A1888" s="26">
        <v>1883</v>
      </c>
      <c r="B1888" s="25" t="s">
        <v>6237</v>
      </c>
      <c r="C1888" s="8" t="s">
        <v>6238</v>
      </c>
      <c r="D1888" s="8" t="s">
        <v>3868</v>
      </c>
    </row>
    <row r="1889" spans="1:4" ht="36" customHeight="1">
      <c r="A1889" s="26">
        <v>1884</v>
      </c>
      <c r="B1889" s="25" t="s">
        <v>6239</v>
      </c>
      <c r="C1889" s="8" t="s">
        <v>6240</v>
      </c>
      <c r="D1889" s="8" t="s">
        <v>3868</v>
      </c>
    </row>
    <row r="1890" spans="1:4" ht="36" customHeight="1">
      <c r="A1890" s="26">
        <v>1885</v>
      </c>
      <c r="B1890" s="25" t="s">
        <v>6241</v>
      </c>
      <c r="C1890" s="8" t="s">
        <v>6242</v>
      </c>
      <c r="D1890" s="8" t="s">
        <v>3868</v>
      </c>
    </row>
    <row r="1891" spans="1:4" ht="36" customHeight="1">
      <c r="A1891" s="26">
        <v>1886</v>
      </c>
      <c r="B1891" s="25" t="s">
        <v>6243</v>
      </c>
      <c r="C1891" s="8" t="s">
        <v>6244</v>
      </c>
      <c r="D1891" s="8" t="s">
        <v>3868</v>
      </c>
    </row>
    <row r="1892" spans="1:4" ht="36" customHeight="1">
      <c r="A1892" s="26">
        <v>1887</v>
      </c>
      <c r="B1892" s="25" t="s">
        <v>3013</v>
      </c>
      <c r="C1892" s="8" t="s">
        <v>3014</v>
      </c>
      <c r="D1892" s="8" t="s">
        <v>3868</v>
      </c>
    </row>
    <row r="1893" spans="1:4" ht="36" customHeight="1">
      <c r="A1893" s="26">
        <v>1888</v>
      </c>
      <c r="B1893" s="25" t="s">
        <v>6245</v>
      </c>
      <c r="C1893" s="8" t="s">
        <v>6246</v>
      </c>
      <c r="D1893" s="8" t="s">
        <v>3868</v>
      </c>
    </row>
    <row r="1894" spans="1:4" ht="36" customHeight="1">
      <c r="A1894" s="26">
        <v>1889</v>
      </c>
      <c r="B1894" s="25" t="s">
        <v>6247</v>
      </c>
      <c r="C1894" s="8" t="s">
        <v>6248</v>
      </c>
      <c r="D1894" s="8" t="s">
        <v>3868</v>
      </c>
    </row>
    <row r="1895" spans="1:4" ht="36" customHeight="1">
      <c r="A1895" s="26">
        <v>1890</v>
      </c>
      <c r="B1895" s="25" t="s">
        <v>6249</v>
      </c>
      <c r="C1895" s="8" t="s">
        <v>6250</v>
      </c>
      <c r="D1895" s="8" t="s">
        <v>3868</v>
      </c>
    </row>
    <row r="1896" spans="1:4" ht="36" customHeight="1">
      <c r="A1896" s="26">
        <v>1891</v>
      </c>
      <c r="B1896" s="25" t="s">
        <v>2475</v>
      </c>
      <c r="C1896" s="8" t="s">
        <v>2476</v>
      </c>
      <c r="D1896" s="8" t="s">
        <v>3868</v>
      </c>
    </row>
    <row r="1897" spans="1:4" ht="36" customHeight="1">
      <c r="A1897" s="26">
        <v>1892</v>
      </c>
      <c r="B1897" s="25" t="s">
        <v>6251</v>
      </c>
      <c r="C1897" s="8" t="s">
        <v>6252</v>
      </c>
      <c r="D1897" s="8" t="s">
        <v>3868</v>
      </c>
    </row>
    <row r="1898" spans="1:4" ht="36" customHeight="1">
      <c r="A1898" s="26">
        <v>1893</v>
      </c>
      <c r="B1898" s="25" t="s">
        <v>6253</v>
      </c>
      <c r="C1898" s="8" t="s">
        <v>6254</v>
      </c>
      <c r="D1898" s="8" t="s">
        <v>3868</v>
      </c>
    </row>
    <row r="1899" spans="1:4" ht="36" customHeight="1">
      <c r="A1899" s="26">
        <v>1894</v>
      </c>
      <c r="B1899" s="25" t="s">
        <v>6255</v>
      </c>
      <c r="C1899" s="8" t="s">
        <v>6256</v>
      </c>
      <c r="D1899" s="8" t="s">
        <v>3868</v>
      </c>
    </row>
    <row r="1900" spans="1:4" ht="36" customHeight="1">
      <c r="A1900" s="26">
        <v>1895</v>
      </c>
      <c r="B1900" s="25" t="s">
        <v>6257</v>
      </c>
      <c r="C1900" s="8" t="s">
        <v>6258</v>
      </c>
      <c r="D1900" s="8" t="s">
        <v>3868</v>
      </c>
    </row>
    <row r="1901" spans="1:4" ht="36" customHeight="1">
      <c r="A1901" s="26">
        <v>1896</v>
      </c>
      <c r="B1901" s="25" t="s">
        <v>6259</v>
      </c>
      <c r="C1901" s="8" t="s">
        <v>6260</v>
      </c>
      <c r="D1901" s="8" t="s">
        <v>3868</v>
      </c>
    </row>
    <row r="1902" spans="1:4" ht="36" customHeight="1">
      <c r="A1902" s="26">
        <v>1897</v>
      </c>
      <c r="B1902" s="25" t="s">
        <v>6261</v>
      </c>
      <c r="C1902" s="8" t="s">
        <v>6262</v>
      </c>
      <c r="D1902" s="8" t="s">
        <v>3868</v>
      </c>
    </row>
    <row r="1903" spans="1:4" ht="36" customHeight="1">
      <c r="A1903" s="26">
        <v>1898</v>
      </c>
      <c r="B1903" s="25" t="s">
        <v>6263</v>
      </c>
      <c r="C1903" s="8" t="s">
        <v>6264</v>
      </c>
      <c r="D1903" s="8" t="s">
        <v>3868</v>
      </c>
    </row>
    <row r="1904" spans="1:4" ht="36" customHeight="1">
      <c r="A1904" s="26">
        <v>1899</v>
      </c>
      <c r="B1904" s="25" t="s">
        <v>6265</v>
      </c>
      <c r="C1904" s="8" t="s">
        <v>6266</v>
      </c>
      <c r="D1904" s="8" t="s">
        <v>3868</v>
      </c>
    </row>
    <row r="1905" spans="1:4" ht="36" customHeight="1">
      <c r="A1905" s="26">
        <v>1900</v>
      </c>
      <c r="B1905" s="25" t="s">
        <v>6267</v>
      </c>
      <c r="C1905" s="8" t="s">
        <v>4006</v>
      </c>
      <c r="D1905" s="8" t="s">
        <v>3868</v>
      </c>
    </row>
    <row r="1906" spans="1:4" ht="36" customHeight="1">
      <c r="A1906" s="26">
        <v>1901</v>
      </c>
      <c r="B1906" s="25" t="s">
        <v>6268</v>
      </c>
      <c r="C1906" s="8" t="s">
        <v>6269</v>
      </c>
      <c r="D1906" s="8" t="s">
        <v>3868</v>
      </c>
    </row>
    <row r="1907" spans="1:4" ht="36" customHeight="1">
      <c r="A1907" s="26">
        <v>1902</v>
      </c>
      <c r="B1907" s="25" t="s">
        <v>2851</v>
      </c>
      <c r="C1907" s="8" t="s">
        <v>2852</v>
      </c>
      <c r="D1907" s="8" t="s">
        <v>3868</v>
      </c>
    </row>
    <row r="1908" spans="1:4" ht="36" customHeight="1">
      <c r="A1908" s="26">
        <v>1903</v>
      </c>
      <c r="B1908" s="25" t="s">
        <v>6270</v>
      </c>
      <c r="C1908" s="8" t="s">
        <v>6271</v>
      </c>
      <c r="D1908" s="8" t="s">
        <v>3868</v>
      </c>
    </row>
    <row r="1909" spans="1:4" ht="36" customHeight="1">
      <c r="A1909" s="26">
        <v>1904</v>
      </c>
      <c r="B1909" s="25" t="s">
        <v>2950</v>
      </c>
      <c r="C1909" s="8" t="s">
        <v>2951</v>
      </c>
      <c r="D1909" s="8" t="s">
        <v>3868</v>
      </c>
    </row>
    <row r="1910" spans="1:4" ht="36" customHeight="1">
      <c r="A1910" s="26">
        <v>1905</v>
      </c>
      <c r="B1910" s="25" t="s">
        <v>6272</v>
      </c>
      <c r="C1910" s="8" t="s">
        <v>6273</v>
      </c>
      <c r="D1910" s="8" t="s">
        <v>3868</v>
      </c>
    </row>
    <row r="1911" spans="1:4" ht="36" customHeight="1">
      <c r="A1911" s="26">
        <v>1906</v>
      </c>
      <c r="B1911" s="25" t="s">
        <v>6274</v>
      </c>
      <c r="C1911" s="8" t="s">
        <v>6275</v>
      </c>
      <c r="D1911" s="8" t="s">
        <v>3868</v>
      </c>
    </row>
    <row r="1912" spans="1:4" ht="36" customHeight="1">
      <c r="A1912" s="26">
        <v>1907</v>
      </c>
      <c r="B1912" s="25" t="s">
        <v>6276</v>
      </c>
      <c r="C1912" s="8" t="s">
        <v>6277</v>
      </c>
      <c r="D1912" s="8" t="s">
        <v>3868</v>
      </c>
    </row>
    <row r="1913" spans="1:4" ht="36" customHeight="1">
      <c r="A1913" s="26">
        <v>1908</v>
      </c>
      <c r="B1913" s="25" t="s">
        <v>6278</v>
      </c>
      <c r="C1913" s="8" t="s">
        <v>6279</v>
      </c>
      <c r="D1913" s="8" t="s">
        <v>3868</v>
      </c>
    </row>
    <row r="1914" spans="1:4" ht="36" customHeight="1">
      <c r="A1914" s="26">
        <v>1909</v>
      </c>
      <c r="B1914" s="25" t="s">
        <v>6280</v>
      </c>
      <c r="C1914" s="8" t="s">
        <v>6281</v>
      </c>
      <c r="D1914" s="8" t="s">
        <v>3868</v>
      </c>
    </row>
    <row r="1915" spans="1:4" ht="36" customHeight="1">
      <c r="A1915" s="26">
        <v>1910</v>
      </c>
      <c r="B1915" s="25" t="s">
        <v>6282</v>
      </c>
      <c r="C1915" s="8" t="s">
        <v>6283</v>
      </c>
      <c r="D1915" s="8" t="s">
        <v>3868</v>
      </c>
    </row>
    <row r="1916" spans="1:4" ht="36" customHeight="1">
      <c r="A1916" s="26">
        <v>1911</v>
      </c>
      <c r="B1916" s="25" t="s">
        <v>6284</v>
      </c>
      <c r="C1916" s="8" t="s">
        <v>6285</v>
      </c>
      <c r="D1916" s="8" t="s">
        <v>3868</v>
      </c>
    </row>
    <row r="1917" spans="1:4" ht="36" customHeight="1">
      <c r="A1917" s="26">
        <v>1912</v>
      </c>
      <c r="B1917" s="25" t="s">
        <v>6286</v>
      </c>
      <c r="C1917" s="8" t="s">
        <v>6287</v>
      </c>
      <c r="D1917" s="8" t="s">
        <v>3868</v>
      </c>
    </row>
    <row r="1918" spans="1:4" ht="36" customHeight="1">
      <c r="A1918" s="26">
        <v>1913</v>
      </c>
      <c r="B1918" s="25" t="s">
        <v>6288</v>
      </c>
      <c r="C1918" s="8" t="s">
        <v>6289</v>
      </c>
      <c r="D1918" s="8" t="s">
        <v>3868</v>
      </c>
    </row>
    <row r="1919" spans="1:4" ht="36" customHeight="1">
      <c r="A1919" s="26">
        <v>1914</v>
      </c>
      <c r="B1919" s="25" t="s">
        <v>6290</v>
      </c>
      <c r="C1919" s="8" t="s">
        <v>6291</v>
      </c>
      <c r="D1919" s="8" t="s">
        <v>3868</v>
      </c>
    </row>
    <row r="1920" spans="1:4" ht="36" customHeight="1">
      <c r="A1920" s="26">
        <v>1915</v>
      </c>
      <c r="B1920" s="25" t="s">
        <v>6292</v>
      </c>
      <c r="C1920" s="8" t="s">
        <v>6293</v>
      </c>
      <c r="D1920" s="8" t="s">
        <v>3868</v>
      </c>
    </row>
    <row r="1921" spans="1:4" ht="36" customHeight="1">
      <c r="A1921" s="26">
        <v>1916</v>
      </c>
      <c r="B1921" s="25" t="s">
        <v>6294</v>
      </c>
      <c r="C1921" s="8" t="s">
        <v>6295</v>
      </c>
      <c r="D1921" s="8" t="s">
        <v>3868</v>
      </c>
    </row>
    <row r="1922" spans="1:4" ht="36" customHeight="1">
      <c r="A1922" s="26">
        <v>1917</v>
      </c>
      <c r="B1922" s="25" t="s">
        <v>6296</v>
      </c>
      <c r="C1922" s="8" t="s">
        <v>6297</v>
      </c>
      <c r="D1922" s="8" t="s">
        <v>3868</v>
      </c>
    </row>
    <row r="1923" spans="1:4" ht="36" customHeight="1">
      <c r="A1923" s="26">
        <v>1918</v>
      </c>
      <c r="B1923" s="25" t="s">
        <v>6296</v>
      </c>
      <c r="C1923" s="8" t="s">
        <v>6297</v>
      </c>
      <c r="D1923" s="8" t="s">
        <v>3868</v>
      </c>
    </row>
    <row r="1924" spans="1:4" ht="36" customHeight="1">
      <c r="A1924" s="26">
        <v>1919</v>
      </c>
      <c r="B1924" s="25" t="s">
        <v>6298</v>
      </c>
      <c r="C1924" s="8" t="s">
        <v>6299</v>
      </c>
      <c r="D1924" s="8" t="s">
        <v>3868</v>
      </c>
    </row>
    <row r="1925" spans="1:4" ht="36" customHeight="1">
      <c r="A1925" s="26">
        <v>1920</v>
      </c>
      <c r="B1925" s="25" t="s">
        <v>6300</v>
      </c>
      <c r="C1925" s="8" t="s">
        <v>6301</v>
      </c>
      <c r="D1925" s="8" t="s">
        <v>3868</v>
      </c>
    </row>
    <row r="1926" spans="1:4" ht="36" customHeight="1">
      <c r="A1926" s="26">
        <v>1921</v>
      </c>
      <c r="B1926" s="25" t="s">
        <v>6302</v>
      </c>
      <c r="C1926" s="8" t="s">
        <v>6303</v>
      </c>
      <c r="D1926" s="8" t="s">
        <v>3868</v>
      </c>
    </row>
    <row r="1927" spans="1:4" ht="36" customHeight="1">
      <c r="A1927" s="26">
        <v>1922</v>
      </c>
      <c r="B1927" s="25" t="s">
        <v>6304</v>
      </c>
      <c r="C1927" s="8" t="s">
        <v>3581</v>
      </c>
      <c r="D1927" s="8" t="s">
        <v>3868</v>
      </c>
    </row>
    <row r="1928" spans="1:4" ht="36" customHeight="1">
      <c r="A1928" s="26">
        <v>1923</v>
      </c>
      <c r="B1928" s="25" t="s">
        <v>6305</v>
      </c>
      <c r="C1928" s="8" t="s">
        <v>6306</v>
      </c>
      <c r="D1928" s="8" t="s">
        <v>3868</v>
      </c>
    </row>
    <row r="1929" spans="1:4" ht="36" customHeight="1">
      <c r="A1929" s="26">
        <v>1924</v>
      </c>
      <c r="B1929" s="25" t="s">
        <v>6307</v>
      </c>
      <c r="C1929" s="8" t="s">
        <v>6308</v>
      </c>
      <c r="D1929" s="8" t="s">
        <v>3868</v>
      </c>
    </row>
    <row r="1930" spans="1:4" ht="36" customHeight="1">
      <c r="A1930" s="26">
        <v>1925</v>
      </c>
      <c r="B1930" s="25" t="s">
        <v>6309</v>
      </c>
      <c r="C1930" s="8" t="s">
        <v>6310</v>
      </c>
      <c r="D1930" s="8" t="s">
        <v>3868</v>
      </c>
    </row>
    <row r="1931" spans="1:4" ht="36" customHeight="1">
      <c r="A1931" s="26">
        <v>1926</v>
      </c>
      <c r="B1931" s="25" t="s">
        <v>6311</v>
      </c>
      <c r="C1931" s="8" t="s">
        <v>6312</v>
      </c>
      <c r="D1931" s="8" t="s">
        <v>3868</v>
      </c>
    </row>
    <row r="1932" spans="1:4" ht="36" customHeight="1">
      <c r="A1932" s="26">
        <v>1927</v>
      </c>
      <c r="B1932" s="25" t="s">
        <v>6313</v>
      </c>
      <c r="C1932" s="8" t="s">
        <v>6314</v>
      </c>
      <c r="D1932" s="8" t="s">
        <v>3868</v>
      </c>
    </row>
    <row r="1933" spans="1:4" ht="36" customHeight="1">
      <c r="A1933" s="26">
        <v>1928</v>
      </c>
      <c r="B1933" s="25" t="s">
        <v>6315</v>
      </c>
      <c r="C1933" s="8" t="s">
        <v>6316</v>
      </c>
      <c r="D1933" s="8" t="s">
        <v>3868</v>
      </c>
    </row>
    <row r="1934" spans="1:4" ht="36" customHeight="1">
      <c r="A1934" s="26">
        <v>1929</v>
      </c>
      <c r="B1934" s="25" t="s">
        <v>6317</v>
      </c>
      <c r="C1934" s="8" t="s">
        <v>6318</v>
      </c>
      <c r="D1934" s="8" t="s">
        <v>3868</v>
      </c>
    </row>
    <row r="1935" spans="1:4" ht="36" customHeight="1">
      <c r="A1935" s="26">
        <v>1930</v>
      </c>
      <c r="B1935" s="25" t="s">
        <v>6319</v>
      </c>
      <c r="C1935" s="8" t="s">
        <v>3919</v>
      </c>
      <c r="D1935" s="8" t="s">
        <v>3868</v>
      </c>
    </row>
    <row r="1936" spans="1:4" ht="36" customHeight="1">
      <c r="A1936" s="26">
        <v>1931</v>
      </c>
      <c r="B1936" s="25" t="s">
        <v>6320</v>
      </c>
      <c r="C1936" s="8" t="s">
        <v>6321</v>
      </c>
      <c r="D1936" s="8" t="s">
        <v>3868</v>
      </c>
    </row>
    <row r="1937" spans="1:4" ht="36" customHeight="1">
      <c r="A1937" s="26">
        <v>1932</v>
      </c>
      <c r="B1937" s="25" t="s">
        <v>2984</v>
      </c>
      <c r="C1937" s="8" t="s">
        <v>2985</v>
      </c>
      <c r="D1937" s="8" t="s">
        <v>3868</v>
      </c>
    </row>
    <row r="1938" spans="1:4" ht="36" customHeight="1">
      <c r="A1938" s="26">
        <v>1933</v>
      </c>
      <c r="B1938" s="25" t="s">
        <v>6322</v>
      </c>
      <c r="C1938" s="8" t="s">
        <v>6323</v>
      </c>
      <c r="D1938" s="8" t="s">
        <v>3868</v>
      </c>
    </row>
    <row r="1939" spans="1:4" ht="36" customHeight="1">
      <c r="A1939" s="26">
        <v>1934</v>
      </c>
      <c r="B1939" s="25" t="s">
        <v>6324</v>
      </c>
      <c r="C1939" s="8" t="s">
        <v>6325</v>
      </c>
      <c r="D1939" s="8" t="s">
        <v>3868</v>
      </c>
    </row>
    <row r="1940" spans="1:4" ht="36" customHeight="1">
      <c r="A1940" s="26">
        <v>1935</v>
      </c>
      <c r="B1940" s="25" t="s">
        <v>6326</v>
      </c>
      <c r="C1940" s="8" t="s">
        <v>6327</v>
      </c>
      <c r="D1940" s="8" t="s">
        <v>3868</v>
      </c>
    </row>
    <row r="1941" spans="1:4" ht="36" customHeight="1">
      <c r="A1941" s="26">
        <v>1936</v>
      </c>
      <c r="B1941" s="25" t="s">
        <v>6328</v>
      </c>
      <c r="C1941" s="8" t="s">
        <v>6329</v>
      </c>
      <c r="D1941" s="8" t="s">
        <v>3868</v>
      </c>
    </row>
    <row r="1942" spans="1:4" ht="36" customHeight="1">
      <c r="A1942" s="26">
        <v>1937</v>
      </c>
      <c r="B1942" s="25" t="s">
        <v>6330</v>
      </c>
      <c r="C1942" s="8" t="s">
        <v>6331</v>
      </c>
      <c r="D1942" s="8" t="s">
        <v>3868</v>
      </c>
    </row>
    <row r="1943" spans="1:4" ht="36" customHeight="1">
      <c r="A1943" s="26">
        <v>1938</v>
      </c>
      <c r="B1943" s="25" t="s">
        <v>6332</v>
      </c>
      <c r="C1943" s="8" t="s">
        <v>6333</v>
      </c>
      <c r="D1943" s="8" t="s">
        <v>3868</v>
      </c>
    </row>
    <row r="1944" spans="1:4" ht="36" customHeight="1">
      <c r="A1944" s="26">
        <v>1939</v>
      </c>
      <c r="B1944" s="25" t="s">
        <v>6334</v>
      </c>
      <c r="C1944" s="8" t="s">
        <v>6335</v>
      </c>
      <c r="D1944" s="8" t="s">
        <v>3868</v>
      </c>
    </row>
    <row r="1945" spans="1:4" ht="36" customHeight="1">
      <c r="A1945" s="26">
        <v>1940</v>
      </c>
      <c r="B1945" s="25" t="s">
        <v>6336</v>
      </c>
      <c r="C1945" s="8" t="s">
        <v>6337</v>
      </c>
      <c r="D1945" s="8" t="s">
        <v>3868</v>
      </c>
    </row>
    <row r="1946" spans="1:4" ht="36" customHeight="1">
      <c r="A1946" s="26">
        <v>1941</v>
      </c>
      <c r="B1946" s="25" t="s">
        <v>6338</v>
      </c>
      <c r="C1946" s="8" t="s">
        <v>6339</v>
      </c>
      <c r="D1946" s="8" t="s">
        <v>3868</v>
      </c>
    </row>
    <row r="1947" spans="1:4" ht="36" customHeight="1">
      <c r="A1947" s="26">
        <v>1942</v>
      </c>
      <c r="B1947" s="25" t="s">
        <v>2466</v>
      </c>
      <c r="C1947" s="8" t="s">
        <v>2467</v>
      </c>
      <c r="D1947" s="8" t="s">
        <v>3868</v>
      </c>
    </row>
    <row r="1948" spans="1:4" ht="36" customHeight="1">
      <c r="A1948" s="26">
        <v>1943</v>
      </c>
      <c r="B1948" s="25" t="s">
        <v>6340</v>
      </c>
      <c r="C1948" s="8" t="s">
        <v>6341</v>
      </c>
      <c r="D1948" s="8" t="s">
        <v>3868</v>
      </c>
    </row>
    <row r="1949" spans="1:4" ht="36" customHeight="1">
      <c r="A1949" s="26">
        <v>1944</v>
      </c>
      <c r="B1949" s="25" t="s">
        <v>6342</v>
      </c>
      <c r="C1949" s="8" t="s">
        <v>6343</v>
      </c>
      <c r="D1949" s="8" t="s">
        <v>3868</v>
      </c>
    </row>
    <row r="1950" spans="1:4" ht="36" customHeight="1">
      <c r="A1950" s="26">
        <v>1945</v>
      </c>
      <c r="B1950" s="25" t="s">
        <v>6344</v>
      </c>
      <c r="C1950" s="8" t="s">
        <v>6345</v>
      </c>
      <c r="D1950" s="8" t="s">
        <v>3868</v>
      </c>
    </row>
    <row r="1951" spans="1:4" ht="36" customHeight="1">
      <c r="A1951" s="26">
        <v>1946</v>
      </c>
      <c r="B1951" s="25" t="s">
        <v>6346</v>
      </c>
      <c r="C1951" s="8" t="s">
        <v>6347</v>
      </c>
      <c r="D1951" s="8" t="s">
        <v>3868</v>
      </c>
    </row>
    <row r="1952" spans="1:4" ht="36" customHeight="1">
      <c r="A1952" s="26">
        <v>1947</v>
      </c>
      <c r="B1952" s="25" t="s">
        <v>6348</v>
      </c>
      <c r="C1952" s="8" t="s">
        <v>6349</v>
      </c>
      <c r="D1952" s="8" t="s">
        <v>3868</v>
      </c>
    </row>
    <row r="1953" spans="1:4" ht="36" customHeight="1">
      <c r="A1953" s="26">
        <v>1948</v>
      </c>
      <c r="B1953" s="25" t="s">
        <v>6350</v>
      </c>
      <c r="C1953" s="8" t="s">
        <v>6351</v>
      </c>
      <c r="D1953" s="8" t="s">
        <v>3868</v>
      </c>
    </row>
    <row r="1954" spans="1:4" ht="36" customHeight="1">
      <c r="A1954" s="26">
        <v>1949</v>
      </c>
      <c r="B1954" s="25" t="s">
        <v>6352</v>
      </c>
      <c r="C1954" s="8" t="s">
        <v>6353</v>
      </c>
      <c r="D1954" s="8" t="s">
        <v>3868</v>
      </c>
    </row>
    <row r="1955" spans="1:4" ht="36" customHeight="1">
      <c r="A1955" s="26">
        <v>1950</v>
      </c>
      <c r="B1955" s="25" t="s">
        <v>6354</v>
      </c>
      <c r="C1955" s="8" t="s">
        <v>6355</v>
      </c>
      <c r="D1955" s="8" t="s">
        <v>3868</v>
      </c>
    </row>
    <row r="1956" spans="1:4" ht="36" customHeight="1">
      <c r="A1956" s="26">
        <v>1951</v>
      </c>
      <c r="B1956" s="25" t="s">
        <v>6356</v>
      </c>
      <c r="C1956" s="8" t="s">
        <v>6357</v>
      </c>
      <c r="D1956" s="8" t="s">
        <v>3868</v>
      </c>
    </row>
    <row r="1957" spans="1:4" ht="36" customHeight="1">
      <c r="A1957" s="26">
        <v>1952</v>
      </c>
      <c r="B1957" s="25" t="s">
        <v>6358</v>
      </c>
      <c r="C1957" s="8" t="s">
        <v>6359</v>
      </c>
      <c r="D1957" s="8" t="s">
        <v>3868</v>
      </c>
    </row>
    <row r="1958" spans="1:4" ht="36" customHeight="1">
      <c r="A1958" s="26">
        <v>1953</v>
      </c>
      <c r="B1958" s="25" t="s">
        <v>6360</v>
      </c>
      <c r="C1958" s="8" t="s">
        <v>6361</v>
      </c>
      <c r="D1958" s="8" t="s">
        <v>3868</v>
      </c>
    </row>
    <row r="1959" spans="1:4" ht="36" customHeight="1">
      <c r="A1959" s="26">
        <v>1954</v>
      </c>
      <c r="B1959" s="25" t="s">
        <v>6362</v>
      </c>
      <c r="C1959" s="8" t="s">
        <v>6363</v>
      </c>
      <c r="D1959" s="8" t="s">
        <v>3868</v>
      </c>
    </row>
    <row r="1960" spans="1:4" ht="36" customHeight="1">
      <c r="A1960" s="26">
        <v>1955</v>
      </c>
      <c r="B1960" s="25" t="s">
        <v>6364</v>
      </c>
      <c r="C1960" s="8" t="s">
        <v>6365</v>
      </c>
      <c r="D1960" s="8" t="s">
        <v>3868</v>
      </c>
    </row>
    <row r="1961" spans="1:4" ht="36" customHeight="1">
      <c r="A1961" s="26">
        <v>1956</v>
      </c>
      <c r="B1961" s="25" t="s">
        <v>6366</v>
      </c>
      <c r="C1961" s="8" t="s">
        <v>6367</v>
      </c>
      <c r="D1961" s="8" t="s">
        <v>3868</v>
      </c>
    </row>
    <row r="1962" spans="1:4" ht="36" customHeight="1">
      <c r="A1962" s="26">
        <v>1957</v>
      </c>
      <c r="B1962" s="25" t="s">
        <v>6368</v>
      </c>
      <c r="C1962" s="8" t="s">
        <v>6369</v>
      </c>
      <c r="D1962" s="8" t="s">
        <v>3868</v>
      </c>
    </row>
    <row r="1963" spans="1:4" ht="36" customHeight="1">
      <c r="A1963" s="26">
        <v>1958</v>
      </c>
      <c r="B1963" s="25" t="s">
        <v>6370</v>
      </c>
      <c r="C1963" s="8" t="s">
        <v>6371</v>
      </c>
      <c r="D1963" s="8" t="s">
        <v>3868</v>
      </c>
    </row>
    <row r="1964" spans="1:4" ht="36" customHeight="1">
      <c r="A1964" s="26">
        <v>1959</v>
      </c>
      <c r="B1964" s="25" t="s">
        <v>6372</v>
      </c>
      <c r="C1964" s="8" t="s">
        <v>6373</v>
      </c>
      <c r="D1964" s="8" t="s">
        <v>3868</v>
      </c>
    </row>
    <row r="1965" spans="1:4" ht="36" customHeight="1">
      <c r="A1965" s="26">
        <v>1960</v>
      </c>
      <c r="B1965" s="25" t="s">
        <v>6374</v>
      </c>
      <c r="C1965" s="8" t="s">
        <v>6375</v>
      </c>
      <c r="D1965" s="8" t="s">
        <v>3868</v>
      </c>
    </row>
    <row r="1966" spans="1:4" ht="36" customHeight="1">
      <c r="A1966" s="26">
        <v>1961</v>
      </c>
      <c r="B1966" s="25" t="s">
        <v>6376</v>
      </c>
      <c r="C1966" s="8" t="s">
        <v>6377</v>
      </c>
      <c r="D1966" s="8" t="s">
        <v>3868</v>
      </c>
    </row>
    <row r="1967" spans="1:4" ht="36" customHeight="1">
      <c r="A1967" s="26">
        <v>1962</v>
      </c>
      <c r="B1967" s="25" t="s">
        <v>6378</v>
      </c>
      <c r="C1967" s="8" t="s">
        <v>6379</v>
      </c>
      <c r="D1967" s="8" t="s">
        <v>3868</v>
      </c>
    </row>
    <row r="1968" spans="1:4" ht="36" customHeight="1">
      <c r="A1968" s="26">
        <v>1963</v>
      </c>
      <c r="B1968" s="25" t="s">
        <v>6380</v>
      </c>
      <c r="C1968" s="8" t="s">
        <v>6381</v>
      </c>
      <c r="D1968" s="8" t="s">
        <v>3868</v>
      </c>
    </row>
    <row r="1969" spans="1:4" ht="36" customHeight="1">
      <c r="A1969" s="26">
        <v>1964</v>
      </c>
      <c r="B1969" s="25" t="s">
        <v>6382</v>
      </c>
      <c r="C1969" s="8" t="s">
        <v>6383</v>
      </c>
      <c r="D1969" s="8" t="s">
        <v>3868</v>
      </c>
    </row>
    <row r="1970" spans="1:4" ht="36" customHeight="1">
      <c r="A1970" s="26">
        <v>1965</v>
      </c>
      <c r="B1970" s="25" t="s">
        <v>6384</v>
      </c>
      <c r="C1970" s="8" t="s">
        <v>6385</v>
      </c>
      <c r="D1970" s="8" t="s">
        <v>3868</v>
      </c>
    </row>
    <row r="1971" spans="1:4" ht="36" customHeight="1">
      <c r="A1971" s="26">
        <v>1966</v>
      </c>
      <c r="B1971" s="25" t="s">
        <v>6386</v>
      </c>
      <c r="C1971" s="8" t="s">
        <v>6387</v>
      </c>
      <c r="D1971" s="8" t="s">
        <v>3868</v>
      </c>
    </row>
    <row r="1972" spans="1:4" ht="36" customHeight="1">
      <c r="A1972" s="26">
        <v>1967</v>
      </c>
      <c r="B1972" s="25" t="s">
        <v>6388</v>
      </c>
      <c r="C1972" s="8" t="s">
        <v>6389</v>
      </c>
      <c r="D1972" s="8" t="s">
        <v>3868</v>
      </c>
    </row>
    <row r="1973" spans="1:4" ht="36" customHeight="1">
      <c r="A1973" s="26">
        <v>1968</v>
      </c>
      <c r="B1973" s="25" t="s">
        <v>6390</v>
      </c>
      <c r="C1973" s="8" t="s">
        <v>6391</v>
      </c>
      <c r="D1973" s="8" t="s">
        <v>3868</v>
      </c>
    </row>
    <row r="1974" spans="1:4" ht="36" customHeight="1">
      <c r="A1974" s="26">
        <v>1969</v>
      </c>
      <c r="B1974" s="25" t="s">
        <v>6392</v>
      </c>
      <c r="C1974" s="8" t="s">
        <v>6393</v>
      </c>
      <c r="D1974" s="8" t="s">
        <v>3868</v>
      </c>
    </row>
    <row r="1975" spans="1:4" ht="36" customHeight="1">
      <c r="A1975" s="26">
        <v>1970</v>
      </c>
      <c r="B1975" s="25" t="s">
        <v>6394</v>
      </c>
      <c r="C1975" s="8" t="s">
        <v>6395</v>
      </c>
      <c r="D1975" s="8" t="s">
        <v>3868</v>
      </c>
    </row>
    <row r="1976" spans="1:4" ht="36" customHeight="1">
      <c r="A1976" s="26">
        <v>1971</v>
      </c>
      <c r="B1976" s="25" t="s">
        <v>6396</v>
      </c>
      <c r="C1976" s="8" t="s">
        <v>6397</v>
      </c>
      <c r="D1976" s="8" t="s">
        <v>3868</v>
      </c>
    </row>
    <row r="1977" spans="1:4" ht="36" customHeight="1">
      <c r="A1977" s="26">
        <v>1972</v>
      </c>
      <c r="B1977" s="25" t="s">
        <v>3008</v>
      </c>
      <c r="C1977" s="8" t="s">
        <v>3009</v>
      </c>
      <c r="D1977" s="8" t="s">
        <v>3868</v>
      </c>
    </row>
    <row r="1978" spans="1:4" ht="36" customHeight="1">
      <c r="A1978" s="26">
        <v>1973</v>
      </c>
      <c r="B1978" s="25" t="s">
        <v>6398</v>
      </c>
      <c r="C1978" s="8" t="s">
        <v>6399</v>
      </c>
      <c r="D1978" s="8" t="s">
        <v>3868</v>
      </c>
    </row>
    <row r="1979" spans="1:4" ht="36" customHeight="1">
      <c r="A1979" s="26">
        <v>1974</v>
      </c>
      <c r="B1979" s="25" t="s">
        <v>2981</v>
      </c>
      <c r="C1979" s="8" t="s">
        <v>2982</v>
      </c>
      <c r="D1979" s="8" t="s">
        <v>4035</v>
      </c>
    </row>
    <row r="1980" spans="1:4" ht="36" customHeight="1">
      <c r="A1980" s="26">
        <v>1975</v>
      </c>
      <c r="B1980" s="25" t="s">
        <v>6400</v>
      </c>
      <c r="C1980" s="8" t="s">
        <v>6401</v>
      </c>
      <c r="D1980" s="8" t="s">
        <v>4035</v>
      </c>
    </row>
    <row r="1981" spans="1:4" ht="36" customHeight="1">
      <c r="A1981" s="26">
        <v>1976</v>
      </c>
      <c r="B1981" s="25" t="s">
        <v>6402</v>
      </c>
      <c r="C1981" s="8" t="s">
        <v>6403</v>
      </c>
      <c r="D1981" s="8" t="s">
        <v>4035</v>
      </c>
    </row>
    <row r="1982" spans="1:4" ht="36" customHeight="1">
      <c r="A1982" s="26">
        <v>1977</v>
      </c>
      <c r="B1982" s="25" t="s">
        <v>6404</v>
      </c>
      <c r="C1982" s="8" t="s">
        <v>6405</v>
      </c>
      <c r="D1982" s="8" t="s">
        <v>4035</v>
      </c>
    </row>
    <row r="1983" spans="1:4" ht="36" customHeight="1">
      <c r="A1983" s="26">
        <v>1978</v>
      </c>
      <c r="B1983" s="25" t="s">
        <v>6406</v>
      </c>
      <c r="C1983" s="8" t="s">
        <v>6407</v>
      </c>
      <c r="D1983" s="8" t="s">
        <v>4035</v>
      </c>
    </row>
    <row r="1984" spans="1:4" ht="36" customHeight="1">
      <c r="A1984" s="26">
        <v>1979</v>
      </c>
      <c r="B1984" s="25" t="s">
        <v>6408</v>
      </c>
      <c r="C1984" s="8" t="s">
        <v>6409</v>
      </c>
      <c r="D1984" s="8" t="s">
        <v>4035</v>
      </c>
    </row>
    <row r="1985" spans="1:4" ht="36" customHeight="1">
      <c r="A1985" s="26">
        <v>1980</v>
      </c>
      <c r="B1985" s="25" t="s">
        <v>6410</v>
      </c>
      <c r="C1985" s="8" t="s">
        <v>6411</v>
      </c>
      <c r="D1985" s="8" t="s">
        <v>4035</v>
      </c>
    </row>
    <row r="1986" spans="1:4" ht="36" customHeight="1">
      <c r="A1986" s="26">
        <v>1981</v>
      </c>
      <c r="B1986" s="25" t="s">
        <v>6412</v>
      </c>
      <c r="C1986" s="8" t="s">
        <v>6413</v>
      </c>
      <c r="D1986" s="8" t="s">
        <v>4035</v>
      </c>
    </row>
    <row r="1987" spans="1:4" ht="36" customHeight="1">
      <c r="A1987" s="26">
        <v>1982</v>
      </c>
      <c r="B1987" s="25" t="s">
        <v>6414</v>
      </c>
      <c r="C1987" s="8" t="s">
        <v>6415</v>
      </c>
      <c r="D1987" s="8" t="s">
        <v>4035</v>
      </c>
    </row>
    <row r="1988" spans="1:4" ht="36" customHeight="1">
      <c r="A1988" s="26">
        <v>1983</v>
      </c>
      <c r="B1988" s="25" t="s">
        <v>6416</v>
      </c>
      <c r="C1988" s="8" t="s">
        <v>6417</v>
      </c>
      <c r="D1988" s="8" t="s">
        <v>4035</v>
      </c>
    </row>
    <row r="1989" spans="1:4" ht="36" customHeight="1">
      <c r="A1989" s="26">
        <v>1984</v>
      </c>
      <c r="B1989" s="25" t="s">
        <v>6418</v>
      </c>
      <c r="C1989" s="8" t="s">
        <v>6419</v>
      </c>
      <c r="D1989" s="8" t="s">
        <v>4035</v>
      </c>
    </row>
    <row r="1990" spans="1:4" ht="36" customHeight="1">
      <c r="A1990" s="26">
        <v>1985</v>
      </c>
      <c r="B1990" s="25" t="s">
        <v>6420</v>
      </c>
      <c r="C1990" s="8" t="s">
        <v>6421</v>
      </c>
      <c r="D1990" s="8" t="s">
        <v>4035</v>
      </c>
    </row>
    <row r="1991" spans="1:4" ht="36" customHeight="1">
      <c r="A1991" s="26">
        <v>1986</v>
      </c>
      <c r="B1991" s="25" t="s">
        <v>6422</v>
      </c>
      <c r="C1991" s="8" t="s">
        <v>6423</v>
      </c>
      <c r="D1991" s="8" t="s">
        <v>4035</v>
      </c>
    </row>
    <row r="1992" spans="1:4" ht="36" customHeight="1">
      <c r="A1992" s="26">
        <v>1987</v>
      </c>
      <c r="B1992" s="25" t="s">
        <v>6424</v>
      </c>
      <c r="C1992" s="8" t="s">
        <v>6425</v>
      </c>
      <c r="D1992" s="8" t="s">
        <v>4035</v>
      </c>
    </row>
    <row r="1993" spans="1:4" ht="36" customHeight="1">
      <c r="A1993" s="26">
        <v>1988</v>
      </c>
      <c r="B1993" s="25" t="s">
        <v>6426</v>
      </c>
      <c r="C1993" s="8" t="s">
        <v>6427</v>
      </c>
      <c r="D1993" s="8" t="s">
        <v>4035</v>
      </c>
    </row>
    <row r="1994" spans="1:4" ht="36" customHeight="1">
      <c r="A1994" s="26">
        <v>1989</v>
      </c>
      <c r="B1994" s="25" t="s">
        <v>6428</v>
      </c>
      <c r="C1994" s="8" t="s">
        <v>6429</v>
      </c>
      <c r="D1994" s="8" t="s">
        <v>4035</v>
      </c>
    </row>
    <row r="1995" spans="1:4" ht="36" customHeight="1">
      <c r="A1995" s="26">
        <v>1990</v>
      </c>
      <c r="B1995" s="25" t="s">
        <v>6430</v>
      </c>
      <c r="C1995" s="8" t="s">
        <v>6431</v>
      </c>
      <c r="D1995" s="8" t="s">
        <v>4035</v>
      </c>
    </row>
    <row r="1996" spans="1:4" ht="36" customHeight="1">
      <c r="A1996" s="26">
        <v>1991</v>
      </c>
      <c r="B1996" s="25" t="s">
        <v>6432</v>
      </c>
      <c r="C1996" s="8" t="s">
        <v>6433</v>
      </c>
      <c r="D1996" s="8" t="s">
        <v>4035</v>
      </c>
    </row>
    <row r="1997" spans="1:4" ht="36" customHeight="1">
      <c r="A1997" s="26">
        <v>1992</v>
      </c>
      <c r="B1997" s="25" t="s">
        <v>6434</v>
      </c>
      <c r="C1997" s="8" t="s">
        <v>6435</v>
      </c>
      <c r="D1997" s="8" t="s">
        <v>4035</v>
      </c>
    </row>
    <row r="1998" spans="1:4" ht="36" customHeight="1">
      <c r="A1998" s="26">
        <v>1993</v>
      </c>
      <c r="B1998" s="25" t="s">
        <v>6436</v>
      </c>
      <c r="C1998" s="8" t="s">
        <v>6437</v>
      </c>
      <c r="D1998" s="8" t="s">
        <v>4035</v>
      </c>
    </row>
    <row r="1999" spans="1:4" ht="36" customHeight="1">
      <c r="A1999" s="26">
        <v>1994</v>
      </c>
      <c r="B1999" s="25" t="s">
        <v>6438</v>
      </c>
      <c r="C1999" s="8" t="s">
        <v>6439</v>
      </c>
      <c r="D1999" s="8" t="s">
        <v>4035</v>
      </c>
    </row>
    <row r="2000" spans="1:4" ht="36" customHeight="1">
      <c r="A2000" s="26">
        <v>1995</v>
      </c>
      <c r="B2000" s="25" t="s">
        <v>6440</v>
      </c>
      <c r="C2000" s="8" t="s">
        <v>6441</v>
      </c>
      <c r="D2000" s="8" t="s">
        <v>4035</v>
      </c>
    </row>
    <row r="2001" spans="1:4" ht="36" customHeight="1">
      <c r="A2001" s="26">
        <v>1996</v>
      </c>
      <c r="B2001" s="25" t="s">
        <v>6442</v>
      </c>
      <c r="C2001" s="8" t="s">
        <v>6443</v>
      </c>
      <c r="D2001" s="8" t="s">
        <v>4035</v>
      </c>
    </row>
    <row r="2002" spans="1:4" ht="36" customHeight="1">
      <c r="A2002" s="26">
        <v>1997</v>
      </c>
      <c r="B2002" s="25" t="s">
        <v>6444</v>
      </c>
      <c r="C2002" s="8" t="s">
        <v>6445</v>
      </c>
      <c r="D2002" s="8" t="s">
        <v>4035</v>
      </c>
    </row>
    <row r="2003" spans="1:4" ht="36" customHeight="1">
      <c r="A2003" s="26">
        <v>1998</v>
      </c>
      <c r="B2003" s="25" t="s">
        <v>6446</v>
      </c>
      <c r="C2003" s="8" t="s">
        <v>6447</v>
      </c>
      <c r="D2003" s="8" t="s">
        <v>4035</v>
      </c>
    </row>
    <row r="2004" spans="1:4" ht="36" customHeight="1">
      <c r="A2004" s="26">
        <v>1999</v>
      </c>
      <c r="B2004" s="25" t="s">
        <v>6448</v>
      </c>
      <c r="C2004" s="8" t="s">
        <v>6449</v>
      </c>
      <c r="D2004" s="8" t="s">
        <v>4035</v>
      </c>
    </row>
    <row r="2005" spans="1:4" ht="36" customHeight="1">
      <c r="A2005" s="26">
        <v>2000</v>
      </c>
      <c r="B2005" s="25" t="s">
        <v>6450</v>
      </c>
      <c r="C2005" s="8" t="s">
        <v>6451</v>
      </c>
      <c r="D2005" s="8" t="s">
        <v>4035</v>
      </c>
    </row>
    <row r="2006" spans="1:4" ht="36" customHeight="1">
      <c r="A2006" s="26">
        <v>2001</v>
      </c>
      <c r="B2006" s="25" t="s">
        <v>6452</v>
      </c>
      <c r="C2006" s="8" t="s">
        <v>6453</v>
      </c>
      <c r="D2006" s="8" t="s">
        <v>4035</v>
      </c>
    </row>
    <row r="2007" spans="1:4" ht="36" customHeight="1">
      <c r="A2007" s="26">
        <v>2002</v>
      </c>
      <c r="B2007" s="25" t="s">
        <v>6454</v>
      </c>
      <c r="C2007" s="8" t="s">
        <v>6455</v>
      </c>
      <c r="D2007" s="8" t="s">
        <v>4035</v>
      </c>
    </row>
    <row r="2008" spans="1:4" ht="36" customHeight="1">
      <c r="A2008" s="26">
        <v>2003</v>
      </c>
      <c r="B2008" s="25" t="s">
        <v>6456</v>
      </c>
      <c r="C2008" s="8" t="s">
        <v>6457</v>
      </c>
      <c r="D2008" s="8" t="s">
        <v>4035</v>
      </c>
    </row>
    <row r="2009" spans="1:4" ht="36" customHeight="1">
      <c r="A2009" s="26">
        <v>2004</v>
      </c>
      <c r="B2009" s="25" t="s">
        <v>6458</v>
      </c>
      <c r="C2009" s="8" t="s">
        <v>6459</v>
      </c>
      <c r="D2009" s="8" t="s">
        <v>4035</v>
      </c>
    </row>
    <row r="2010" spans="1:4" ht="36" customHeight="1">
      <c r="A2010" s="26">
        <v>2005</v>
      </c>
      <c r="B2010" s="25" t="s">
        <v>6460</v>
      </c>
      <c r="C2010" s="8" t="s">
        <v>6461</v>
      </c>
      <c r="D2010" s="8" t="s">
        <v>4035</v>
      </c>
    </row>
    <row r="2011" spans="1:4" ht="36" customHeight="1">
      <c r="A2011" s="26">
        <v>2006</v>
      </c>
      <c r="B2011" s="25" t="s">
        <v>6462</v>
      </c>
      <c r="C2011" s="8" t="s">
        <v>6463</v>
      </c>
      <c r="D2011" s="8" t="s">
        <v>4035</v>
      </c>
    </row>
    <row r="2012" spans="1:4" ht="36" customHeight="1">
      <c r="A2012" s="26">
        <v>2007</v>
      </c>
      <c r="B2012" s="25" t="s">
        <v>6464</v>
      </c>
      <c r="C2012" s="8" t="s">
        <v>6465</v>
      </c>
      <c r="D2012" s="8" t="s">
        <v>4035</v>
      </c>
    </row>
    <row r="2013" spans="1:4" ht="36" customHeight="1">
      <c r="A2013" s="26">
        <v>2008</v>
      </c>
      <c r="B2013" s="25" t="s">
        <v>6466</v>
      </c>
      <c r="C2013" s="8" t="s">
        <v>6467</v>
      </c>
      <c r="D2013" s="8" t="s">
        <v>4035</v>
      </c>
    </row>
    <row r="2014" spans="1:4" ht="36" customHeight="1">
      <c r="A2014" s="26">
        <v>2009</v>
      </c>
      <c r="B2014" s="25" t="s">
        <v>6468</v>
      </c>
      <c r="C2014" s="8" t="s">
        <v>6469</v>
      </c>
      <c r="D2014" s="8" t="s">
        <v>4035</v>
      </c>
    </row>
    <row r="2015" spans="1:4" ht="36" customHeight="1">
      <c r="A2015" s="26">
        <v>2010</v>
      </c>
      <c r="B2015" s="25" t="s">
        <v>6470</v>
      </c>
      <c r="C2015" s="8" t="s">
        <v>6471</v>
      </c>
      <c r="D2015" s="8" t="s">
        <v>4035</v>
      </c>
    </row>
    <row r="2016" spans="1:4" ht="36" customHeight="1">
      <c r="A2016" s="26">
        <v>2011</v>
      </c>
      <c r="B2016" s="25" t="s">
        <v>6472</v>
      </c>
      <c r="C2016" s="8" t="s">
        <v>6473</v>
      </c>
      <c r="D2016" s="8" t="s">
        <v>4035</v>
      </c>
    </row>
    <row r="2017" spans="1:4" ht="36" customHeight="1">
      <c r="A2017" s="26">
        <v>2012</v>
      </c>
      <c r="B2017" s="25" t="s">
        <v>6474</v>
      </c>
      <c r="C2017" s="8" t="s">
        <v>6475</v>
      </c>
      <c r="D2017" s="8" t="s">
        <v>4035</v>
      </c>
    </row>
    <row r="2018" spans="1:4" ht="36" customHeight="1">
      <c r="A2018" s="26">
        <v>2013</v>
      </c>
      <c r="B2018" s="25" t="s">
        <v>6476</v>
      </c>
      <c r="C2018" s="8" t="s">
        <v>6477</v>
      </c>
      <c r="D2018" s="8" t="s">
        <v>4035</v>
      </c>
    </row>
    <row r="2019" spans="1:4" ht="36" customHeight="1">
      <c r="A2019" s="26">
        <v>2014</v>
      </c>
      <c r="B2019" s="25" t="s">
        <v>6478</v>
      </c>
      <c r="C2019" s="8" t="s">
        <v>6479</v>
      </c>
      <c r="D2019" s="8" t="s">
        <v>4035</v>
      </c>
    </row>
    <row r="2020" spans="1:4" ht="36" customHeight="1">
      <c r="A2020" s="26">
        <v>2015</v>
      </c>
      <c r="B2020" s="25" t="s">
        <v>6480</v>
      </c>
      <c r="C2020" s="8" t="s">
        <v>6481</v>
      </c>
      <c r="D2020" s="8" t="s">
        <v>4035</v>
      </c>
    </row>
    <row r="2021" spans="1:4" ht="36" customHeight="1">
      <c r="A2021" s="26">
        <v>2016</v>
      </c>
      <c r="B2021" s="25" t="s">
        <v>6482</v>
      </c>
      <c r="C2021" s="8" t="s">
        <v>6483</v>
      </c>
      <c r="D2021" s="8" t="s">
        <v>4035</v>
      </c>
    </row>
    <row r="2022" spans="1:4" ht="36" customHeight="1">
      <c r="A2022" s="26">
        <v>2017</v>
      </c>
      <c r="B2022" s="25" t="s">
        <v>6484</v>
      </c>
      <c r="C2022" s="8" t="s">
        <v>6485</v>
      </c>
      <c r="D2022" s="8" t="s">
        <v>4035</v>
      </c>
    </row>
    <row r="2023" spans="1:4" ht="36" customHeight="1">
      <c r="A2023" s="26">
        <v>2018</v>
      </c>
      <c r="B2023" s="25" t="s">
        <v>6486</v>
      </c>
      <c r="C2023" s="8" t="s">
        <v>6487</v>
      </c>
      <c r="D2023" s="8" t="s">
        <v>4035</v>
      </c>
    </row>
    <row r="2024" spans="1:4" ht="36" customHeight="1">
      <c r="A2024" s="26">
        <v>2019</v>
      </c>
      <c r="B2024" s="25" t="s">
        <v>6488</v>
      </c>
      <c r="C2024" s="8" t="s">
        <v>6489</v>
      </c>
      <c r="D2024" s="8" t="s">
        <v>4035</v>
      </c>
    </row>
    <row r="2025" spans="1:4" ht="36" customHeight="1">
      <c r="A2025" s="26">
        <v>2020</v>
      </c>
      <c r="B2025" s="25" t="s">
        <v>6490</v>
      </c>
      <c r="C2025" s="8" t="s">
        <v>6491</v>
      </c>
      <c r="D2025" s="8" t="s">
        <v>4035</v>
      </c>
    </row>
    <row r="2026" spans="1:4" ht="36" customHeight="1">
      <c r="A2026" s="26">
        <v>2021</v>
      </c>
      <c r="B2026" s="25" t="s">
        <v>6492</v>
      </c>
      <c r="C2026" s="8" t="s">
        <v>6493</v>
      </c>
      <c r="D2026" s="8" t="s">
        <v>4035</v>
      </c>
    </row>
    <row r="2027" spans="1:4" ht="36" customHeight="1">
      <c r="A2027" s="26">
        <v>2022</v>
      </c>
      <c r="B2027" s="25" t="s">
        <v>6494</v>
      </c>
      <c r="C2027" s="8" t="s">
        <v>6495</v>
      </c>
      <c r="D2027" s="8" t="s">
        <v>4035</v>
      </c>
    </row>
    <row r="2028" spans="1:4" ht="36" customHeight="1">
      <c r="A2028" s="26">
        <v>2023</v>
      </c>
      <c r="B2028" s="25" t="s">
        <v>6496</v>
      </c>
      <c r="C2028" s="8" t="s">
        <v>6497</v>
      </c>
      <c r="D2028" s="8" t="s">
        <v>4035</v>
      </c>
    </row>
    <row r="2029" spans="1:4" ht="36" customHeight="1">
      <c r="A2029" s="26">
        <v>2024</v>
      </c>
      <c r="B2029" s="25" t="s">
        <v>6498</v>
      </c>
      <c r="C2029" s="8" t="s">
        <v>6499</v>
      </c>
      <c r="D2029" s="8" t="s">
        <v>4035</v>
      </c>
    </row>
    <row r="2030" spans="1:4" ht="36" customHeight="1">
      <c r="A2030" s="26">
        <v>2025</v>
      </c>
      <c r="B2030" s="25" t="s">
        <v>6500</v>
      </c>
      <c r="C2030" s="8" t="s">
        <v>6501</v>
      </c>
      <c r="D2030" s="8" t="s">
        <v>4035</v>
      </c>
    </row>
    <row r="2031" spans="1:4" ht="36" customHeight="1">
      <c r="A2031" s="26">
        <v>2026</v>
      </c>
      <c r="B2031" s="25" t="s">
        <v>6502</v>
      </c>
      <c r="C2031" s="8" t="s">
        <v>6503</v>
      </c>
      <c r="D2031" s="8" t="s">
        <v>4035</v>
      </c>
    </row>
    <row r="2032" spans="1:4" ht="36" customHeight="1">
      <c r="A2032" s="26">
        <v>2027</v>
      </c>
      <c r="B2032" s="25" t="s">
        <v>6504</v>
      </c>
      <c r="C2032" s="8" t="s">
        <v>6505</v>
      </c>
      <c r="D2032" s="8" t="s">
        <v>4035</v>
      </c>
    </row>
    <row r="2033" spans="1:4" ht="36" customHeight="1">
      <c r="A2033" s="26">
        <v>2028</v>
      </c>
      <c r="B2033" s="25" t="s">
        <v>6506</v>
      </c>
      <c r="C2033" s="8" t="s">
        <v>6507</v>
      </c>
      <c r="D2033" s="8" t="s">
        <v>4035</v>
      </c>
    </row>
    <row r="2034" spans="1:4" ht="36" customHeight="1">
      <c r="A2034" s="26">
        <v>2029</v>
      </c>
      <c r="B2034" s="25" t="s">
        <v>6508</v>
      </c>
      <c r="C2034" s="8" t="s">
        <v>6509</v>
      </c>
      <c r="D2034" s="8" t="s">
        <v>4035</v>
      </c>
    </row>
    <row r="2035" spans="1:4" ht="36" customHeight="1">
      <c r="A2035" s="26">
        <v>2030</v>
      </c>
      <c r="B2035" s="25" t="s">
        <v>6510</v>
      </c>
      <c r="C2035" s="8" t="s">
        <v>6511</v>
      </c>
      <c r="D2035" s="8" t="s">
        <v>4035</v>
      </c>
    </row>
    <row r="2036" spans="1:4" ht="36" customHeight="1">
      <c r="A2036" s="26">
        <v>2031</v>
      </c>
      <c r="B2036" s="25" t="s">
        <v>6512</v>
      </c>
      <c r="C2036" s="8" t="s">
        <v>6513</v>
      </c>
      <c r="D2036" s="8" t="s">
        <v>4035</v>
      </c>
    </row>
    <row r="2037" spans="1:4" ht="36" customHeight="1">
      <c r="A2037" s="26">
        <v>2032</v>
      </c>
      <c r="B2037" s="25" t="s">
        <v>6514</v>
      </c>
      <c r="C2037" s="8" t="s">
        <v>6515</v>
      </c>
      <c r="D2037" s="8" t="s">
        <v>4035</v>
      </c>
    </row>
    <row r="2038" spans="1:4" ht="36" customHeight="1">
      <c r="A2038" s="26">
        <v>2033</v>
      </c>
      <c r="B2038" s="25" t="s">
        <v>6516</v>
      </c>
      <c r="C2038" s="8" t="s">
        <v>6517</v>
      </c>
      <c r="D2038" s="8" t="s">
        <v>4035</v>
      </c>
    </row>
    <row r="2039" spans="1:4" ht="36" customHeight="1">
      <c r="A2039" s="26">
        <v>2034</v>
      </c>
      <c r="B2039" s="25" t="s">
        <v>6518</v>
      </c>
      <c r="C2039" s="8" t="s">
        <v>6519</v>
      </c>
      <c r="D2039" s="8" t="s">
        <v>4035</v>
      </c>
    </row>
    <row r="2040" spans="1:4" ht="36" customHeight="1">
      <c r="A2040" s="26">
        <v>2035</v>
      </c>
      <c r="B2040" s="25" t="s">
        <v>6520</v>
      </c>
      <c r="C2040" s="8" t="s">
        <v>6521</v>
      </c>
      <c r="D2040" s="8" t="s">
        <v>4035</v>
      </c>
    </row>
    <row r="2041" spans="1:4" ht="36" customHeight="1">
      <c r="A2041" s="26">
        <v>2036</v>
      </c>
      <c r="B2041" s="25" t="s">
        <v>6522</v>
      </c>
      <c r="C2041" s="8" t="s">
        <v>6523</v>
      </c>
      <c r="D2041" s="8" t="s">
        <v>4035</v>
      </c>
    </row>
    <row r="2042" spans="1:4" ht="36" customHeight="1">
      <c r="A2042" s="26">
        <v>2037</v>
      </c>
      <c r="B2042" s="25" t="s">
        <v>6524</v>
      </c>
      <c r="C2042" s="8" t="s">
        <v>6525</v>
      </c>
      <c r="D2042" s="8" t="s">
        <v>4035</v>
      </c>
    </row>
    <row r="2043" spans="1:4" ht="36" customHeight="1">
      <c r="A2043" s="26">
        <v>2038</v>
      </c>
      <c r="B2043" s="25" t="s">
        <v>6526</v>
      </c>
      <c r="C2043" s="8" t="s">
        <v>6527</v>
      </c>
      <c r="D2043" s="8" t="s">
        <v>4035</v>
      </c>
    </row>
    <row r="2044" spans="1:4" ht="36" customHeight="1">
      <c r="A2044" s="26">
        <v>2039</v>
      </c>
      <c r="B2044" s="25" t="s">
        <v>6528</v>
      </c>
      <c r="C2044" s="8" t="s">
        <v>6529</v>
      </c>
      <c r="D2044" s="8" t="s">
        <v>4035</v>
      </c>
    </row>
    <row r="2045" spans="1:4" ht="36" customHeight="1">
      <c r="A2045" s="26">
        <v>2040</v>
      </c>
      <c r="B2045" s="25" t="s">
        <v>6530</v>
      </c>
      <c r="C2045" s="8" t="s">
        <v>6531</v>
      </c>
      <c r="D2045" s="8" t="s">
        <v>4035</v>
      </c>
    </row>
    <row r="2046" spans="1:4" ht="36" customHeight="1">
      <c r="A2046" s="26">
        <v>2041</v>
      </c>
      <c r="B2046" s="25" t="s">
        <v>6532</v>
      </c>
      <c r="C2046" s="8" t="s">
        <v>6533</v>
      </c>
      <c r="D2046" s="8" t="s">
        <v>4035</v>
      </c>
    </row>
    <row r="2047" spans="1:4" ht="36" customHeight="1">
      <c r="A2047" s="26">
        <v>2042</v>
      </c>
      <c r="B2047" s="25" t="s">
        <v>6534</v>
      </c>
      <c r="C2047" s="8" t="s">
        <v>6535</v>
      </c>
      <c r="D2047" s="8" t="s">
        <v>4035</v>
      </c>
    </row>
    <row r="2048" spans="1:4" ht="36" customHeight="1">
      <c r="A2048" s="26">
        <v>2043</v>
      </c>
      <c r="B2048" s="25" t="s">
        <v>6536</v>
      </c>
      <c r="C2048" s="8" t="s">
        <v>6537</v>
      </c>
      <c r="D2048" s="8" t="s">
        <v>4035</v>
      </c>
    </row>
    <row r="2049" spans="1:4" ht="36" customHeight="1">
      <c r="A2049" s="26">
        <v>2044</v>
      </c>
      <c r="B2049" s="25" t="s">
        <v>6538</v>
      </c>
      <c r="C2049" s="8" t="s">
        <v>6539</v>
      </c>
      <c r="D2049" s="8" t="s">
        <v>4035</v>
      </c>
    </row>
    <row r="2050" spans="1:4" ht="36" customHeight="1">
      <c r="A2050" s="26">
        <v>2045</v>
      </c>
      <c r="B2050" s="25" t="s">
        <v>6540</v>
      </c>
      <c r="C2050" s="8" t="s">
        <v>6541</v>
      </c>
      <c r="D2050" s="8" t="s">
        <v>4035</v>
      </c>
    </row>
    <row r="2051" spans="1:4" ht="36" customHeight="1">
      <c r="A2051" s="26">
        <v>2046</v>
      </c>
      <c r="B2051" s="25" t="s">
        <v>6542</v>
      </c>
      <c r="C2051" s="8" t="s">
        <v>6543</v>
      </c>
      <c r="D2051" s="8" t="s">
        <v>4035</v>
      </c>
    </row>
    <row r="2052" spans="1:4" ht="36" customHeight="1">
      <c r="A2052" s="26">
        <v>2047</v>
      </c>
      <c r="B2052" s="25" t="s">
        <v>6544</v>
      </c>
      <c r="C2052" s="8" t="s">
        <v>6545</v>
      </c>
      <c r="D2052" s="8" t="s">
        <v>4035</v>
      </c>
    </row>
    <row r="2053" spans="1:4" ht="36" customHeight="1">
      <c r="A2053" s="26">
        <v>2048</v>
      </c>
      <c r="B2053" s="25" t="s">
        <v>6546</v>
      </c>
      <c r="C2053" s="8" t="s">
        <v>6547</v>
      </c>
      <c r="D2053" s="8" t="s">
        <v>4035</v>
      </c>
    </row>
    <row r="2054" spans="1:4" ht="36" customHeight="1">
      <c r="A2054" s="26">
        <v>2049</v>
      </c>
      <c r="B2054" s="25" t="s">
        <v>6548</v>
      </c>
      <c r="C2054" s="8" t="s">
        <v>6549</v>
      </c>
      <c r="D2054" s="8" t="s">
        <v>4035</v>
      </c>
    </row>
    <row r="2055" spans="1:4" ht="36" customHeight="1">
      <c r="A2055" s="26">
        <v>2050</v>
      </c>
      <c r="B2055" s="25" t="s">
        <v>6550</v>
      </c>
      <c r="C2055" s="8" t="s">
        <v>6551</v>
      </c>
      <c r="D2055" s="8" t="s">
        <v>4035</v>
      </c>
    </row>
    <row r="2056" spans="1:4" ht="36" customHeight="1">
      <c r="A2056" s="26">
        <v>2051</v>
      </c>
      <c r="B2056" s="25" t="s">
        <v>6552</v>
      </c>
      <c r="C2056" s="8" t="s">
        <v>6553</v>
      </c>
      <c r="D2056" s="8" t="s">
        <v>4035</v>
      </c>
    </row>
    <row r="2057" spans="1:4" ht="36" customHeight="1">
      <c r="A2057" s="26">
        <v>2052</v>
      </c>
      <c r="B2057" s="25" t="s">
        <v>6554</v>
      </c>
      <c r="C2057" s="8" t="s">
        <v>6555</v>
      </c>
      <c r="D2057" s="8" t="s">
        <v>4035</v>
      </c>
    </row>
    <row r="2058" spans="1:4" ht="36" customHeight="1">
      <c r="A2058" s="26">
        <v>2053</v>
      </c>
      <c r="B2058" s="25" t="s">
        <v>6556</v>
      </c>
      <c r="C2058" s="8" t="s">
        <v>6557</v>
      </c>
      <c r="D2058" s="8" t="s">
        <v>4035</v>
      </c>
    </row>
    <row r="2059" spans="1:4" ht="36" customHeight="1">
      <c r="A2059" s="26">
        <v>2054</v>
      </c>
      <c r="B2059" s="25" t="s">
        <v>6558</v>
      </c>
      <c r="C2059" s="8" t="s">
        <v>6559</v>
      </c>
      <c r="D2059" s="8" t="s">
        <v>4035</v>
      </c>
    </row>
    <row r="2060" spans="1:4" ht="36" customHeight="1">
      <c r="A2060" s="26">
        <v>2055</v>
      </c>
      <c r="B2060" s="25" t="s">
        <v>6560</v>
      </c>
      <c r="C2060" s="8" t="s">
        <v>6561</v>
      </c>
      <c r="D2060" s="8" t="s">
        <v>4035</v>
      </c>
    </row>
    <row r="2061" spans="1:4" ht="36" customHeight="1">
      <c r="A2061" s="26">
        <v>2056</v>
      </c>
      <c r="B2061" s="25" t="s">
        <v>6562</v>
      </c>
      <c r="C2061" s="8" t="s">
        <v>6563</v>
      </c>
      <c r="D2061" s="8" t="s">
        <v>4035</v>
      </c>
    </row>
    <row r="2062" spans="1:4" ht="36" customHeight="1">
      <c r="A2062" s="26">
        <v>2057</v>
      </c>
      <c r="B2062" s="25" t="s">
        <v>6564</v>
      </c>
      <c r="C2062" s="8" t="s">
        <v>6565</v>
      </c>
      <c r="D2062" s="8" t="s">
        <v>4035</v>
      </c>
    </row>
    <row r="2063" spans="1:4" ht="36" customHeight="1">
      <c r="A2063" s="26">
        <v>2058</v>
      </c>
      <c r="B2063" s="25" t="s">
        <v>6566</v>
      </c>
      <c r="C2063" s="8" t="s">
        <v>6567</v>
      </c>
      <c r="D2063" s="8" t="s">
        <v>4035</v>
      </c>
    </row>
    <row r="2064" spans="1:4" ht="36" customHeight="1">
      <c r="A2064" s="26">
        <v>2059</v>
      </c>
      <c r="B2064" s="25" t="s">
        <v>6568</v>
      </c>
      <c r="C2064" s="8" t="s">
        <v>6569</v>
      </c>
      <c r="D2064" s="8" t="s">
        <v>4035</v>
      </c>
    </row>
    <row r="2065" spans="1:4" ht="36" customHeight="1">
      <c r="A2065" s="26">
        <v>2060</v>
      </c>
      <c r="B2065" s="25" t="s">
        <v>6570</v>
      </c>
      <c r="C2065" s="8" t="s">
        <v>6571</v>
      </c>
      <c r="D2065" s="8" t="s">
        <v>4035</v>
      </c>
    </row>
    <row r="2066" spans="1:4" ht="36" customHeight="1">
      <c r="A2066" s="26">
        <v>2061</v>
      </c>
      <c r="B2066" s="25" t="s">
        <v>6572</v>
      </c>
      <c r="C2066" s="8" t="s">
        <v>6573</v>
      </c>
      <c r="D2066" s="8" t="s">
        <v>4035</v>
      </c>
    </row>
    <row r="2067" spans="1:4" ht="36" customHeight="1">
      <c r="A2067" s="26">
        <v>2062</v>
      </c>
      <c r="B2067" s="25" t="s">
        <v>6574</v>
      </c>
      <c r="C2067" s="8" t="s">
        <v>6575</v>
      </c>
      <c r="D2067" s="8" t="s">
        <v>4035</v>
      </c>
    </row>
    <row r="2068" spans="1:4" ht="36" customHeight="1">
      <c r="A2068" s="26">
        <v>2063</v>
      </c>
      <c r="B2068" s="25" t="s">
        <v>6576</v>
      </c>
      <c r="C2068" s="8" t="s">
        <v>6577</v>
      </c>
      <c r="D2068" s="8" t="s">
        <v>4035</v>
      </c>
    </row>
    <row r="2069" spans="1:4" ht="36" customHeight="1">
      <c r="A2069" s="26">
        <v>2064</v>
      </c>
      <c r="B2069" s="25" t="s">
        <v>6578</v>
      </c>
      <c r="C2069" s="8" t="s">
        <v>6579</v>
      </c>
      <c r="D2069" s="8" t="s">
        <v>4035</v>
      </c>
    </row>
    <row r="2070" spans="1:4" ht="36" customHeight="1">
      <c r="A2070" s="26">
        <v>2065</v>
      </c>
      <c r="B2070" s="25" t="s">
        <v>6580</v>
      </c>
      <c r="C2070" s="8" t="s">
        <v>6581</v>
      </c>
      <c r="D2070" s="8" t="s">
        <v>4035</v>
      </c>
    </row>
    <row r="2071" spans="1:4" ht="36" customHeight="1">
      <c r="A2071" s="26">
        <v>2066</v>
      </c>
      <c r="B2071" s="25" t="s">
        <v>6582</v>
      </c>
      <c r="C2071" s="8" t="s">
        <v>6583</v>
      </c>
      <c r="D2071" s="8" t="s">
        <v>4035</v>
      </c>
    </row>
    <row r="2072" spans="1:4" ht="36" customHeight="1">
      <c r="A2072" s="26">
        <v>2067</v>
      </c>
      <c r="B2072" s="25" t="s">
        <v>6584</v>
      </c>
      <c r="C2072" s="8" t="s">
        <v>6585</v>
      </c>
      <c r="D2072" s="8" t="s">
        <v>4035</v>
      </c>
    </row>
    <row r="2073" spans="1:4" ht="36" customHeight="1">
      <c r="A2073" s="26">
        <v>2068</v>
      </c>
      <c r="B2073" s="25" t="s">
        <v>6586</v>
      </c>
      <c r="C2073" s="8" t="s">
        <v>6587</v>
      </c>
      <c r="D2073" s="8" t="s">
        <v>4035</v>
      </c>
    </row>
    <row r="2074" spans="1:4" ht="36" customHeight="1">
      <c r="A2074" s="26">
        <v>2069</v>
      </c>
      <c r="B2074" s="25" t="s">
        <v>6588</v>
      </c>
      <c r="C2074" s="8" t="s">
        <v>6589</v>
      </c>
      <c r="D2074" s="8" t="s">
        <v>4035</v>
      </c>
    </row>
    <row r="2075" spans="1:4" ht="36" customHeight="1">
      <c r="A2075" s="26">
        <v>2070</v>
      </c>
      <c r="B2075" s="25" t="s">
        <v>6590</v>
      </c>
      <c r="C2075" s="8" t="s">
        <v>6591</v>
      </c>
      <c r="D2075" s="8" t="s">
        <v>4035</v>
      </c>
    </row>
    <row r="2076" spans="1:4" ht="36" customHeight="1">
      <c r="A2076" s="26">
        <v>2071</v>
      </c>
      <c r="B2076" s="25" t="s">
        <v>6592</v>
      </c>
      <c r="C2076" s="8" t="s">
        <v>6593</v>
      </c>
      <c r="D2076" s="8" t="s">
        <v>4035</v>
      </c>
    </row>
    <row r="2077" spans="1:4" ht="36" customHeight="1">
      <c r="A2077" s="26">
        <v>2072</v>
      </c>
      <c r="B2077" s="25" t="s">
        <v>6594</v>
      </c>
      <c r="C2077" s="8" t="s">
        <v>6595</v>
      </c>
      <c r="D2077" s="8" t="s">
        <v>4035</v>
      </c>
    </row>
    <row r="2078" spans="1:4" ht="36" customHeight="1">
      <c r="A2078" s="26">
        <v>2073</v>
      </c>
      <c r="B2078" s="25" t="s">
        <v>6596</v>
      </c>
      <c r="C2078" s="8" t="s">
        <v>6597</v>
      </c>
      <c r="D2078" s="8" t="s">
        <v>4035</v>
      </c>
    </row>
    <row r="2079" spans="1:4" ht="36" customHeight="1">
      <c r="A2079" s="26">
        <v>2074</v>
      </c>
      <c r="B2079" s="25" t="s">
        <v>6598</v>
      </c>
      <c r="C2079" s="8" t="s">
        <v>6599</v>
      </c>
      <c r="D2079" s="8" t="s">
        <v>4035</v>
      </c>
    </row>
    <row r="2080" spans="1:4" ht="36" customHeight="1">
      <c r="A2080" s="26">
        <v>2075</v>
      </c>
      <c r="B2080" s="25" t="s">
        <v>6600</v>
      </c>
      <c r="C2080" s="8" t="s">
        <v>6601</v>
      </c>
      <c r="D2080" s="8" t="s">
        <v>4035</v>
      </c>
    </row>
    <row r="2081" spans="1:4" ht="36" customHeight="1">
      <c r="A2081" s="26">
        <v>2076</v>
      </c>
      <c r="B2081" s="25" t="s">
        <v>6602</v>
      </c>
      <c r="C2081" s="8" t="s">
        <v>6603</v>
      </c>
      <c r="D2081" s="8" t="s">
        <v>4035</v>
      </c>
    </row>
    <row r="2082" spans="1:4" ht="36" customHeight="1">
      <c r="A2082" s="26">
        <v>2077</v>
      </c>
      <c r="B2082" s="25" t="s">
        <v>6604</v>
      </c>
      <c r="C2082" s="8" t="s">
        <v>6605</v>
      </c>
      <c r="D2082" s="8" t="s">
        <v>4035</v>
      </c>
    </row>
    <row r="2083" spans="1:4" ht="36" customHeight="1">
      <c r="A2083" s="26">
        <v>2078</v>
      </c>
      <c r="B2083" s="25" t="s">
        <v>6606</v>
      </c>
      <c r="C2083" s="8" t="s">
        <v>6607</v>
      </c>
      <c r="D2083" s="8" t="s">
        <v>4035</v>
      </c>
    </row>
    <row r="2084" spans="1:4" ht="36" customHeight="1">
      <c r="A2084" s="26">
        <v>2079</v>
      </c>
      <c r="B2084" s="25" t="s">
        <v>6608</v>
      </c>
      <c r="C2084" s="8" t="s">
        <v>6609</v>
      </c>
      <c r="D2084" s="8" t="s">
        <v>4035</v>
      </c>
    </row>
    <row r="2085" spans="1:4" ht="36" customHeight="1">
      <c r="A2085" s="26">
        <v>2080</v>
      </c>
      <c r="B2085" s="25" t="s">
        <v>6610</v>
      </c>
      <c r="C2085" s="8" t="s">
        <v>6611</v>
      </c>
      <c r="D2085" s="8" t="s">
        <v>4035</v>
      </c>
    </row>
    <row r="2086" spans="1:4" ht="36" customHeight="1">
      <c r="A2086" s="26">
        <v>2081</v>
      </c>
      <c r="B2086" s="25" t="s">
        <v>6612</v>
      </c>
      <c r="C2086" s="8" t="s">
        <v>6613</v>
      </c>
      <c r="D2086" s="8" t="s">
        <v>4035</v>
      </c>
    </row>
    <row r="2087" spans="1:4" ht="36" customHeight="1">
      <c r="A2087" s="26">
        <v>2082</v>
      </c>
      <c r="B2087" s="25" t="s">
        <v>6614</v>
      </c>
      <c r="C2087" s="8" t="s">
        <v>6615</v>
      </c>
      <c r="D2087" s="8" t="s">
        <v>4035</v>
      </c>
    </row>
    <row r="2088" spans="1:4" ht="36" customHeight="1">
      <c r="A2088" s="26">
        <v>2083</v>
      </c>
      <c r="B2088" s="25" t="s">
        <v>6616</v>
      </c>
      <c r="C2088" s="8" t="s">
        <v>6617</v>
      </c>
      <c r="D2088" s="8" t="s">
        <v>4035</v>
      </c>
    </row>
    <row r="2089" spans="1:4" ht="36" customHeight="1">
      <c r="A2089" s="26">
        <v>2084</v>
      </c>
      <c r="B2089" s="25" t="s">
        <v>6618</v>
      </c>
      <c r="C2089" s="8" t="s">
        <v>6619</v>
      </c>
      <c r="D2089" s="8" t="s">
        <v>4035</v>
      </c>
    </row>
    <row r="2090" spans="1:4" ht="36" customHeight="1">
      <c r="A2090" s="26">
        <v>2085</v>
      </c>
      <c r="B2090" s="25" t="s">
        <v>6620</v>
      </c>
      <c r="C2090" s="8" t="s">
        <v>6621</v>
      </c>
      <c r="D2090" s="8" t="s">
        <v>4035</v>
      </c>
    </row>
    <row r="2091" spans="1:4" ht="36" customHeight="1">
      <c r="A2091" s="26">
        <v>2086</v>
      </c>
      <c r="B2091" s="25" t="s">
        <v>6622</v>
      </c>
      <c r="C2091" s="8" t="s">
        <v>6623</v>
      </c>
      <c r="D2091" s="8" t="s">
        <v>4035</v>
      </c>
    </row>
    <row r="2092" spans="1:4" ht="36" customHeight="1">
      <c r="A2092" s="26">
        <v>2087</v>
      </c>
      <c r="B2092" s="25" t="s">
        <v>6624</v>
      </c>
      <c r="C2092" s="8" t="s">
        <v>6625</v>
      </c>
      <c r="D2092" s="8" t="s">
        <v>4035</v>
      </c>
    </row>
    <row r="2093" spans="1:4" ht="36" customHeight="1">
      <c r="A2093" s="26">
        <v>2088</v>
      </c>
      <c r="B2093" s="25" t="s">
        <v>6626</v>
      </c>
      <c r="C2093" s="8" t="s">
        <v>6627</v>
      </c>
      <c r="D2093" s="8" t="s">
        <v>4035</v>
      </c>
    </row>
    <row r="2094" spans="1:4" ht="36" customHeight="1">
      <c r="A2094" s="26">
        <v>2089</v>
      </c>
      <c r="B2094" s="25" t="s">
        <v>6628</v>
      </c>
      <c r="C2094" s="8" t="s">
        <v>6629</v>
      </c>
      <c r="D2094" s="8" t="s">
        <v>4035</v>
      </c>
    </row>
    <row r="2095" spans="1:4" ht="36" customHeight="1">
      <c r="A2095" s="26">
        <v>2090</v>
      </c>
      <c r="B2095" s="25" t="s">
        <v>6630</v>
      </c>
      <c r="C2095" s="8" t="s">
        <v>6631</v>
      </c>
      <c r="D2095" s="8" t="s">
        <v>4035</v>
      </c>
    </row>
    <row r="2096" spans="1:4" ht="36" customHeight="1">
      <c r="A2096" s="26">
        <v>2091</v>
      </c>
      <c r="B2096" s="25" t="s">
        <v>6632</v>
      </c>
      <c r="C2096" s="8" t="s">
        <v>6633</v>
      </c>
      <c r="D2096" s="8" t="s">
        <v>4035</v>
      </c>
    </row>
    <row r="2097" spans="1:4" ht="36" customHeight="1">
      <c r="A2097" s="26">
        <v>2092</v>
      </c>
      <c r="B2097" s="25" t="s">
        <v>6634</v>
      </c>
      <c r="C2097" s="8" t="s">
        <v>6635</v>
      </c>
      <c r="D2097" s="8" t="s">
        <v>4035</v>
      </c>
    </row>
    <row r="2098" spans="1:4" ht="36" customHeight="1">
      <c r="A2098" s="26">
        <v>2093</v>
      </c>
      <c r="B2098" s="25" t="s">
        <v>6636</v>
      </c>
      <c r="C2098" s="8" t="s">
        <v>6637</v>
      </c>
      <c r="D2098" s="8" t="s">
        <v>4035</v>
      </c>
    </row>
    <row r="2099" spans="1:4" ht="36" customHeight="1">
      <c r="A2099" s="26">
        <v>2094</v>
      </c>
      <c r="B2099" s="25" t="s">
        <v>6638</v>
      </c>
      <c r="C2099" s="8" t="s">
        <v>6639</v>
      </c>
      <c r="D2099" s="8" t="s">
        <v>4035</v>
      </c>
    </row>
    <row r="2100" spans="1:4" ht="36" customHeight="1">
      <c r="A2100" s="26">
        <v>2095</v>
      </c>
      <c r="B2100" s="25" t="s">
        <v>6640</v>
      </c>
      <c r="C2100" s="8" t="s">
        <v>6641</v>
      </c>
      <c r="D2100" s="8" t="s">
        <v>4035</v>
      </c>
    </row>
    <row r="2101" spans="1:4" ht="36" customHeight="1">
      <c r="A2101" s="26">
        <v>2096</v>
      </c>
      <c r="B2101" s="25" t="s">
        <v>6642</v>
      </c>
      <c r="C2101" s="8" t="s">
        <v>6643</v>
      </c>
      <c r="D2101" s="8" t="s">
        <v>4035</v>
      </c>
    </row>
    <row r="2102" spans="1:4" ht="36" customHeight="1">
      <c r="A2102" s="26">
        <v>2097</v>
      </c>
      <c r="B2102" s="25" t="s">
        <v>6644</v>
      </c>
      <c r="C2102" s="8" t="s">
        <v>6645</v>
      </c>
      <c r="D2102" s="8" t="s">
        <v>4035</v>
      </c>
    </row>
    <row r="2103" spans="1:4" ht="36" customHeight="1">
      <c r="A2103" s="26">
        <v>2098</v>
      </c>
      <c r="B2103" s="25" t="s">
        <v>6646</v>
      </c>
      <c r="C2103" s="8" t="s">
        <v>6647</v>
      </c>
      <c r="D2103" s="8" t="s">
        <v>4035</v>
      </c>
    </row>
    <row r="2104" spans="1:4" ht="36" customHeight="1">
      <c r="A2104" s="26">
        <v>2099</v>
      </c>
      <c r="B2104" s="25" t="s">
        <v>6648</v>
      </c>
      <c r="C2104" s="8" t="s">
        <v>6649</v>
      </c>
      <c r="D2104" s="8" t="s">
        <v>4035</v>
      </c>
    </row>
    <row r="2105" spans="1:4" ht="36" customHeight="1">
      <c r="A2105" s="26">
        <v>2100</v>
      </c>
      <c r="B2105" s="25" t="s">
        <v>6650</v>
      </c>
      <c r="C2105" s="8" t="s">
        <v>6651</v>
      </c>
      <c r="D2105" s="8" t="s">
        <v>4035</v>
      </c>
    </row>
    <row r="2106" spans="1:4" ht="36" customHeight="1">
      <c r="A2106" s="26">
        <v>2101</v>
      </c>
      <c r="B2106" s="25" t="s">
        <v>6652</v>
      </c>
      <c r="C2106" s="8" t="s">
        <v>6653</v>
      </c>
      <c r="D2106" s="8" t="s">
        <v>4035</v>
      </c>
    </row>
    <row r="2107" spans="1:4" ht="36" customHeight="1">
      <c r="A2107" s="26">
        <v>2102</v>
      </c>
      <c r="B2107" s="25" t="s">
        <v>6654</v>
      </c>
      <c r="C2107" s="8" t="s">
        <v>6655</v>
      </c>
      <c r="D2107" s="8" t="s">
        <v>4035</v>
      </c>
    </row>
    <row r="2108" spans="1:4" ht="36" customHeight="1">
      <c r="A2108" s="26">
        <v>2103</v>
      </c>
      <c r="B2108" s="25" t="s">
        <v>6656</v>
      </c>
      <c r="C2108" s="8" t="s">
        <v>6657</v>
      </c>
      <c r="D2108" s="8" t="s">
        <v>4035</v>
      </c>
    </row>
    <row r="2109" spans="1:4" ht="36" customHeight="1">
      <c r="A2109" s="26">
        <v>2104</v>
      </c>
      <c r="B2109" s="25" t="s">
        <v>6658</v>
      </c>
      <c r="C2109" s="8" t="s">
        <v>6659</v>
      </c>
      <c r="D2109" s="8" t="s">
        <v>4035</v>
      </c>
    </row>
    <row r="2110" spans="1:4" ht="36" customHeight="1">
      <c r="A2110" s="26">
        <v>2105</v>
      </c>
      <c r="B2110" s="25" t="s">
        <v>6660</v>
      </c>
      <c r="C2110" s="8" t="s">
        <v>6661</v>
      </c>
      <c r="D2110" s="8" t="s">
        <v>4035</v>
      </c>
    </row>
    <row r="2111" spans="1:4" ht="36" customHeight="1">
      <c r="A2111" s="26">
        <v>2106</v>
      </c>
      <c r="B2111" s="25" t="s">
        <v>6662</v>
      </c>
      <c r="C2111" s="8" t="s">
        <v>6663</v>
      </c>
      <c r="D2111" s="8" t="s">
        <v>4035</v>
      </c>
    </row>
    <row r="2112" spans="1:4" ht="36" customHeight="1">
      <c r="A2112" s="26">
        <v>2107</v>
      </c>
      <c r="B2112" s="25" t="s">
        <v>6664</v>
      </c>
      <c r="C2112" s="8" t="s">
        <v>6665</v>
      </c>
      <c r="D2112" s="8" t="s">
        <v>4035</v>
      </c>
    </row>
    <row r="2113" spans="1:4" ht="36" customHeight="1">
      <c r="A2113" s="26">
        <v>2108</v>
      </c>
      <c r="B2113" s="25" t="s">
        <v>6666</v>
      </c>
      <c r="C2113" s="8" t="s">
        <v>6667</v>
      </c>
      <c r="D2113" s="8" t="s">
        <v>4035</v>
      </c>
    </row>
    <row r="2114" spans="1:4" ht="36" customHeight="1">
      <c r="A2114" s="26">
        <v>2109</v>
      </c>
      <c r="B2114" s="25" t="s">
        <v>6668</v>
      </c>
      <c r="C2114" s="8" t="s">
        <v>6669</v>
      </c>
      <c r="D2114" s="8" t="s">
        <v>4035</v>
      </c>
    </row>
    <row r="2115" spans="1:4" ht="36" customHeight="1">
      <c r="A2115" s="26">
        <v>2110</v>
      </c>
      <c r="B2115" s="25" t="s">
        <v>6670</v>
      </c>
      <c r="C2115" s="8" t="s">
        <v>6671</v>
      </c>
      <c r="D2115" s="8" t="s">
        <v>4035</v>
      </c>
    </row>
    <row r="2116" spans="1:4" ht="36" customHeight="1">
      <c r="A2116" s="26">
        <v>2111</v>
      </c>
      <c r="B2116" s="25" t="s">
        <v>6672</v>
      </c>
      <c r="C2116" s="8" t="s">
        <v>6673</v>
      </c>
      <c r="D2116" s="8" t="s">
        <v>4035</v>
      </c>
    </row>
    <row r="2117" spans="1:4" ht="36" customHeight="1">
      <c r="A2117" s="26">
        <v>2112</v>
      </c>
      <c r="B2117" s="25" t="s">
        <v>6674</v>
      </c>
      <c r="C2117" s="8" t="s">
        <v>6675</v>
      </c>
      <c r="D2117" s="8" t="s">
        <v>4035</v>
      </c>
    </row>
    <row r="2118" spans="1:4" ht="36" customHeight="1">
      <c r="A2118" s="26">
        <v>2113</v>
      </c>
      <c r="B2118" s="25" t="s">
        <v>6676</v>
      </c>
      <c r="C2118" s="8" t="s">
        <v>6677</v>
      </c>
      <c r="D2118" s="8" t="s">
        <v>4035</v>
      </c>
    </row>
    <row r="2119" spans="1:4" ht="36" customHeight="1">
      <c r="A2119" s="26">
        <v>2114</v>
      </c>
      <c r="B2119" s="25" t="s">
        <v>6678</v>
      </c>
      <c r="C2119" s="8" t="s">
        <v>6679</v>
      </c>
      <c r="D2119" s="8" t="s">
        <v>4035</v>
      </c>
    </row>
    <row r="2120" spans="1:4" ht="36" customHeight="1">
      <c r="A2120" s="26">
        <v>2115</v>
      </c>
      <c r="B2120" s="25" t="s">
        <v>6680</v>
      </c>
      <c r="C2120" s="8" t="s">
        <v>6681</v>
      </c>
      <c r="D2120" s="8" t="s">
        <v>4035</v>
      </c>
    </row>
    <row r="2121" spans="1:4" ht="36" customHeight="1">
      <c r="A2121" s="26">
        <v>2116</v>
      </c>
      <c r="B2121" s="25" t="s">
        <v>6682</v>
      </c>
      <c r="C2121" s="8" t="s">
        <v>6683</v>
      </c>
      <c r="D2121" s="8" t="s">
        <v>4035</v>
      </c>
    </row>
    <row r="2122" spans="1:4" ht="36" customHeight="1">
      <c r="A2122" s="26">
        <v>2117</v>
      </c>
      <c r="B2122" s="25" t="s">
        <v>6684</v>
      </c>
      <c r="C2122" s="8" t="s">
        <v>6685</v>
      </c>
      <c r="D2122" s="8" t="s">
        <v>4035</v>
      </c>
    </row>
    <row r="2123" spans="1:4" ht="36" customHeight="1">
      <c r="A2123" s="26">
        <v>2118</v>
      </c>
      <c r="B2123" s="25" t="s">
        <v>6686</v>
      </c>
      <c r="C2123" s="8" t="s">
        <v>6687</v>
      </c>
      <c r="D2123" s="8" t="s">
        <v>4035</v>
      </c>
    </row>
    <row r="2124" spans="1:4" ht="36" customHeight="1">
      <c r="A2124" s="26">
        <v>2119</v>
      </c>
      <c r="B2124" s="25" t="s">
        <v>6688</v>
      </c>
      <c r="C2124" s="8" t="s">
        <v>6689</v>
      </c>
      <c r="D2124" s="8" t="s">
        <v>4035</v>
      </c>
    </row>
    <row r="2125" spans="1:4" ht="36" customHeight="1">
      <c r="A2125" s="26">
        <v>2120</v>
      </c>
      <c r="B2125" s="25" t="s">
        <v>6690</v>
      </c>
      <c r="C2125" s="8" t="s">
        <v>6691</v>
      </c>
      <c r="D2125" s="8" t="s">
        <v>4035</v>
      </c>
    </row>
    <row r="2126" spans="1:4" ht="36" customHeight="1">
      <c r="A2126" s="26">
        <v>2121</v>
      </c>
      <c r="B2126" s="25" t="s">
        <v>6692</v>
      </c>
      <c r="C2126" s="8" t="s">
        <v>6693</v>
      </c>
      <c r="D2126" s="8" t="s">
        <v>4035</v>
      </c>
    </row>
    <row r="2127" spans="1:4" ht="36" customHeight="1">
      <c r="A2127" s="26">
        <v>2122</v>
      </c>
      <c r="B2127" s="25" t="s">
        <v>6694</v>
      </c>
      <c r="C2127" s="8" t="s">
        <v>6695</v>
      </c>
      <c r="D2127" s="8" t="s">
        <v>4035</v>
      </c>
    </row>
    <row r="2128" spans="1:4" ht="36" customHeight="1">
      <c r="A2128" s="26">
        <v>2123</v>
      </c>
      <c r="B2128" s="25" t="s">
        <v>6696</v>
      </c>
      <c r="C2128" s="8" t="s">
        <v>6697</v>
      </c>
      <c r="D2128" s="8" t="s">
        <v>4035</v>
      </c>
    </row>
    <row r="2129" spans="1:4" ht="36" customHeight="1">
      <c r="A2129" s="26">
        <v>2124</v>
      </c>
      <c r="B2129" s="25" t="s">
        <v>6698</v>
      </c>
      <c r="C2129" s="8" t="s">
        <v>6699</v>
      </c>
      <c r="D2129" s="8" t="s">
        <v>4035</v>
      </c>
    </row>
    <row r="2130" spans="1:4" ht="36" customHeight="1">
      <c r="A2130" s="26">
        <v>2125</v>
      </c>
      <c r="B2130" s="25" t="s">
        <v>6700</v>
      </c>
      <c r="C2130" s="8" t="s">
        <v>6701</v>
      </c>
      <c r="D2130" s="8" t="s">
        <v>4035</v>
      </c>
    </row>
    <row r="2131" spans="1:4" ht="36" customHeight="1">
      <c r="A2131" s="26">
        <v>2126</v>
      </c>
      <c r="B2131" s="25" t="s">
        <v>6702</v>
      </c>
      <c r="C2131" s="8" t="s">
        <v>6703</v>
      </c>
      <c r="D2131" s="8" t="s">
        <v>4035</v>
      </c>
    </row>
    <row r="2132" spans="1:4" ht="36" customHeight="1">
      <c r="A2132" s="26">
        <v>2127</v>
      </c>
      <c r="B2132" s="25" t="s">
        <v>6704</v>
      </c>
      <c r="C2132" s="8" t="s">
        <v>6705</v>
      </c>
      <c r="D2132" s="8" t="s">
        <v>4035</v>
      </c>
    </row>
    <row r="2133" spans="1:4" ht="36" customHeight="1">
      <c r="A2133" s="26">
        <v>2128</v>
      </c>
      <c r="B2133" s="25" t="s">
        <v>6706</v>
      </c>
      <c r="C2133" s="8" t="s">
        <v>6707</v>
      </c>
      <c r="D2133" s="8" t="s">
        <v>4035</v>
      </c>
    </row>
    <row r="2134" spans="1:4" ht="36" customHeight="1">
      <c r="A2134" s="26">
        <v>2129</v>
      </c>
      <c r="B2134" s="25" t="s">
        <v>6708</v>
      </c>
      <c r="C2134" s="8" t="s">
        <v>6709</v>
      </c>
      <c r="D2134" s="8" t="s">
        <v>4035</v>
      </c>
    </row>
    <row r="2135" spans="1:4" ht="36" customHeight="1">
      <c r="A2135" s="26">
        <v>2130</v>
      </c>
      <c r="B2135" s="25" t="s">
        <v>6710</v>
      </c>
      <c r="C2135" s="8" t="s">
        <v>6711</v>
      </c>
      <c r="D2135" s="8" t="s">
        <v>4035</v>
      </c>
    </row>
    <row r="2136" spans="1:4" ht="36" customHeight="1">
      <c r="A2136" s="26">
        <v>2131</v>
      </c>
      <c r="B2136" s="25" t="s">
        <v>6712</v>
      </c>
      <c r="C2136" s="8" t="s">
        <v>6713</v>
      </c>
      <c r="D2136" s="8" t="s">
        <v>4035</v>
      </c>
    </row>
    <row r="2137" spans="1:4" ht="36" customHeight="1">
      <c r="A2137" s="26">
        <v>2132</v>
      </c>
      <c r="B2137" s="25" t="s">
        <v>6714</v>
      </c>
      <c r="C2137" s="8" t="s">
        <v>6715</v>
      </c>
      <c r="D2137" s="8" t="s">
        <v>4035</v>
      </c>
    </row>
    <row r="2138" spans="1:4" ht="36" customHeight="1">
      <c r="A2138" s="26">
        <v>2133</v>
      </c>
      <c r="B2138" s="25" t="s">
        <v>6716</v>
      </c>
      <c r="C2138" s="8" t="s">
        <v>6717</v>
      </c>
      <c r="D2138" s="8" t="s">
        <v>4035</v>
      </c>
    </row>
    <row r="2139" spans="1:4" ht="36" customHeight="1">
      <c r="A2139" s="26">
        <v>2134</v>
      </c>
      <c r="B2139" s="25" t="s">
        <v>6718</v>
      </c>
      <c r="C2139" s="8" t="s">
        <v>6719</v>
      </c>
      <c r="D2139" s="8" t="s">
        <v>4035</v>
      </c>
    </row>
    <row r="2140" spans="1:4" ht="36" customHeight="1">
      <c r="A2140" s="26">
        <v>2135</v>
      </c>
      <c r="B2140" s="25" t="s">
        <v>6720</v>
      </c>
      <c r="C2140" s="8" t="s">
        <v>6721</v>
      </c>
      <c r="D2140" s="8" t="s">
        <v>4035</v>
      </c>
    </row>
    <row r="2141" spans="1:4" ht="36" customHeight="1">
      <c r="A2141" s="26">
        <v>2136</v>
      </c>
      <c r="B2141" s="25" t="s">
        <v>6722</v>
      </c>
      <c r="C2141" s="8" t="s">
        <v>6723</v>
      </c>
      <c r="D2141" s="8" t="s">
        <v>4035</v>
      </c>
    </row>
    <row r="2142" spans="1:4" ht="36" customHeight="1">
      <c r="A2142" s="26">
        <v>2137</v>
      </c>
      <c r="B2142" s="25" t="s">
        <v>6724</v>
      </c>
      <c r="C2142" s="8" t="s">
        <v>6725</v>
      </c>
      <c r="D2142" s="8" t="s">
        <v>4035</v>
      </c>
    </row>
    <row r="2143" spans="1:4" ht="36" customHeight="1">
      <c r="A2143" s="26">
        <v>2138</v>
      </c>
      <c r="B2143" s="25" t="s">
        <v>6726</v>
      </c>
      <c r="C2143" s="8" t="s">
        <v>6727</v>
      </c>
      <c r="D2143" s="8" t="s">
        <v>4035</v>
      </c>
    </row>
    <row r="2144" spans="1:4" ht="36" customHeight="1">
      <c r="A2144" s="26">
        <v>2139</v>
      </c>
      <c r="B2144" s="25" t="s">
        <v>6728</v>
      </c>
      <c r="C2144" s="8" t="s">
        <v>6729</v>
      </c>
      <c r="D2144" s="8" t="s">
        <v>4035</v>
      </c>
    </row>
    <row r="2145" spans="1:4" ht="36" customHeight="1">
      <c r="A2145" s="26">
        <v>2140</v>
      </c>
      <c r="B2145" s="25" t="s">
        <v>6730</v>
      </c>
      <c r="C2145" s="8" t="s">
        <v>6731</v>
      </c>
      <c r="D2145" s="8" t="s">
        <v>4035</v>
      </c>
    </row>
    <row r="2146" spans="1:4" ht="36" customHeight="1">
      <c r="A2146" s="26">
        <v>2141</v>
      </c>
      <c r="B2146" s="25" t="s">
        <v>6732</v>
      </c>
      <c r="C2146" s="8" t="s">
        <v>6733</v>
      </c>
      <c r="D2146" s="8" t="s">
        <v>4035</v>
      </c>
    </row>
    <row r="2147" spans="1:4" ht="36" customHeight="1">
      <c r="A2147" s="26">
        <v>2142</v>
      </c>
      <c r="B2147" s="25" t="s">
        <v>6734</v>
      </c>
      <c r="C2147" s="8" t="s">
        <v>6735</v>
      </c>
      <c r="D2147" s="8" t="s">
        <v>4035</v>
      </c>
    </row>
    <row r="2148" spans="1:4" ht="36" customHeight="1">
      <c r="A2148" s="26">
        <v>2143</v>
      </c>
      <c r="B2148" s="25" t="s">
        <v>6736</v>
      </c>
      <c r="C2148" s="8" t="s">
        <v>6737</v>
      </c>
      <c r="D2148" s="8" t="s">
        <v>4035</v>
      </c>
    </row>
    <row r="2149" spans="1:4" ht="36" customHeight="1">
      <c r="A2149" s="26">
        <v>2144</v>
      </c>
      <c r="B2149" s="25" t="s">
        <v>6738</v>
      </c>
      <c r="C2149" s="8" t="s">
        <v>6739</v>
      </c>
      <c r="D2149" s="8" t="s">
        <v>4035</v>
      </c>
    </row>
    <row r="2150" spans="1:4" ht="36" customHeight="1">
      <c r="A2150" s="26">
        <v>2145</v>
      </c>
      <c r="B2150" s="25" t="s">
        <v>6740</v>
      </c>
      <c r="C2150" s="8" t="s">
        <v>6741</v>
      </c>
      <c r="D2150" s="8" t="s">
        <v>4035</v>
      </c>
    </row>
    <row r="2151" spans="1:4" ht="36" customHeight="1">
      <c r="A2151" s="26">
        <v>2146</v>
      </c>
      <c r="B2151" s="25" t="s">
        <v>6742</v>
      </c>
      <c r="C2151" s="8" t="s">
        <v>6743</v>
      </c>
      <c r="D2151" s="8" t="s">
        <v>4035</v>
      </c>
    </row>
    <row r="2152" spans="1:4" ht="36" customHeight="1">
      <c r="A2152" s="26">
        <v>2147</v>
      </c>
      <c r="B2152" s="25" t="s">
        <v>6744</v>
      </c>
      <c r="C2152" s="8" t="s">
        <v>6745</v>
      </c>
      <c r="D2152" s="8" t="s">
        <v>4035</v>
      </c>
    </row>
    <row r="2153" spans="1:4" ht="36" customHeight="1">
      <c r="A2153" s="26">
        <v>2148</v>
      </c>
      <c r="B2153" s="25" t="s">
        <v>6746</v>
      </c>
      <c r="C2153" s="8" t="s">
        <v>6747</v>
      </c>
      <c r="D2153" s="8" t="s">
        <v>4035</v>
      </c>
    </row>
    <row r="2154" spans="1:4" ht="36" customHeight="1">
      <c r="A2154" s="26">
        <v>2149</v>
      </c>
      <c r="B2154" s="25" t="s">
        <v>6748</v>
      </c>
      <c r="C2154" s="8" t="s">
        <v>6749</v>
      </c>
      <c r="D2154" s="8" t="s">
        <v>4035</v>
      </c>
    </row>
    <row r="2155" spans="1:4" ht="36" customHeight="1">
      <c r="A2155" s="26">
        <v>2150</v>
      </c>
      <c r="B2155" s="25" t="s">
        <v>6750</v>
      </c>
      <c r="C2155" s="8" t="s">
        <v>6751</v>
      </c>
      <c r="D2155" s="8" t="s">
        <v>4035</v>
      </c>
    </row>
    <row r="2156" spans="1:4" ht="36" customHeight="1">
      <c r="A2156" s="26">
        <v>2151</v>
      </c>
      <c r="B2156" s="25" t="s">
        <v>6752</v>
      </c>
      <c r="C2156" s="8" t="s">
        <v>6753</v>
      </c>
      <c r="D2156" s="8" t="s">
        <v>4035</v>
      </c>
    </row>
    <row r="2157" spans="1:4" ht="36" customHeight="1">
      <c r="A2157" s="26">
        <v>2152</v>
      </c>
      <c r="B2157" s="25" t="s">
        <v>6754</v>
      </c>
      <c r="C2157" s="8" t="s">
        <v>6755</v>
      </c>
      <c r="D2157" s="8" t="s">
        <v>4035</v>
      </c>
    </row>
    <row r="2158" spans="1:4" ht="36" customHeight="1">
      <c r="A2158" s="26">
        <v>2153</v>
      </c>
      <c r="B2158" s="25" t="s">
        <v>6756</v>
      </c>
      <c r="C2158" s="8" t="s">
        <v>6757</v>
      </c>
      <c r="D2158" s="8" t="s">
        <v>4035</v>
      </c>
    </row>
    <row r="2159" spans="1:4" ht="36" customHeight="1">
      <c r="A2159" s="26">
        <v>2154</v>
      </c>
      <c r="B2159" s="25" t="s">
        <v>6758</v>
      </c>
      <c r="C2159" s="8" t="s">
        <v>6759</v>
      </c>
      <c r="D2159" s="8" t="s">
        <v>4035</v>
      </c>
    </row>
    <row r="2160" spans="1:4" ht="36" customHeight="1">
      <c r="A2160" s="26">
        <v>2155</v>
      </c>
      <c r="B2160" s="25" t="s">
        <v>6760</v>
      </c>
      <c r="C2160" s="8" t="s">
        <v>6761</v>
      </c>
      <c r="D2160" s="8" t="s">
        <v>4035</v>
      </c>
    </row>
    <row r="2161" spans="1:4" ht="36" customHeight="1">
      <c r="A2161" s="26">
        <v>2156</v>
      </c>
      <c r="B2161" s="25" t="s">
        <v>6762</v>
      </c>
      <c r="C2161" s="8" t="s">
        <v>6763</v>
      </c>
      <c r="D2161" s="8" t="s">
        <v>4035</v>
      </c>
    </row>
    <row r="2162" spans="1:4" ht="36" customHeight="1">
      <c r="A2162" s="26">
        <v>2157</v>
      </c>
      <c r="B2162" s="25" t="s">
        <v>6764</v>
      </c>
      <c r="C2162" s="8" t="s">
        <v>6765</v>
      </c>
      <c r="D2162" s="8" t="s">
        <v>4035</v>
      </c>
    </row>
    <row r="2163" spans="1:4" ht="36" customHeight="1">
      <c r="A2163" s="26">
        <v>2158</v>
      </c>
      <c r="B2163" s="25" t="s">
        <v>6766</v>
      </c>
      <c r="C2163" s="8" t="s">
        <v>6767</v>
      </c>
      <c r="D2163" s="8" t="s">
        <v>4035</v>
      </c>
    </row>
    <row r="2164" spans="1:4" ht="36" customHeight="1">
      <c r="A2164" s="26">
        <v>2159</v>
      </c>
      <c r="B2164" s="25" t="s">
        <v>6768</v>
      </c>
      <c r="C2164" s="8" t="s">
        <v>6769</v>
      </c>
      <c r="D2164" s="8" t="s">
        <v>4035</v>
      </c>
    </row>
    <row r="2165" spans="1:4" ht="36" customHeight="1">
      <c r="A2165" s="26">
        <v>2160</v>
      </c>
      <c r="B2165" s="25" t="s">
        <v>6770</v>
      </c>
      <c r="C2165" s="8" t="s">
        <v>6771</v>
      </c>
      <c r="D2165" s="8" t="s">
        <v>4035</v>
      </c>
    </row>
    <row r="2166" spans="1:4" ht="36" customHeight="1">
      <c r="A2166" s="26">
        <v>2161</v>
      </c>
      <c r="B2166" s="25" t="s">
        <v>6772</v>
      </c>
      <c r="C2166" s="8" t="s">
        <v>6773</v>
      </c>
      <c r="D2166" s="8" t="s">
        <v>4035</v>
      </c>
    </row>
    <row r="2167" spans="1:4" ht="36" customHeight="1">
      <c r="A2167" s="26">
        <v>2162</v>
      </c>
      <c r="B2167" s="25" t="s">
        <v>6774</v>
      </c>
      <c r="C2167" s="8" t="s">
        <v>6775</v>
      </c>
      <c r="D2167" s="8" t="s">
        <v>4035</v>
      </c>
    </row>
    <row r="2168" spans="1:4" ht="36" customHeight="1">
      <c r="A2168" s="26">
        <v>2163</v>
      </c>
      <c r="B2168" s="25" t="s">
        <v>6776</v>
      </c>
      <c r="C2168" s="8" t="s">
        <v>6777</v>
      </c>
      <c r="D2168" s="8" t="s">
        <v>4035</v>
      </c>
    </row>
    <row r="2169" spans="1:4" ht="36" customHeight="1">
      <c r="A2169" s="26">
        <v>2164</v>
      </c>
      <c r="B2169" s="25" t="s">
        <v>6778</v>
      </c>
      <c r="C2169" s="8" t="s">
        <v>6779</v>
      </c>
      <c r="D2169" s="8" t="s">
        <v>4035</v>
      </c>
    </row>
    <row r="2170" spans="1:4" ht="36" customHeight="1">
      <c r="A2170" s="26">
        <v>2165</v>
      </c>
      <c r="B2170" s="25" t="s">
        <v>6780</v>
      </c>
      <c r="C2170" s="8" t="s">
        <v>6781</v>
      </c>
      <c r="D2170" s="8" t="s">
        <v>4035</v>
      </c>
    </row>
    <row r="2171" spans="1:4" ht="36" customHeight="1">
      <c r="A2171" s="26">
        <v>2166</v>
      </c>
      <c r="B2171" s="25" t="s">
        <v>6782</v>
      </c>
      <c r="C2171" s="8" t="s">
        <v>6783</v>
      </c>
      <c r="D2171" s="8" t="s">
        <v>4035</v>
      </c>
    </row>
    <row r="2172" spans="1:4" ht="36" customHeight="1">
      <c r="A2172" s="26">
        <v>2167</v>
      </c>
      <c r="B2172" s="25" t="s">
        <v>6784</v>
      </c>
      <c r="C2172" s="8" t="s">
        <v>6785</v>
      </c>
      <c r="D2172" s="8" t="s">
        <v>4035</v>
      </c>
    </row>
    <row r="2173" spans="1:4" ht="36" customHeight="1">
      <c r="A2173" s="26">
        <v>2168</v>
      </c>
      <c r="B2173" s="25" t="s">
        <v>6786</v>
      </c>
      <c r="C2173" s="8" t="s">
        <v>6787</v>
      </c>
      <c r="D2173" s="8" t="s">
        <v>4035</v>
      </c>
    </row>
    <row r="2174" spans="1:4" ht="36" customHeight="1">
      <c r="A2174" s="26">
        <v>2169</v>
      </c>
      <c r="B2174" s="25" t="s">
        <v>6788</v>
      </c>
      <c r="C2174" s="8" t="s">
        <v>6789</v>
      </c>
      <c r="D2174" s="8" t="s">
        <v>4035</v>
      </c>
    </row>
    <row r="2175" spans="1:4" ht="36" customHeight="1">
      <c r="A2175" s="26">
        <v>2170</v>
      </c>
      <c r="B2175" s="25" t="s">
        <v>6790</v>
      </c>
      <c r="C2175" s="8" t="s">
        <v>6791</v>
      </c>
      <c r="D2175" s="8" t="s">
        <v>4035</v>
      </c>
    </row>
    <row r="2176" spans="1:4" ht="36" customHeight="1">
      <c r="A2176" s="26">
        <v>2171</v>
      </c>
      <c r="B2176" s="25" t="s">
        <v>6792</v>
      </c>
      <c r="C2176" s="8" t="s">
        <v>6793</v>
      </c>
      <c r="D2176" s="8" t="s">
        <v>4035</v>
      </c>
    </row>
    <row r="2177" spans="1:4" ht="36" customHeight="1">
      <c r="A2177" s="26">
        <v>2172</v>
      </c>
      <c r="B2177" s="25" t="s">
        <v>6794</v>
      </c>
      <c r="C2177" s="8" t="s">
        <v>6795</v>
      </c>
      <c r="D2177" s="8" t="s">
        <v>4035</v>
      </c>
    </row>
    <row r="2178" spans="1:4" ht="36" customHeight="1">
      <c r="A2178" s="26">
        <v>2173</v>
      </c>
      <c r="B2178" s="25" t="s">
        <v>6796</v>
      </c>
      <c r="C2178" s="8" t="s">
        <v>6797</v>
      </c>
      <c r="D2178" s="8" t="s">
        <v>4035</v>
      </c>
    </row>
    <row r="2179" spans="1:4" ht="36" customHeight="1">
      <c r="A2179" s="26">
        <v>2174</v>
      </c>
      <c r="B2179" s="25" t="s">
        <v>6798</v>
      </c>
      <c r="C2179" s="8" t="s">
        <v>6799</v>
      </c>
      <c r="D2179" s="8" t="s">
        <v>4035</v>
      </c>
    </row>
    <row r="2180" spans="1:4" ht="36" customHeight="1">
      <c r="A2180" s="26">
        <v>2175</v>
      </c>
      <c r="B2180" s="25" t="s">
        <v>6800</v>
      </c>
      <c r="C2180" s="8" t="s">
        <v>6801</v>
      </c>
      <c r="D2180" s="8" t="s">
        <v>4035</v>
      </c>
    </row>
    <row r="2181" spans="1:4" ht="36" customHeight="1">
      <c r="A2181" s="26">
        <v>2176</v>
      </c>
      <c r="B2181" s="25" t="s">
        <v>6802</v>
      </c>
      <c r="C2181" s="8" t="s">
        <v>6803</v>
      </c>
      <c r="D2181" s="8" t="s">
        <v>4035</v>
      </c>
    </row>
    <row r="2182" spans="1:4" ht="36" customHeight="1">
      <c r="A2182" s="26">
        <v>2177</v>
      </c>
      <c r="B2182" s="25" t="s">
        <v>6804</v>
      </c>
      <c r="C2182" s="8" t="s">
        <v>6805</v>
      </c>
      <c r="D2182" s="8" t="s">
        <v>4035</v>
      </c>
    </row>
    <row r="2183" spans="1:4" ht="36" customHeight="1">
      <c r="A2183" s="26">
        <v>2178</v>
      </c>
      <c r="B2183" s="25" t="s">
        <v>6806</v>
      </c>
      <c r="C2183" s="8" t="s">
        <v>6807</v>
      </c>
      <c r="D2183" s="8" t="s">
        <v>4035</v>
      </c>
    </row>
    <row r="2184" spans="1:4" ht="36" customHeight="1">
      <c r="A2184" s="26">
        <v>2179</v>
      </c>
      <c r="B2184" s="25" t="s">
        <v>6808</v>
      </c>
      <c r="C2184" s="8" t="s">
        <v>6809</v>
      </c>
      <c r="D2184" s="8" t="s">
        <v>4035</v>
      </c>
    </row>
    <row r="2185" spans="1:4" ht="36" customHeight="1">
      <c r="A2185" s="26">
        <v>2180</v>
      </c>
      <c r="B2185" s="25" t="s">
        <v>6810</v>
      </c>
      <c r="C2185" s="8" t="s">
        <v>6811</v>
      </c>
      <c r="D2185" s="8" t="s">
        <v>4035</v>
      </c>
    </row>
    <row r="2186" spans="1:4" ht="36" customHeight="1">
      <c r="A2186" s="26">
        <v>2181</v>
      </c>
      <c r="B2186" s="25" t="s">
        <v>6812</v>
      </c>
      <c r="C2186" s="8" t="s">
        <v>6813</v>
      </c>
      <c r="D2186" s="8" t="s">
        <v>4035</v>
      </c>
    </row>
    <row r="2187" spans="1:4" ht="36" customHeight="1">
      <c r="A2187" s="26">
        <v>2182</v>
      </c>
      <c r="B2187" s="25" t="s">
        <v>6814</v>
      </c>
      <c r="C2187" s="8" t="s">
        <v>6815</v>
      </c>
      <c r="D2187" s="8" t="s">
        <v>4035</v>
      </c>
    </row>
    <row r="2188" spans="1:4" ht="36" customHeight="1">
      <c r="A2188" s="26">
        <v>2183</v>
      </c>
      <c r="B2188" s="25" t="s">
        <v>6816</v>
      </c>
      <c r="C2188" s="8" t="s">
        <v>6817</v>
      </c>
      <c r="D2188" s="8" t="s">
        <v>4035</v>
      </c>
    </row>
    <row r="2189" spans="1:4" ht="36" customHeight="1">
      <c r="A2189" s="26">
        <v>2184</v>
      </c>
      <c r="B2189" s="25" t="s">
        <v>6818</v>
      </c>
      <c r="C2189" s="8" t="s">
        <v>6819</v>
      </c>
      <c r="D2189" s="8" t="s">
        <v>4035</v>
      </c>
    </row>
    <row r="2190" spans="1:4" ht="36" customHeight="1">
      <c r="A2190" s="26">
        <v>2185</v>
      </c>
      <c r="B2190" s="25" t="s">
        <v>6820</v>
      </c>
      <c r="C2190" s="8" t="s">
        <v>6821</v>
      </c>
      <c r="D2190" s="8" t="s">
        <v>4035</v>
      </c>
    </row>
    <row r="2191" spans="1:4" ht="36" customHeight="1">
      <c r="A2191" s="26">
        <v>2186</v>
      </c>
      <c r="B2191" s="25" t="s">
        <v>6822</v>
      </c>
      <c r="C2191" s="8" t="s">
        <v>6823</v>
      </c>
      <c r="D2191" s="8" t="s">
        <v>4035</v>
      </c>
    </row>
    <row r="2192" spans="1:4" ht="36" customHeight="1">
      <c r="A2192" s="26">
        <v>2187</v>
      </c>
      <c r="B2192" s="25" t="s">
        <v>6824</v>
      </c>
      <c r="C2192" s="8" t="s">
        <v>6825</v>
      </c>
      <c r="D2192" s="8" t="s">
        <v>4035</v>
      </c>
    </row>
    <row r="2193" spans="1:4" ht="36" customHeight="1">
      <c r="A2193" s="26">
        <v>2188</v>
      </c>
      <c r="B2193" s="25" t="s">
        <v>6826</v>
      </c>
      <c r="C2193" s="8" t="s">
        <v>6827</v>
      </c>
      <c r="D2193" s="8" t="s">
        <v>4035</v>
      </c>
    </row>
    <row r="2194" spans="1:4" ht="36" customHeight="1">
      <c r="A2194" s="26">
        <v>2189</v>
      </c>
      <c r="B2194" s="25" t="s">
        <v>6828</v>
      </c>
      <c r="C2194" s="8" t="s">
        <v>6829</v>
      </c>
      <c r="D2194" s="8" t="s">
        <v>4035</v>
      </c>
    </row>
    <row r="2195" spans="1:4" ht="36" customHeight="1">
      <c r="A2195" s="26">
        <v>2190</v>
      </c>
      <c r="B2195" s="25" t="s">
        <v>6830</v>
      </c>
      <c r="C2195" s="8" t="s">
        <v>6831</v>
      </c>
      <c r="D2195" s="8" t="s">
        <v>4035</v>
      </c>
    </row>
    <row r="2196" spans="1:4" ht="36" customHeight="1">
      <c r="A2196" s="26">
        <v>2191</v>
      </c>
      <c r="B2196" s="25" t="s">
        <v>6832</v>
      </c>
      <c r="C2196" s="8" t="s">
        <v>6833</v>
      </c>
      <c r="D2196" s="8" t="s">
        <v>4035</v>
      </c>
    </row>
    <row r="2197" spans="1:4" ht="36" customHeight="1">
      <c r="A2197" s="26">
        <v>2192</v>
      </c>
      <c r="B2197" s="25" t="s">
        <v>6834</v>
      </c>
      <c r="C2197" s="8" t="s">
        <v>6835</v>
      </c>
      <c r="D2197" s="8" t="s">
        <v>4035</v>
      </c>
    </row>
    <row r="2198" spans="1:4" ht="36" customHeight="1">
      <c r="A2198" s="26">
        <v>2193</v>
      </c>
      <c r="B2198" s="25" t="s">
        <v>6836</v>
      </c>
      <c r="C2198" s="8" t="s">
        <v>6837</v>
      </c>
      <c r="D2198" s="8" t="s">
        <v>4035</v>
      </c>
    </row>
    <row r="2199" spans="1:4" ht="36" customHeight="1">
      <c r="A2199" s="26">
        <v>2194</v>
      </c>
      <c r="B2199" s="25" t="s">
        <v>6838</v>
      </c>
      <c r="C2199" s="8" t="s">
        <v>6839</v>
      </c>
      <c r="D2199" s="8" t="s">
        <v>4035</v>
      </c>
    </row>
    <row r="2200" spans="1:4" ht="36" customHeight="1">
      <c r="A2200" s="26">
        <v>2195</v>
      </c>
      <c r="B2200" s="25" t="s">
        <v>6840</v>
      </c>
      <c r="C2200" s="8" t="s">
        <v>6841</v>
      </c>
      <c r="D2200" s="8" t="s">
        <v>4035</v>
      </c>
    </row>
    <row r="2201" spans="1:4" ht="36" customHeight="1">
      <c r="A2201" s="26">
        <v>2196</v>
      </c>
      <c r="B2201" s="25" t="s">
        <v>6842</v>
      </c>
      <c r="C2201" s="8" t="s">
        <v>6843</v>
      </c>
      <c r="D2201" s="8" t="s">
        <v>4035</v>
      </c>
    </row>
    <row r="2202" spans="1:4" ht="36" customHeight="1">
      <c r="A2202" s="26">
        <v>2197</v>
      </c>
      <c r="B2202" s="25" t="s">
        <v>6844</v>
      </c>
      <c r="C2202" s="8" t="s">
        <v>6845</v>
      </c>
      <c r="D2202" s="8" t="s">
        <v>4035</v>
      </c>
    </row>
    <row r="2203" spans="1:4" ht="36" customHeight="1">
      <c r="A2203" s="26">
        <v>2198</v>
      </c>
      <c r="B2203" s="25" t="s">
        <v>6846</v>
      </c>
      <c r="C2203" s="8" t="s">
        <v>6847</v>
      </c>
      <c r="D2203" s="8" t="s">
        <v>4035</v>
      </c>
    </row>
    <row r="2204" spans="1:4" ht="36" customHeight="1">
      <c r="A2204" s="26">
        <v>2199</v>
      </c>
      <c r="B2204" s="25" t="s">
        <v>6848</v>
      </c>
      <c r="C2204" s="8" t="s">
        <v>6849</v>
      </c>
      <c r="D2204" s="8" t="s">
        <v>4035</v>
      </c>
    </row>
    <row r="2205" spans="1:4" ht="36" customHeight="1">
      <c r="A2205" s="26">
        <v>2200</v>
      </c>
      <c r="B2205" s="25" t="s">
        <v>6850</v>
      </c>
      <c r="C2205" s="8" t="s">
        <v>6851</v>
      </c>
      <c r="D2205" s="8" t="s">
        <v>4035</v>
      </c>
    </row>
    <row r="2206" spans="1:4" ht="36" customHeight="1">
      <c r="A2206" s="26">
        <v>2201</v>
      </c>
      <c r="B2206" s="25" t="s">
        <v>6852</v>
      </c>
      <c r="C2206" s="8" t="s">
        <v>6853</v>
      </c>
      <c r="D2206" s="8" t="s">
        <v>4035</v>
      </c>
    </row>
    <row r="2207" spans="1:4" ht="36" customHeight="1">
      <c r="A2207" s="26">
        <v>2202</v>
      </c>
      <c r="B2207" s="25" t="s">
        <v>6854</v>
      </c>
      <c r="C2207" s="8" t="s">
        <v>6855</v>
      </c>
      <c r="D2207" s="8" t="s">
        <v>4035</v>
      </c>
    </row>
    <row r="2208" spans="1:4" ht="36" customHeight="1">
      <c r="A2208" s="26">
        <v>2203</v>
      </c>
      <c r="B2208" s="25" t="s">
        <v>6856</v>
      </c>
      <c r="C2208" s="8" t="s">
        <v>6857</v>
      </c>
      <c r="D2208" s="8" t="s">
        <v>4035</v>
      </c>
    </row>
    <row r="2209" spans="1:4" ht="36" customHeight="1">
      <c r="A2209" s="26">
        <v>2204</v>
      </c>
      <c r="B2209" s="25" t="s">
        <v>6858</v>
      </c>
      <c r="C2209" s="8" t="s">
        <v>6859</v>
      </c>
      <c r="D2209" s="8" t="s">
        <v>4035</v>
      </c>
    </row>
    <row r="2210" spans="1:4" ht="36" customHeight="1">
      <c r="A2210" s="26">
        <v>2205</v>
      </c>
      <c r="B2210" s="25" t="s">
        <v>6860</v>
      </c>
      <c r="C2210" s="8" t="s">
        <v>6861</v>
      </c>
      <c r="D2210" s="8" t="s">
        <v>4035</v>
      </c>
    </row>
    <row r="2211" spans="1:4" ht="36" customHeight="1">
      <c r="A2211" s="26">
        <v>2206</v>
      </c>
      <c r="B2211" s="25" t="s">
        <v>6862</v>
      </c>
      <c r="C2211" s="8" t="s">
        <v>6863</v>
      </c>
      <c r="D2211" s="8" t="s">
        <v>4035</v>
      </c>
    </row>
    <row r="2212" spans="1:4" ht="36" customHeight="1">
      <c r="A2212" s="26">
        <v>2207</v>
      </c>
      <c r="B2212" s="25" t="s">
        <v>6864</v>
      </c>
      <c r="C2212" s="8" t="s">
        <v>6865</v>
      </c>
      <c r="D2212" s="8" t="s">
        <v>4035</v>
      </c>
    </row>
    <row r="2213" spans="1:4" ht="36" customHeight="1">
      <c r="A2213" s="26">
        <v>2208</v>
      </c>
      <c r="B2213" s="25" t="s">
        <v>6866</v>
      </c>
      <c r="C2213" s="8" t="s">
        <v>6867</v>
      </c>
      <c r="D2213" s="8" t="s">
        <v>4035</v>
      </c>
    </row>
    <row r="2214" spans="1:4" ht="36" customHeight="1">
      <c r="A2214" s="26">
        <v>2209</v>
      </c>
      <c r="B2214" s="25" t="s">
        <v>6868</v>
      </c>
      <c r="C2214" s="8" t="s">
        <v>6869</v>
      </c>
      <c r="D2214" s="8" t="s">
        <v>4035</v>
      </c>
    </row>
    <row r="2215" spans="1:4" ht="36" customHeight="1">
      <c r="A2215" s="26">
        <v>2210</v>
      </c>
      <c r="B2215" s="25" t="s">
        <v>6870</v>
      </c>
      <c r="C2215" s="8" t="s">
        <v>6871</v>
      </c>
      <c r="D2215" s="8" t="s">
        <v>4035</v>
      </c>
    </row>
    <row r="2216" spans="1:4" ht="36" customHeight="1">
      <c r="A2216" s="26">
        <v>2211</v>
      </c>
      <c r="B2216" s="25" t="s">
        <v>6872</v>
      </c>
      <c r="C2216" s="8" t="s">
        <v>6873</v>
      </c>
      <c r="D2216" s="8" t="s">
        <v>4035</v>
      </c>
    </row>
    <row r="2217" spans="1:4" ht="36" customHeight="1">
      <c r="A2217" s="26">
        <v>2212</v>
      </c>
      <c r="B2217" s="25" t="s">
        <v>6874</v>
      </c>
      <c r="C2217" s="8" t="s">
        <v>6875</v>
      </c>
      <c r="D2217" s="8" t="s">
        <v>4035</v>
      </c>
    </row>
    <row r="2218" spans="1:4" ht="36" customHeight="1">
      <c r="A2218" s="26">
        <v>2213</v>
      </c>
      <c r="B2218" s="25" t="s">
        <v>6876</v>
      </c>
      <c r="C2218" s="8" t="s">
        <v>6877</v>
      </c>
      <c r="D2218" s="8" t="s">
        <v>4035</v>
      </c>
    </row>
    <row r="2219" spans="1:4" ht="36" customHeight="1">
      <c r="A2219" s="26">
        <v>2214</v>
      </c>
      <c r="B2219" s="25" t="s">
        <v>6878</v>
      </c>
      <c r="C2219" s="8" t="s">
        <v>6879</v>
      </c>
      <c r="D2219" s="8" t="s">
        <v>4035</v>
      </c>
    </row>
    <row r="2220" spans="1:4" ht="36" customHeight="1">
      <c r="A2220" s="26">
        <v>2215</v>
      </c>
      <c r="B2220" s="25" t="s">
        <v>6880</v>
      </c>
      <c r="C2220" s="8" t="s">
        <v>6881</v>
      </c>
      <c r="D2220" s="8" t="s">
        <v>4035</v>
      </c>
    </row>
    <row r="2221" spans="1:4" ht="36" customHeight="1">
      <c r="A2221" s="26">
        <v>2216</v>
      </c>
      <c r="B2221" s="25" t="s">
        <v>6882</v>
      </c>
      <c r="C2221" s="8" t="s">
        <v>6883</v>
      </c>
      <c r="D2221" s="8" t="s">
        <v>4035</v>
      </c>
    </row>
    <row r="2222" spans="1:4" ht="36" customHeight="1">
      <c r="A2222" s="26">
        <v>2217</v>
      </c>
      <c r="B2222" s="25" t="s">
        <v>6884</v>
      </c>
      <c r="C2222" s="8" t="s">
        <v>6885</v>
      </c>
      <c r="D2222" s="8" t="s">
        <v>4035</v>
      </c>
    </row>
    <row r="2223" spans="1:4" ht="36" customHeight="1">
      <c r="A2223" s="26">
        <v>2218</v>
      </c>
      <c r="B2223" s="25" t="s">
        <v>6886</v>
      </c>
      <c r="C2223" s="8" t="s">
        <v>6887</v>
      </c>
      <c r="D2223" s="8" t="s">
        <v>4035</v>
      </c>
    </row>
    <row r="2224" spans="1:4" ht="36" customHeight="1">
      <c r="A2224" s="26">
        <v>2219</v>
      </c>
      <c r="B2224" s="25" t="s">
        <v>6888</v>
      </c>
      <c r="C2224" s="8" t="s">
        <v>6889</v>
      </c>
      <c r="D2224" s="8" t="s">
        <v>4035</v>
      </c>
    </row>
    <row r="2225" spans="1:4" ht="36" customHeight="1">
      <c r="A2225" s="26">
        <v>2220</v>
      </c>
      <c r="B2225" s="25" t="s">
        <v>6890</v>
      </c>
      <c r="C2225" s="8" t="s">
        <v>6891</v>
      </c>
      <c r="D2225" s="8" t="s">
        <v>4035</v>
      </c>
    </row>
    <row r="2226" spans="1:4" ht="36" customHeight="1">
      <c r="A2226" s="26">
        <v>2221</v>
      </c>
      <c r="B2226" s="25" t="s">
        <v>6892</v>
      </c>
      <c r="C2226" s="8" t="s">
        <v>6893</v>
      </c>
      <c r="D2226" s="8" t="s">
        <v>4035</v>
      </c>
    </row>
    <row r="2227" spans="1:4" ht="36" customHeight="1">
      <c r="A2227" s="26">
        <v>2222</v>
      </c>
      <c r="B2227" s="25" t="s">
        <v>6894</v>
      </c>
      <c r="C2227" s="8" t="s">
        <v>6895</v>
      </c>
      <c r="D2227" s="8" t="s">
        <v>4035</v>
      </c>
    </row>
    <row r="2228" spans="1:4" ht="36" customHeight="1">
      <c r="A2228" s="26">
        <v>2223</v>
      </c>
      <c r="B2228" s="25" t="s">
        <v>6896</v>
      </c>
      <c r="C2228" s="8" t="s">
        <v>6897</v>
      </c>
      <c r="D2228" s="8" t="s">
        <v>4035</v>
      </c>
    </row>
    <row r="2229" spans="1:4" ht="36" customHeight="1">
      <c r="A2229" s="26">
        <v>2224</v>
      </c>
      <c r="B2229" s="25" t="s">
        <v>6898</v>
      </c>
      <c r="C2229" s="8" t="s">
        <v>6899</v>
      </c>
      <c r="D2229" s="8" t="s">
        <v>4035</v>
      </c>
    </row>
    <row r="2230" spans="1:4" ht="36" customHeight="1">
      <c r="A2230" s="26">
        <v>2225</v>
      </c>
      <c r="B2230" s="25" t="s">
        <v>6900</v>
      </c>
      <c r="C2230" s="8" t="s">
        <v>6901</v>
      </c>
      <c r="D2230" s="8" t="s">
        <v>4035</v>
      </c>
    </row>
    <row r="2231" spans="1:4" ht="36" customHeight="1">
      <c r="A2231" s="26">
        <v>2226</v>
      </c>
      <c r="B2231" s="25" t="s">
        <v>6902</v>
      </c>
      <c r="C2231" s="8" t="s">
        <v>6903</v>
      </c>
      <c r="D2231" s="8" t="s">
        <v>4035</v>
      </c>
    </row>
    <row r="2232" spans="1:4" ht="36" customHeight="1">
      <c r="A2232" s="26">
        <v>2227</v>
      </c>
      <c r="B2232" s="25" t="s">
        <v>6904</v>
      </c>
      <c r="C2232" s="8" t="s">
        <v>6905</v>
      </c>
      <c r="D2232" s="8" t="s">
        <v>4035</v>
      </c>
    </row>
    <row r="2233" spans="1:4" ht="36" customHeight="1">
      <c r="A2233" s="26">
        <v>2228</v>
      </c>
      <c r="B2233" s="25" t="s">
        <v>6906</v>
      </c>
      <c r="C2233" s="8" t="s">
        <v>6907</v>
      </c>
      <c r="D2233" s="8" t="s">
        <v>4035</v>
      </c>
    </row>
    <row r="2234" spans="1:4" ht="36" customHeight="1">
      <c r="A2234" s="26">
        <v>2229</v>
      </c>
      <c r="B2234" s="25" t="s">
        <v>6908</v>
      </c>
      <c r="C2234" s="8" t="s">
        <v>6909</v>
      </c>
      <c r="D2234" s="8" t="s">
        <v>4035</v>
      </c>
    </row>
    <row r="2235" spans="1:4" ht="36" customHeight="1">
      <c r="A2235" s="26">
        <v>2230</v>
      </c>
      <c r="B2235" s="25" t="s">
        <v>6910</v>
      </c>
      <c r="C2235" s="8" t="s">
        <v>6911</v>
      </c>
      <c r="D2235" s="8" t="s">
        <v>4035</v>
      </c>
    </row>
    <row r="2236" spans="1:4" ht="36" customHeight="1">
      <c r="A2236" s="26">
        <v>2231</v>
      </c>
      <c r="B2236" s="25" t="s">
        <v>6912</v>
      </c>
      <c r="C2236" s="8" t="s">
        <v>6913</v>
      </c>
      <c r="D2236" s="8" t="s">
        <v>4035</v>
      </c>
    </row>
    <row r="2237" spans="1:4" ht="36" customHeight="1">
      <c r="A2237" s="26">
        <v>2232</v>
      </c>
      <c r="B2237" s="25" t="s">
        <v>6914</v>
      </c>
      <c r="C2237" s="8" t="s">
        <v>6915</v>
      </c>
      <c r="D2237" s="8" t="s">
        <v>4035</v>
      </c>
    </row>
    <row r="2238" spans="1:4" ht="36" customHeight="1">
      <c r="A2238" s="26">
        <v>2233</v>
      </c>
      <c r="B2238" s="25" t="s">
        <v>6916</v>
      </c>
      <c r="C2238" s="8" t="s">
        <v>6917</v>
      </c>
      <c r="D2238" s="8" t="s">
        <v>4035</v>
      </c>
    </row>
    <row r="2239" spans="1:4" ht="36" customHeight="1">
      <c r="A2239" s="26">
        <v>2234</v>
      </c>
      <c r="B2239" s="25" t="s">
        <v>6918</v>
      </c>
      <c r="C2239" s="8" t="s">
        <v>6919</v>
      </c>
      <c r="D2239" s="8" t="s">
        <v>4035</v>
      </c>
    </row>
    <row r="2240" spans="1:4" ht="36" customHeight="1">
      <c r="A2240" s="26">
        <v>2235</v>
      </c>
      <c r="B2240" s="25" t="s">
        <v>6920</v>
      </c>
      <c r="C2240" s="8" t="s">
        <v>6921</v>
      </c>
      <c r="D2240" s="8" t="s">
        <v>4035</v>
      </c>
    </row>
    <row r="2241" spans="1:4" ht="36" customHeight="1">
      <c r="A2241" s="26">
        <v>2236</v>
      </c>
      <c r="B2241" s="25" t="s">
        <v>6922</v>
      </c>
      <c r="C2241" s="8" t="s">
        <v>6923</v>
      </c>
      <c r="D2241" s="8" t="s">
        <v>4035</v>
      </c>
    </row>
    <row r="2242" spans="1:4" ht="36" customHeight="1">
      <c r="A2242" s="26">
        <v>2237</v>
      </c>
      <c r="B2242" s="25" t="s">
        <v>6924</v>
      </c>
      <c r="C2242" s="8" t="s">
        <v>6925</v>
      </c>
      <c r="D2242" s="8" t="s">
        <v>4035</v>
      </c>
    </row>
    <row r="2243" spans="1:4" ht="36" customHeight="1">
      <c r="A2243" s="26">
        <v>2238</v>
      </c>
      <c r="B2243" s="25" t="s">
        <v>6926</v>
      </c>
      <c r="C2243" s="8" t="s">
        <v>6927</v>
      </c>
      <c r="D2243" s="8" t="s">
        <v>4035</v>
      </c>
    </row>
    <row r="2244" spans="1:4" ht="36" customHeight="1">
      <c r="A2244" s="26">
        <v>2239</v>
      </c>
      <c r="B2244" s="25" t="s">
        <v>6928</v>
      </c>
      <c r="C2244" s="8" t="s">
        <v>6929</v>
      </c>
      <c r="D2244" s="8" t="s">
        <v>4035</v>
      </c>
    </row>
    <row r="2245" spans="1:4" ht="36" customHeight="1">
      <c r="A2245" s="26">
        <v>2240</v>
      </c>
      <c r="B2245" s="25" t="s">
        <v>6930</v>
      </c>
      <c r="C2245" s="8" t="s">
        <v>6931</v>
      </c>
      <c r="D2245" s="8" t="s">
        <v>4035</v>
      </c>
    </row>
    <row r="2246" spans="1:4" ht="36" customHeight="1">
      <c r="A2246" s="26">
        <v>2241</v>
      </c>
      <c r="B2246" s="25" t="s">
        <v>6932</v>
      </c>
      <c r="C2246" s="8" t="s">
        <v>6933</v>
      </c>
      <c r="D2246" s="8" t="s">
        <v>4035</v>
      </c>
    </row>
    <row r="2247" spans="1:4" ht="36" customHeight="1">
      <c r="A2247" s="26">
        <v>2242</v>
      </c>
      <c r="B2247" s="25" t="s">
        <v>6934</v>
      </c>
      <c r="C2247" s="8" t="s">
        <v>6935</v>
      </c>
      <c r="D2247" s="8" t="s">
        <v>4035</v>
      </c>
    </row>
    <row r="2248" spans="1:4" ht="36" customHeight="1">
      <c r="A2248" s="26">
        <v>2243</v>
      </c>
      <c r="B2248" s="25" t="s">
        <v>6936</v>
      </c>
      <c r="C2248" s="8" t="s">
        <v>6937</v>
      </c>
      <c r="D2248" s="8" t="s">
        <v>4035</v>
      </c>
    </row>
    <row r="2249" spans="1:4" ht="36" customHeight="1">
      <c r="A2249" s="26">
        <v>2244</v>
      </c>
      <c r="B2249" s="25" t="s">
        <v>6938</v>
      </c>
      <c r="C2249" s="8" t="s">
        <v>6939</v>
      </c>
      <c r="D2249" s="8" t="s">
        <v>4035</v>
      </c>
    </row>
    <row r="2250" spans="1:4" ht="36" customHeight="1">
      <c r="A2250" s="26">
        <v>2245</v>
      </c>
      <c r="B2250" s="25" t="s">
        <v>6940</v>
      </c>
      <c r="C2250" s="8" t="s">
        <v>6941</v>
      </c>
      <c r="D2250" s="8" t="s">
        <v>4035</v>
      </c>
    </row>
    <row r="2251" spans="1:4" ht="36" customHeight="1">
      <c r="A2251" s="26">
        <v>2246</v>
      </c>
      <c r="B2251" s="25" t="s">
        <v>6942</v>
      </c>
      <c r="C2251" s="8" t="s">
        <v>6943</v>
      </c>
      <c r="D2251" s="8" t="s">
        <v>4035</v>
      </c>
    </row>
    <row r="2252" spans="1:4" ht="36" customHeight="1">
      <c r="A2252" s="26">
        <v>2247</v>
      </c>
      <c r="B2252" s="25" t="s">
        <v>6944</v>
      </c>
      <c r="C2252" s="8" t="s">
        <v>6945</v>
      </c>
      <c r="D2252" s="8" t="s">
        <v>4035</v>
      </c>
    </row>
    <row r="2253" spans="1:4" ht="36" customHeight="1">
      <c r="A2253" s="26">
        <v>2248</v>
      </c>
      <c r="B2253" s="25" t="s">
        <v>6946</v>
      </c>
      <c r="C2253" s="8" t="s">
        <v>6947</v>
      </c>
      <c r="D2253" s="8" t="s">
        <v>4035</v>
      </c>
    </row>
    <row r="2254" spans="1:4" ht="36" customHeight="1">
      <c r="A2254" s="26">
        <v>2249</v>
      </c>
      <c r="B2254" s="25" t="s">
        <v>6948</v>
      </c>
      <c r="C2254" s="8" t="s">
        <v>6949</v>
      </c>
      <c r="D2254" s="8" t="s">
        <v>4035</v>
      </c>
    </row>
    <row r="2255" spans="1:4" ht="36" customHeight="1">
      <c r="A2255" s="26">
        <v>2250</v>
      </c>
      <c r="B2255" s="25" t="s">
        <v>6950</v>
      </c>
      <c r="C2255" s="8" t="s">
        <v>6951</v>
      </c>
      <c r="D2255" s="8" t="s">
        <v>4035</v>
      </c>
    </row>
    <row r="2256" spans="1:4" ht="36" customHeight="1">
      <c r="A2256" s="26">
        <v>2251</v>
      </c>
      <c r="B2256" s="25" t="s">
        <v>6952</v>
      </c>
      <c r="C2256" s="8" t="s">
        <v>6953</v>
      </c>
      <c r="D2256" s="8" t="s">
        <v>4035</v>
      </c>
    </row>
    <row r="2257" spans="1:4" ht="36" customHeight="1">
      <c r="A2257" s="26">
        <v>2252</v>
      </c>
      <c r="B2257" s="25" t="s">
        <v>6954</v>
      </c>
      <c r="C2257" s="8" t="s">
        <v>6955</v>
      </c>
      <c r="D2257" s="8" t="s">
        <v>4035</v>
      </c>
    </row>
    <row r="2258" spans="1:4" ht="36" customHeight="1">
      <c r="A2258" s="26">
        <v>2253</v>
      </c>
      <c r="B2258" s="25" t="s">
        <v>6956</v>
      </c>
      <c r="C2258" s="8" t="s">
        <v>6957</v>
      </c>
      <c r="D2258" s="8" t="s">
        <v>4035</v>
      </c>
    </row>
    <row r="2259" spans="1:4" ht="36" customHeight="1">
      <c r="A2259" s="26">
        <v>2254</v>
      </c>
      <c r="B2259" s="25" t="s">
        <v>6958</v>
      </c>
      <c r="C2259" s="8" t="s">
        <v>6959</v>
      </c>
      <c r="D2259" s="8" t="s">
        <v>4035</v>
      </c>
    </row>
    <row r="2260" spans="1:4" ht="36" customHeight="1">
      <c r="A2260" s="26">
        <v>2255</v>
      </c>
      <c r="B2260" s="25" t="s">
        <v>6960</v>
      </c>
      <c r="C2260" s="8" t="s">
        <v>6961</v>
      </c>
      <c r="D2260" s="8" t="s">
        <v>4035</v>
      </c>
    </row>
    <row r="2261" spans="1:4" ht="36" customHeight="1">
      <c r="A2261" s="26">
        <v>2256</v>
      </c>
      <c r="B2261" s="25" t="s">
        <v>6962</v>
      </c>
      <c r="C2261" s="8" t="s">
        <v>6963</v>
      </c>
      <c r="D2261" s="8" t="s">
        <v>4035</v>
      </c>
    </row>
    <row r="2262" spans="1:4" ht="36" customHeight="1">
      <c r="A2262" s="26">
        <v>2257</v>
      </c>
      <c r="B2262" s="25" t="s">
        <v>6964</v>
      </c>
      <c r="C2262" s="8" t="s">
        <v>6965</v>
      </c>
      <c r="D2262" s="8" t="s">
        <v>4035</v>
      </c>
    </row>
    <row r="2263" spans="1:4" ht="36" customHeight="1">
      <c r="A2263" s="26">
        <v>2258</v>
      </c>
      <c r="B2263" s="25" t="s">
        <v>6966</v>
      </c>
      <c r="C2263" s="8" t="s">
        <v>6967</v>
      </c>
      <c r="D2263" s="8" t="s">
        <v>4035</v>
      </c>
    </row>
    <row r="2264" spans="1:4" ht="36" customHeight="1">
      <c r="A2264" s="26">
        <v>2259</v>
      </c>
      <c r="B2264" s="25" t="s">
        <v>6968</v>
      </c>
      <c r="C2264" s="8" t="s">
        <v>6969</v>
      </c>
      <c r="D2264" s="8" t="s">
        <v>4035</v>
      </c>
    </row>
    <row r="2265" spans="1:4" ht="36" customHeight="1">
      <c r="A2265" s="26">
        <v>2260</v>
      </c>
      <c r="B2265" s="25" t="s">
        <v>6970</v>
      </c>
      <c r="C2265" s="8" t="s">
        <v>6971</v>
      </c>
      <c r="D2265" s="8" t="s">
        <v>4035</v>
      </c>
    </row>
    <row r="2266" spans="1:4" ht="36" customHeight="1">
      <c r="A2266" s="26">
        <v>2261</v>
      </c>
      <c r="B2266" s="25" t="s">
        <v>6972</v>
      </c>
      <c r="C2266" s="8" t="s">
        <v>6973</v>
      </c>
      <c r="D2266" s="8" t="s">
        <v>4035</v>
      </c>
    </row>
    <row r="2267" spans="1:4" ht="36" customHeight="1">
      <c r="A2267" s="26">
        <v>2262</v>
      </c>
      <c r="B2267" s="25" t="s">
        <v>6974</v>
      </c>
      <c r="C2267" s="8" t="s">
        <v>6975</v>
      </c>
      <c r="D2267" s="8" t="s">
        <v>4035</v>
      </c>
    </row>
    <row r="2268" spans="1:4" ht="36" customHeight="1">
      <c r="A2268" s="26">
        <v>2263</v>
      </c>
      <c r="B2268" s="25" t="s">
        <v>6976</v>
      </c>
      <c r="C2268" s="8" t="s">
        <v>6977</v>
      </c>
      <c r="D2268" s="8" t="s">
        <v>4035</v>
      </c>
    </row>
    <row r="2269" spans="1:4" ht="36" customHeight="1">
      <c r="A2269" s="26">
        <v>2264</v>
      </c>
      <c r="B2269" s="25" t="s">
        <v>6978</v>
      </c>
      <c r="C2269" s="8" t="s">
        <v>6979</v>
      </c>
      <c r="D2269" s="8" t="s">
        <v>4035</v>
      </c>
    </row>
    <row r="2270" spans="1:4" ht="36" customHeight="1">
      <c r="A2270" s="26">
        <v>2265</v>
      </c>
      <c r="B2270" s="25" t="s">
        <v>6980</v>
      </c>
      <c r="C2270" s="8" t="s">
        <v>6981</v>
      </c>
      <c r="D2270" s="8" t="s">
        <v>4035</v>
      </c>
    </row>
    <row r="2271" spans="1:4" ht="36" customHeight="1">
      <c r="A2271" s="26">
        <v>2266</v>
      </c>
      <c r="B2271" s="25" t="s">
        <v>6982</v>
      </c>
      <c r="C2271" s="8" t="s">
        <v>6983</v>
      </c>
      <c r="D2271" s="8" t="s">
        <v>4035</v>
      </c>
    </row>
    <row r="2272" spans="1:4" ht="36" customHeight="1">
      <c r="A2272" s="26">
        <v>2267</v>
      </c>
      <c r="B2272" s="25" t="s">
        <v>6984</v>
      </c>
      <c r="C2272" s="8" t="s">
        <v>6985</v>
      </c>
      <c r="D2272" s="8" t="s">
        <v>4035</v>
      </c>
    </row>
    <row r="2273" spans="1:4" ht="36" customHeight="1">
      <c r="A2273" s="26">
        <v>2268</v>
      </c>
      <c r="B2273" s="25" t="s">
        <v>6986</v>
      </c>
      <c r="C2273" s="8" t="s">
        <v>6987</v>
      </c>
      <c r="D2273" s="8" t="s">
        <v>4035</v>
      </c>
    </row>
    <row r="2274" spans="1:4" ht="36" customHeight="1">
      <c r="A2274" s="26">
        <v>2269</v>
      </c>
      <c r="B2274" s="25" t="s">
        <v>6988</v>
      </c>
      <c r="C2274" s="8" t="s">
        <v>6989</v>
      </c>
      <c r="D2274" s="8" t="s">
        <v>4035</v>
      </c>
    </row>
    <row r="2275" spans="1:4" ht="36" customHeight="1">
      <c r="A2275" s="26">
        <v>2270</v>
      </c>
      <c r="B2275" s="25" t="s">
        <v>6990</v>
      </c>
      <c r="C2275" s="8" t="s">
        <v>6991</v>
      </c>
      <c r="D2275" s="8" t="s">
        <v>4035</v>
      </c>
    </row>
    <row r="2276" spans="1:4" ht="36" customHeight="1">
      <c r="A2276" s="26">
        <v>2271</v>
      </c>
      <c r="B2276" s="25" t="s">
        <v>6992</v>
      </c>
      <c r="C2276" s="8" t="s">
        <v>6993</v>
      </c>
      <c r="D2276" s="8" t="s">
        <v>4035</v>
      </c>
    </row>
    <row r="2277" spans="1:4" ht="36" customHeight="1">
      <c r="A2277" s="26">
        <v>2272</v>
      </c>
      <c r="B2277" s="25" t="s">
        <v>6994</v>
      </c>
      <c r="C2277" s="8" t="s">
        <v>6995</v>
      </c>
      <c r="D2277" s="8" t="s">
        <v>4035</v>
      </c>
    </row>
    <row r="2278" spans="1:4" ht="36" customHeight="1">
      <c r="A2278" s="26">
        <v>2273</v>
      </c>
      <c r="B2278" s="25" t="s">
        <v>6996</v>
      </c>
      <c r="C2278" s="8" t="s">
        <v>6997</v>
      </c>
      <c r="D2278" s="8" t="s">
        <v>4035</v>
      </c>
    </row>
    <row r="2279" spans="1:4" ht="36" customHeight="1">
      <c r="A2279" s="26">
        <v>2274</v>
      </c>
      <c r="B2279" s="25" t="s">
        <v>6998</v>
      </c>
      <c r="C2279" s="8" t="s">
        <v>6999</v>
      </c>
      <c r="D2279" s="8" t="s">
        <v>4035</v>
      </c>
    </row>
    <row r="2280" spans="1:4" ht="36" customHeight="1">
      <c r="A2280" s="26">
        <v>2275</v>
      </c>
      <c r="B2280" s="25" t="s">
        <v>7000</v>
      </c>
      <c r="C2280" s="8" t="s">
        <v>7001</v>
      </c>
      <c r="D2280" s="8" t="s">
        <v>4035</v>
      </c>
    </row>
    <row r="2281" spans="1:4" ht="36" customHeight="1">
      <c r="A2281" s="26">
        <v>2276</v>
      </c>
      <c r="B2281" s="25" t="s">
        <v>7002</v>
      </c>
      <c r="C2281" s="8" t="s">
        <v>7003</v>
      </c>
      <c r="D2281" s="8" t="s">
        <v>4035</v>
      </c>
    </row>
    <row r="2282" spans="1:4" ht="36" customHeight="1">
      <c r="A2282" s="26">
        <v>2277</v>
      </c>
      <c r="B2282" s="25" t="s">
        <v>7004</v>
      </c>
      <c r="C2282" s="8" t="s">
        <v>7005</v>
      </c>
      <c r="D2282" s="8" t="s">
        <v>4035</v>
      </c>
    </row>
    <row r="2283" spans="1:4" ht="36" customHeight="1">
      <c r="A2283" s="26">
        <v>2278</v>
      </c>
      <c r="B2283" s="25" t="s">
        <v>7006</v>
      </c>
      <c r="C2283" s="8" t="s">
        <v>7007</v>
      </c>
      <c r="D2283" s="8" t="s">
        <v>4035</v>
      </c>
    </row>
    <row r="2284" spans="1:4" ht="36" customHeight="1">
      <c r="A2284" s="26">
        <v>2279</v>
      </c>
      <c r="B2284" s="25" t="s">
        <v>7008</v>
      </c>
      <c r="C2284" s="8" t="s">
        <v>7009</v>
      </c>
      <c r="D2284" s="8" t="s">
        <v>4035</v>
      </c>
    </row>
    <row r="2285" spans="1:4" ht="36" customHeight="1">
      <c r="A2285" s="26">
        <v>2280</v>
      </c>
      <c r="B2285" s="25" t="s">
        <v>7010</v>
      </c>
      <c r="C2285" s="8" t="s">
        <v>7011</v>
      </c>
      <c r="D2285" s="8" t="s">
        <v>4035</v>
      </c>
    </row>
    <row r="2286" spans="1:4" ht="36" customHeight="1">
      <c r="A2286" s="26">
        <v>2281</v>
      </c>
      <c r="B2286" s="25" t="s">
        <v>7012</v>
      </c>
      <c r="C2286" s="8" t="s">
        <v>7013</v>
      </c>
      <c r="D2286" s="8" t="s">
        <v>4035</v>
      </c>
    </row>
    <row r="2287" spans="1:4" ht="36" customHeight="1">
      <c r="A2287" s="26">
        <v>2282</v>
      </c>
      <c r="B2287" s="25" t="s">
        <v>7014</v>
      </c>
      <c r="C2287" s="8" t="s">
        <v>7015</v>
      </c>
      <c r="D2287" s="8" t="s">
        <v>4035</v>
      </c>
    </row>
    <row r="2288" spans="1:4" ht="36" customHeight="1">
      <c r="A2288" s="26">
        <v>2283</v>
      </c>
      <c r="B2288" s="25" t="s">
        <v>7016</v>
      </c>
      <c r="C2288" s="8" t="s">
        <v>7017</v>
      </c>
      <c r="D2288" s="8" t="s">
        <v>4035</v>
      </c>
    </row>
    <row r="2289" spans="1:4" ht="36" customHeight="1">
      <c r="A2289" s="26">
        <v>2284</v>
      </c>
      <c r="B2289" s="25" t="s">
        <v>7018</v>
      </c>
      <c r="C2289" s="8" t="s">
        <v>7017</v>
      </c>
      <c r="D2289" s="8" t="s">
        <v>4035</v>
      </c>
    </row>
    <row r="2290" spans="1:4" ht="36" customHeight="1">
      <c r="A2290" s="26">
        <v>2285</v>
      </c>
      <c r="B2290" s="25" t="s">
        <v>7019</v>
      </c>
      <c r="C2290" s="8" t="s">
        <v>7017</v>
      </c>
      <c r="D2290" s="8" t="s">
        <v>4035</v>
      </c>
    </row>
    <row r="2291" spans="1:4" ht="36" customHeight="1">
      <c r="A2291" s="26">
        <v>2286</v>
      </c>
      <c r="B2291" s="25" t="s">
        <v>7020</v>
      </c>
      <c r="C2291" s="8" t="s">
        <v>7017</v>
      </c>
      <c r="D2291" s="8" t="s">
        <v>4035</v>
      </c>
    </row>
    <row r="2292" spans="1:4" ht="36" customHeight="1">
      <c r="A2292" s="26">
        <v>2287</v>
      </c>
      <c r="B2292" s="25" t="s">
        <v>7021</v>
      </c>
      <c r="C2292" s="8" t="s">
        <v>7017</v>
      </c>
      <c r="D2292" s="8" t="s">
        <v>4035</v>
      </c>
    </row>
    <row r="2293" spans="1:4" ht="36" customHeight="1">
      <c r="A2293" s="26">
        <v>2288</v>
      </c>
      <c r="B2293" s="25" t="s">
        <v>7022</v>
      </c>
      <c r="C2293" s="8" t="s">
        <v>7017</v>
      </c>
      <c r="D2293" s="8" t="s">
        <v>4035</v>
      </c>
    </row>
    <row r="2294" spans="1:4" ht="36" customHeight="1">
      <c r="A2294" s="26">
        <v>2289</v>
      </c>
      <c r="B2294" s="25" t="s">
        <v>7023</v>
      </c>
      <c r="C2294" s="8" t="s">
        <v>7017</v>
      </c>
      <c r="D2294" s="8" t="s">
        <v>4035</v>
      </c>
    </row>
    <row r="2295" spans="1:4" ht="36" customHeight="1">
      <c r="A2295" s="26">
        <v>2290</v>
      </c>
      <c r="B2295" s="25" t="s">
        <v>7024</v>
      </c>
      <c r="C2295" s="8" t="s">
        <v>7025</v>
      </c>
      <c r="D2295" s="8" t="s">
        <v>4035</v>
      </c>
    </row>
    <row r="2296" spans="1:4" ht="36" customHeight="1">
      <c r="A2296" s="26">
        <v>2291</v>
      </c>
      <c r="B2296" s="25" t="s">
        <v>7026</v>
      </c>
      <c r="C2296" s="8" t="s">
        <v>7027</v>
      </c>
      <c r="D2296" s="8" t="s">
        <v>4035</v>
      </c>
    </row>
    <row r="2297" spans="1:4" ht="36" customHeight="1">
      <c r="A2297" s="26">
        <v>2292</v>
      </c>
      <c r="B2297" s="25" t="s">
        <v>7028</v>
      </c>
      <c r="C2297" s="8" t="s">
        <v>7029</v>
      </c>
      <c r="D2297" s="8" t="s">
        <v>4035</v>
      </c>
    </row>
    <row r="2298" spans="1:4" ht="36" customHeight="1">
      <c r="A2298" s="26">
        <v>2293</v>
      </c>
      <c r="B2298" s="25" t="s">
        <v>7030</v>
      </c>
      <c r="C2298" s="8" t="s">
        <v>7031</v>
      </c>
      <c r="D2298" s="8" t="s">
        <v>4035</v>
      </c>
    </row>
    <row r="2299" spans="1:4" ht="36" customHeight="1">
      <c r="A2299" s="26">
        <v>2294</v>
      </c>
      <c r="B2299" s="25" t="s">
        <v>7032</v>
      </c>
      <c r="C2299" s="8" t="s">
        <v>7033</v>
      </c>
      <c r="D2299" s="8" t="s">
        <v>4035</v>
      </c>
    </row>
    <row r="2300" spans="1:4" ht="36" customHeight="1">
      <c r="A2300" s="26">
        <v>2295</v>
      </c>
      <c r="B2300" s="25" t="s">
        <v>7034</v>
      </c>
      <c r="C2300" s="8" t="s">
        <v>7035</v>
      </c>
      <c r="D2300" s="8" t="s">
        <v>4035</v>
      </c>
    </row>
    <row r="2301" spans="1:4" ht="36" customHeight="1">
      <c r="A2301" s="26">
        <v>2296</v>
      </c>
      <c r="B2301" s="25" t="s">
        <v>7036</v>
      </c>
      <c r="C2301" s="8" t="s">
        <v>7037</v>
      </c>
      <c r="D2301" s="8" t="s">
        <v>4035</v>
      </c>
    </row>
    <row r="2302" spans="1:4" ht="36" customHeight="1">
      <c r="A2302" s="26">
        <v>2297</v>
      </c>
      <c r="B2302" s="25" t="s">
        <v>7038</v>
      </c>
      <c r="C2302" s="8" t="s">
        <v>7039</v>
      </c>
      <c r="D2302" s="8" t="s">
        <v>4035</v>
      </c>
    </row>
    <row r="2303" spans="1:4" ht="36" customHeight="1">
      <c r="A2303" s="26">
        <v>2298</v>
      </c>
      <c r="B2303" s="25" t="s">
        <v>7040</v>
      </c>
      <c r="C2303" s="8" t="s">
        <v>7041</v>
      </c>
      <c r="D2303" s="8" t="s">
        <v>4035</v>
      </c>
    </row>
    <row r="2304" spans="1:4" ht="36" customHeight="1">
      <c r="A2304" s="26">
        <v>2299</v>
      </c>
      <c r="B2304" s="25" t="s">
        <v>7042</v>
      </c>
      <c r="C2304" s="8" t="s">
        <v>7043</v>
      </c>
      <c r="D2304" s="8" t="s">
        <v>4035</v>
      </c>
    </row>
    <row r="2305" spans="1:4" ht="36" customHeight="1">
      <c r="A2305" s="26">
        <v>2300</v>
      </c>
      <c r="B2305" s="25" t="s">
        <v>7044</v>
      </c>
      <c r="C2305" s="8" t="s">
        <v>7045</v>
      </c>
      <c r="D2305" s="8" t="s">
        <v>4035</v>
      </c>
    </row>
    <row r="2306" spans="1:4" ht="36" customHeight="1">
      <c r="A2306" s="26">
        <v>2301</v>
      </c>
      <c r="B2306" s="25" t="s">
        <v>7046</v>
      </c>
      <c r="C2306" s="8" t="s">
        <v>7047</v>
      </c>
      <c r="D2306" s="8" t="s">
        <v>4035</v>
      </c>
    </row>
    <row r="2307" spans="1:4" ht="36" customHeight="1">
      <c r="A2307" s="26">
        <v>2302</v>
      </c>
      <c r="B2307" s="25" t="s">
        <v>7048</v>
      </c>
      <c r="C2307" s="8" t="s">
        <v>7049</v>
      </c>
      <c r="D2307" s="8" t="s">
        <v>4035</v>
      </c>
    </row>
    <row r="2308" spans="1:4" ht="36" customHeight="1">
      <c r="A2308" s="26">
        <v>2303</v>
      </c>
      <c r="B2308" s="25" t="s">
        <v>7050</v>
      </c>
      <c r="C2308" s="8" t="s">
        <v>7051</v>
      </c>
      <c r="D2308" s="8" t="s">
        <v>4035</v>
      </c>
    </row>
    <row r="2309" spans="1:4" ht="36" customHeight="1">
      <c r="A2309" s="26">
        <v>2304</v>
      </c>
      <c r="B2309" s="25" t="s">
        <v>7052</v>
      </c>
      <c r="C2309" s="8" t="s">
        <v>7053</v>
      </c>
      <c r="D2309" s="8" t="s">
        <v>4035</v>
      </c>
    </row>
    <row r="2310" spans="1:4" ht="36" customHeight="1">
      <c r="A2310" s="26">
        <v>2305</v>
      </c>
      <c r="B2310" s="25" t="s">
        <v>7054</v>
      </c>
      <c r="C2310" s="8" t="s">
        <v>7055</v>
      </c>
      <c r="D2310" s="8" t="s">
        <v>4035</v>
      </c>
    </row>
    <row r="2311" spans="1:4" ht="36" customHeight="1">
      <c r="A2311" s="26">
        <v>2306</v>
      </c>
      <c r="B2311" s="25" t="s">
        <v>7056</v>
      </c>
      <c r="C2311" s="8" t="s">
        <v>7057</v>
      </c>
      <c r="D2311" s="8" t="s">
        <v>4035</v>
      </c>
    </row>
    <row r="2312" spans="1:4" ht="36" customHeight="1">
      <c r="A2312" s="26">
        <v>2307</v>
      </c>
      <c r="B2312" s="25" t="s">
        <v>7058</v>
      </c>
      <c r="C2312" s="8" t="s">
        <v>7059</v>
      </c>
      <c r="D2312" s="8" t="s">
        <v>4035</v>
      </c>
    </row>
    <row r="2313" spans="1:4" ht="36" customHeight="1">
      <c r="A2313" s="26">
        <v>2308</v>
      </c>
      <c r="B2313" s="25" t="s">
        <v>7060</v>
      </c>
      <c r="C2313" s="8" t="s">
        <v>7061</v>
      </c>
      <c r="D2313" s="8" t="s">
        <v>4035</v>
      </c>
    </row>
    <row r="2314" spans="1:4" ht="36" customHeight="1">
      <c r="A2314" s="26">
        <v>2309</v>
      </c>
      <c r="B2314" s="25" t="s">
        <v>7062</v>
      </c>
      <c r="C2314" s="8" t="s">
        <v>7063</v>
      </c>
      <c r="D2314" s="8" t="s">
        <v>4035</v>
      </c>
    </row>
    <row r="2315" spans="1:4" ht="36" customHeight="1">
      <c r="A2315" s="26">
        <v>2310</v>
      </c>
      <c r="B2315" s="25" t="s">
        <v>7064</v>
      </c>
      <c r="C2315" s="8" t="s">
        <v>7065</v>
      </c>
      <c r="D2315" s="8" t="s">
        <v>4035</v>
      </c>
    </row>
    <row r="2316" spans="1:4" ht="36" customHeight="1">
      <c r="A2316" s="26">
        <v>2311</v>
      </c>
      <c r="B2316" s="25" t="s">
        <v>7066</v>
      </c>
      <c r="C2316" s="8" t="s">
        <v>7067</v>
      </c>
      <c r="D2316" s="8" t="s">
        <v>4035</v>
      </c>
    </row>
    <row r="2317" spans="1:4" ht="36" customHeight="1">
      <c r="A2317" s="26">
        <v>2312</v>
      </c>
      <c r="B2317" s="25" t="s">
        <v>7068</v>
      </c>
      <c r="C2317" s="8" t="s">
        <v>7069</v>
      </c>
      <c r="D2317" s="8" t="s">
        <v>4035</v>
      </c>
    </row>
    <row r="2318" spans="1:4" ht="36" customHeight="1">
      <c r="A2318" s="26">
        <v>2313</v>
      </c>
      <c r="B2318" s="25" t="s">
        <v>7070</v>
      </c>
      <c r="C2318" s="8" t="s">
        <v>7071</v>
      </c>
      <c r="D2318" s="8" t="s">
        <v>4035</v>
      </c>
    </row>
    <row r="2319" spans="1:4" ht="36" customHeight="1">
      <c r="A2319" s="26">
        <v>2314</v>
      </c>
      <c r="B2319" s="25" t="s">
        <v>7072</v>
      </c>
      <c r="C2319" s="8" t="s">
        <v>7073</v>
      </c>
      <c r="D2319" s="8" t="s">
        <v>4035</v>
      </c>
    </row>
    <row r="2320" spans="1:4" ht="36" customHeight="1">
      <c r="A2320" s="26">
        <v>2315</v>
      </c>
      <c r="B2320" s="25" t="s">
        <v>7074</v>
      </c>
      <c r="C2320" s="8" t="s">
        <v>7075</v>
      </c>
      <c r="D2320" s="8" t="s">
        <v>4035</v>
      </c>
    </row>
    <row r="2321" spans="1:4" ht="36" customHeight="1">
      <c r="A2321" s="26">
        <v>2316</v>
      </c>
      <c r="B2321" s="25" t="s">
        <v>7076</v>
      </c>
      <c r="C2321" s="8" t="s">
        <v>7077</v>
      </c>
      <c r="D2321" s="8" t="s">
        <v>4035</v>
      </c>
    </row>
    <row r="2322" spans="1:4" ht="36" customHeight="1">
      <c r="A2322" s="26">
        <v>2317</v>
      </c>
      <c r="B2322" s="25" t="s">
        <v>7078</v>
      </c>
      <c r="C2322" s="8" t="s">
        <v>7079</v>
      </c>
      <c r="D2322" s="8" t="s">
        <v>4035</v>
      </c>
    </row>
    <row r="2323" spans="1:4" ht="36" customHeight="1">
      <c r="A2323" s="26">
        <v>2318</v>
      </c>
      <c r="B2323" s="25" t="s">
        <v>7080</v>
      </c>
      <c r="C2323" s="8" t="s">
        <v>7081</v>
      </c>
      <c r="D2323" s="8" t="s">
        <v>4035</v>
      </c>
    </row>
    <row r="2324" spans="1:4" ht="36" customHeight="1">
      <c r="A2324" s="26">
        <v>2319</v>
      </c>
      <c r="B2324" s="25" t="s">
        <v>7082</v>
      </c>
      <c r="C2324" s="8" t="s">
        <v>7083</v>
      </c>
      <c r="D2324" s="8" t="s">
        <v>4035</v>
      </c>
    </row>
    <row r="2325" spans="1:4" ht="36" customHeight="1">
      <c r="A2325" s="26">
        <v>2320</v>
      </c>
      <c r="B2325" s="25" t="s">
        <v>7084</v>
      </c>
      <c r="C2325" s="8" t="s">
        <v>7085</v>
      </c>
      <c r="D2325" s="8" t="s">
        <v>4035</v>
      </c>
    </row>
    <row r="2326" spans="1:4" ht="36" customHeight="1">
      <c r="A2326" s="26">
        <v>2321</v>
      </c>
      <c r="B2326" s="25" t="s">
        <v>7086</v>
      </c>
      <c r="C2326" s="8" t="s">
        <v>7087</v>
      </c>
      <c r="D2326" s="8" t="s">
        <v>4035</v>
      </c>
    </row>
    <row r="2327" spans="1:4" ht="36" customHeight="1">
      <c r="A2327" s="26">
        <v>2322</v>
      </c>
      <c r="B2327" s="25" t="s">
        <v>7088</v>
      </c>
      <c r="C2327" s="8" t="s">
        <v>7089</v>
      </c>
      <c r="D2327" s="8" t="s">
        <v>4035</v>
      </c>
    </row>
    <row r="2328" spans="1:4" ht="36" customHeight="1">
      <c r="A2328" s="26">
        <v>2323</v>
      </c>
      <c r="B2328" s="25" t="s">
        <v>7090</v>
      </c>
      <c r="C2328" s="8" t="s">
        <v>7091</v>
      </c>
      <c r="D2328" s="8" t="s">
        <v>4035</v>
      </c>
    </row>
    <row r="2329" spans="1:4" ht="36" customHeight="1">
      <c r="A2329" s="26">
        <v>2324</v>
      </c>
      <c r="B2329" s="25" t="s">
        <v>7092</v>
      </c>
      <c r="C2329" s="8" t="s">
        <v>7093</v>
      </c>
      <c r="D2329" s="8" t="s">
        <v>4035</v>
      </c>
    </row>
    <row r="2330" spans="1:4" ht="36" customHeight="1">
      <c r="A2330" s="26">
        <v>2325</v>
      </c>
      <c r="B2330" s="25" t="s">
        <v>7094</v>
      </c>
      <c r="C2330" s="8" t="s">
        <v>7095</v>
      </c>
      <c r="D2330" s="8" t="s">
        <v>4035</v>
      </c>
    </row>
    <row r="2331" spans="1:4" ht="36" customHeight="1">
      <c r="A2331" s="26">
        <v>2326</v>
      </c>
      <c r="B2331" s="25" t="s">
        <v>7096</v>
      </c>
      <c r="C2331" s="8" t="s">
        <v>7097</v>
      </c>
      <c r="D2331" s="8" t="s">
        <v>4035</v>
      </c>
    </row>
    <row r="2332" spans="1:4" ht="36" customHeight="1">
      <c r="A2332" s="26">
        <v>2327</v>
      </c>
      <c r="B2332" s="25" t="s">
        <v>7098</v>
      </c>
      <c r="C2332" s="8" t="s">
        <v>7099</v>
      </c>
      <c r="D2332" s="8" t="s">
        <v>4035</v>
      </c>
    </row>
    <row r="2333" spans="1:4" ht="36" customHeight="1">
      <c r="A2333" s="26">
        <v>2328</v>
      </c>
      <c r="B2333" s="25" t="s">
        <v>7100</v>
      </c>
      <c r="C2333" s="8" t="s">
        <v>7101</v>
      </c>
      <c r="D2333" s="8" t="s">
        <v>4035</v>
      </c>
    </row>
    <row r="2334" spans="1:4" ht="36" customHeight="1">
      <c r="A2334" s="26">
        <v>2329</v>
      </c>
      <c r="B2334" s="25" t="s">
        <v>7102</v>
      </c>
      <c r="C2334" s="8" t="s">
        <v>7103</v>
      </c>
      <c r="D2334" s="8" t="s">
        <v>4035</v>
      </c>
    </row>
    <row r="2335" spans="1:4" ht="36" customHeight="1">
      <c r="A2335" s="26">
        <v>2330</v>
      </c>
      <c r="B2335" s="25" t="s">
        <v>7104</v>
      </c>
      <c r="C2335" s="8" t="s">
        <v>7105</v>
      </c>
      <c r="D2335" s="8" t="s">
        <v>4035</v>
      </c>
    </row>
    <row r="2336" spans="1:4" ht="36" customHeight="1">
      <c r="A2336" s="26">
        <v>2331</v>
      </c>
      <c r="B2336" s="25" t="s">
        <v>7106</v>
      </c>
      <c r="C2336" s="8" t="s">
        <v>7107</v>
      </c>
      <c r="D2336" s="8" t="s">
        <v>4035</v>
      </c>
    </row>
    <row r="2337" spans="1:4" ht="36" customHeight="1">
      <c r="A2337" s="26">
        <v>2332</v>
      </c>
      <c r="B2337" s="25" t="s">
        <v>7108</v>
      </c>
      <c r="C2337" s="8" t="s">
        <v>7109</v>
      </c>
      <c r="D2337" s="8" t="s">
        <v>4035</v>
      </c>
    </row>
    <row r="2338" spans="1:4" ht="36" customHeight="1">
      <c r="A2338" s="26">
        <v>2333</v>
      </c>
      <c r="B2338" s="25" t="s">
        <v>7110</v>
      </c>
      <c r="C2338" s="8" t="s">
        <v>7111</v>
      </c>
      <c r="D2338" s="8" t="s">
        <v>4035</v>
      </c>
    </row>
    <row r="2339" spans="1:4" ht="36" customHeight="1">
      <c r="A2339" s="26">
        <v>2334</v>
      </c>
      <c r="B2339" s="25" t="s">
        <v>7112</v>
      </c>
      <c r="C2339" s="8" t="s">
        <v>7113</v>
      </c>
      <c r="D2339" s="8" t="s">
        <v>4035</v>
      </c>
    </row>
    <row r="2340" spans="1:4" ht="36" customHeight="1">
      <c r="A2340" s="26">
        <v>2335</v>
      </c>
      <c r="B2340" s="25" t="s">
        <v>7114</v>
      </c>
      <c r="C2340" s="8" t="s">
        <v>7115</v>
      </c>
      <c r="D2340" s="8" t="s">
        <v>4035</v>
      </c>
    </row>
    <row r="2341" spans="1:4" ht="36" customHeight="1">
      <c r="A2341" s="26">
        <v>2336</v>
      </c>
      <c r="B2341" s="25" t="s">
        <v>7116</v>
      </c>
      <c r="C2341" s="8" t="s">
        <v>7117</v>
      </c>
      <c r="D2341" s="8" t="s">
        <v>4035</v>
      </c>
    </row>
    <row r="2342" spans="1:4" ht="36" customHeight="1">
      <c r="A2342" s="26">
        <v>2337</v>
      </c>
      <c r="B2342" s="25" t="s">
        <v>7118</v>
      </c>
      <c r="C2342" s="8" t="s">
        <v>7119</v>
      </c>
      <c r="D2342" s="8" t="s">
        <v>4035</v>
      </c>
    </row>
    <row r="2343" spans="1:4" ht="36" customHeight="1">
      <c r="A2343" s="26">
        <v>2338</v>
      </c>
      <c r="B2343" s="25" t="s">
        <v>7120</v>
      </c>
      <c r="C2343" s="8" t="s">
        <v>7121</v>
      </c>
      <c r="D2343" s="8" t="s">
        <v>4035</v>
      </c>
    </row>
    <row r="2344" spans="1:4" ht="36" customHeight="1">
      <c r="A2344" s="26">
        <v>2339</v>
      </c>
      <c r="B2344" s="25" t="s">
        <v>7122</v>
      </c>
      <c r="C2344" s="8" t="s">
        <v>7123</v>
      </c>
      <c r="D2344" s="8" t="s">
        <v>4035</v>
      </c>
    </row>
    <row r="2345" spans="1:4" ht="36" customHeight="1">
      <c r="A2345" s="26">
        <v>2340</v>
      </c>
      <c r="B2345" s="25" t="s">
        <v>7124</v>
      </c>
      <c r="C2345" s="8" t="s">
        <v>7125</v>
      </c>
      <c r="D2345" s="8" t="s">
        <v>4035</v>
      </c>
    </row>
    <row r="2346" spans="1:4" ht="36" customHeight="1">
      <c r="A2346" s="26">
        <v>2341</v>
      </c>
      <c r="B2346" s="25" t="s">
        <v>7126</v>
      </c>
      <c r="C2346" s="8" t="s">
        <v>7127</v>
      </c>
      <c r="D2346" s="8" t="s">
        <v>4035</v>
      </c>
    </row>
    <row r="2347" spans="1:4" ht="36" customHeight="1">
      <c r="A2347" s="26">
        <v>2342</v>
      </c>
      <c r="B2347" s="25" t="s">
        <v>7128</v>
      </c>
      <c r="C2347" s="8" t="s">
        <v>7129</v>
      </c>
      <c r="D2347" s="8" t="s">
        <v>4035</v>
      </c>
    </row>
    <row r="2348" spans="1:4" ht="36" customHeight="1">
      <c r="A2348" s="26">
        <v>2343</v>
      </c>
      <c r="B2348" s="25" t="s">
        <v>7130</v>
      </c>
      <c r="C2348" s="8" t="s">
        <v>7131</v>
      </c>
      <c r="D2348" s="8" t="s">
        <v>4035</v>
      </c>
    </row>
    <row r="2349" spans="1:4" ht="36" customHeight="1">
      <c r="A2349" s="26">
        <v>2344</v>
      </c>
      <c r="B2349" s="25" t="s">
        <v>7132</v>
      </c>
      <c r="C2349" s="8" t="s">
        <v>7133</v>
      </c>
      <c r="D2349" s="8" t="s">
        <v>4035</v>
      </c>
    </row>
    <row r="2350" spans="1:4" ht="36" customHeight="1">
      <c r="A2350" s="26">
        <v>2345</v>
      </c>
      <c r="B2350" s="25" t="s">
        <v>7134</v>
      </c>
      <c r="C2350" s="8" t="s">
        <v>7135</v>
      </c>
      <c r="D2350" s="8" t="s">
        <v>4035</v>
      </c>
    </row>
    <row r="2351" spans="1:4" ht="36" customHeight="1">
      <c r="A2351" s="26">
        <v>2346</v>
      </c>
      <c r="B2351" s="25" t="s">
        <v>7136</v>
      </c>
      <c r="C2351" s="8" t="s">
        <v>7137</v>
      </c>
      <c r="D2351" s="8" t="s">
        <v>4035</v>
      </c>
    </row>
    <row r="2352" spans="1:4" ht="36" customHeight="1">
      <c r="A2352" s="26">
        <v>2347</v>
      </c>
      <c r="B2352" s="25" t="s">
        <v>7138</v>
      </c>
      <c r="C2352" s="8" t="s">
        <v>7139</v>
      </c>
      <c r="D2352" s="8" t="s">
        <v>4035</v>
      </c>
    </row>
    <row r="2353" spans="1:4" ht="36" customHeight="1">
      <c r="A2353" s="26">
        <v>2348</v>
      </c>
      <c r="B2353" s="25" t="s">
        <v>7140</v>
      </c>
      <c r="C2353" s="8" t="s">
        <v>7141</v>
      </c>
      <c r="D2353" s="8" t="s">
        <v>4035</v>
      </c>
    </row>
    <row r="2354" spans="1:4" ht="36" customHeight="1">
      <c r="A2354" s="26">
        <v>2349</v>
      </c>
      <c r="B2354" s="25" t="s">
        <v>7142</v>
      </c>
      <c r="C2354" s="8" t="s">
        <v>7143</v>
      </c>
      <c r="D2354" s="8" t="s">
        <v>4035</v>
      </c>
    </row>
    <row r="2355" spans="1:4" ht="36" customHeight="1">
      <c r="A2355" s="26">
        <v>2350</v>
      </c>
      <c r="B2355" s="25" t="s">
        <v>7144</v>
      </c>
      <c r="C2355" s="8" t="s">
        <v>7145</v>
      </c>
      <c r="D2355" s="8" t="s">
        <v>4035</v>
      </c>
    </row>
    <row r="2356" spans="1:4" ht="36" customHeight="1">
      <c r="A2356" s="26">
        <v>2351</v>
      </c>
      <c r="B2356" s="25" t="s">
        <v>7146</v>
      </c>
      <c r="C2356" s="8" t="s">
        <v>7147</v>
      </c>
      <c r="D2356" s="8" t="s">
        <v>4035</v>
      </c>
    </row>
    <row r="2357" spans="1:4" ht="36" customHeight="1">
      <c r="A2357" s="26">
        <v>2352</v>
      </c>
      <c r="B2357" s="25" t="s">
        <v>7148</v>
      </c>
      <c r="C2357" s="8" t="s">
        <v>7149</v>
      </c>
      <c r="D2357" s="8" t="s">
        <v>4035</v>
      </c>
    </row>
    <row r="2358" spans="1:4" ht="36" customHeight="1">
      <c r="A2358" s="26">
        <v>2353</v>
      </c>
      <c r="B2358" s="25" t="s">
        <v>7150</v>
      </c>
      <c r="C2358" s="8" t="s">
        <v>7151</v>
      </c>
      <c r="D2358" s="8" t="s">
        <v>4035</v>
      </c>
    </row>
    <row r="2359" spans="1:4" ht="36" customHeight="1">
      <c r="A2359" s="26">
        <v>2354</v>
      </c>
      <c r="B2359" s="25" t="s">
        <v>7152</v>
      </c>
      <c r="C2359" s="8" t="s">
        <v>7153</v>
      </c>
      <c r="D2359" s="8" t="s">
        <v>4035</v>
      </c>
    </row>
    <row r="2360" spans="1:4" ht="36" customHeight="1">
      <c r="A2360" s="26">
        <v>2355</v>
      </c>
      <c r="B2360" s="25" t="s">
        <v>7154</v>
      </c>
      <c r="C2360" s="8" t="s">
        <v>7155</v>
      </c>
      <c r="D2360" s="8" t="s">
        <v>4035</v>
      </c>
    </row>
    <row r="2361" spans="1:4" ht="36" customHeight="1">
      <c r="A2361" s="26">
        <v>2356</v>
      </c>
      <c r="B2361" s="25" t="s">
        <v>7156</v>
      </c>
      <c r="C2361" s="8" t="s">
        <v>7157</v>
      </c>
      <c r="D2361" s="8" t="s">
        <v>4035</v>
      </c>
    </row>
    <row r="2362" spans="1:4" ht="36" customHeight="1">
      <c r="A2362" s="26">
        <v>2357</v>
      </c>
      <c r="B2362" s="25" t="s">
        <v>7158</v>
      </c>
      <c r="C2362" s="8" t="s">
        <v>7159</v>
      </c>
      <c r="D2362" s="8" t="s">
        <v>4035</v>
      </c>
    </row>
    <row r="2363" spans="1:4" ht="36" customHeight="1">
      <c r="A2363" s="26">
        <v>2358</v>
      </c>
      <c r="B2363" s="25" t="s">
        <v>7160</v>
      </c>
      <c r="C2363" s="8" t="s">
        <v>7161</v>
      </c>
      <c r="D2363" s="8" t="s">
        <v>4035</v>
      </c>
    </row>
    <row r="2364" spans="1:4" ht="36" customHeight="1">
      <c r="A2364" s="26">
        <v>2359</v>
      </c>
      <c r="B2364" s="25" t="s">
        <v>7162</v>
      </c>
      <c r="C2364" s="8" t="s">
        <v>7163</v>
      </c>
      <c r="D2364" s="8" t="s">
        <v>4035</v>
      </c>
    </row>
    <row r="2365" spans="1:4" ht="36" customHeight="1">
      <c r="A2365" s="26">
        <v>2360</v>
      </c>
      <c r="B2365" s="25" t="s">
        <v>7164</v>
      </c>
      <c r="C2365" s="8" t="s">
        <v>7165</v>
      </c>
      <c r="D2365" s="8" t="s">
        <v>4035</v>
      </c>
    </row>
    <row r="2366" spans="1:4" ht="36" customHeight="1">
      <c r="A2366" s="26">
        <v>2361</v>
      </c>
      <c r="B2366" s="25" t="s">
        <v>7166</v>
      </c>
      <c r="C2366" s="8" t="s">
        <v>7167</v>
      </c>
      <c r="D2366" s="8" t="s">
        <v>4035</v>
      </c>
    </row>
    <row r="2367" spans="1:4" ht="36" customHeight="1">
      <c r="A2367" s="26">
        <v>2362</v>
      </c>
      <c r="B2367" s="25" t="s">
        <v>7168</v>
      </c>
      <c r="C2367" s="8" t="s">
        <v>7169</v>
      </c>
      <c r="D2367" s="8" t="s">
        <v>4035</v>
      </c>
    </row>
    <row r="2368" spans="1:4" ht="36" customHeight="1">
      <c r="A2368" s="26">
        <v>2363</v>
      </c>
      <c r="B2368" s="25" t="s">
        <v>7170</v>
      </c>
      <c r="C2368" s="8" t="s">
        <v>7171</v>
      </c>
      <c r="D2368" s="8" t="s">
        <v>4035</v>
      </c>
    </row>
    <row r="2369" spans="1:4" ht="36" customHeight="1">
      <c r="A2369" s="26">
        <v>2364</v>
      </c>
      <c r="B2369" s="25" t="s">
        <v>7172</v>
      </c>
      <c r="C2369" s="8" t="s">
        <v>7173</v>
      </c>
      <c r="D2369" s="8" t="s">
        <v>4035</v>
      </c>
    </row>
    <row r="2370" spans="1:4" ht="36" customHeight="1">
      <c r="A2370" s="26">
        <v>2365</v>
      </c>
      <c r="B2370" s="25" t="s">
        <v>7174</v>
      </c>
      <c r="C2370" s="8" t="s">
        <v>7175</v>
      </c>
      <c r="D2370" s="8" t="s">
        <v>4035</v>
      </c>
    </row>
    <row r="2371" spans="1:4" ht="36" customHeight="1">
      <c r="A2371" s="26">
        <v>2366</v>
      </c>
      <c r="B2371" s="25" t="s">
        <v>7176</v>
      </c>
      <c r="C2371" s="8" t="s">
        <v>7177</v>
      </c>
      <c r="D2371" s="8" t="s">
        <v>4035</v>
      </c>
    </row>
    <row r="2372" spans="1:4" ht="36" customHeight="1">
      <c r="A2372" s="26">
        <v>2367</v>
      </c>
      <c r="B2372" s="25" t="s">
        <v>7178</v>
      </c>
      <c r="C2372" s="8" t="s">
        <v>7179</v>
      </c>
      <c r="D2372" s="8" t="s">
        <v>4035</v>
      </c>
    </row>
    <row r="2373" spans="1:4" ht="36" customHeight="1">
      <c r="A2373" s="26">
        <v>2368</v>
      </c>
      <c r="B2373" s="25" t="s">
        <v>7180</v>
      </c>
      <c r="C2373" s="8" t="s">
        <v>7181</v>
      </c>
      <c r="D2373" s="8" t="s">
        <v>4035</v>
      </c>
    </row>
    <row r="2374" spans="1:4" ht="36" customHeight="1">
      <c r="A2374" s="26">
        <v>2369</v>
      </c>
      <c r="B2374" s="25" t="s">
        <v>7182</v>
      </c>
      <c r="C2374" s="8" t="s">
        <v>7183</v>
      </c>
      <c r="D2374" s="8" t="s">
        <v>4035</v>
      </c>
    </row>
    <row r="2375" spans="1:4" ht="36" customHeight="1">
      <c r="A2375" s="26">
        <v>2370</v>
      </c>
      <c r="B2375" s="25" t="s">
        <v>7184</v>
      </c>
      <c r="C2375" s="8" t="s">
        <v>7185</v>
      </c>
      <c r="D2375" s="8" t="s">
        <v>4035</v>
      </c>
    </row>
    <row r="2376" spans="1:4" ht="36" customHeight="1">
      <c r="A2376" s="26">
        <v>2371</v>
      </c>
      <c r="B2376" s="25" t="s">
        <v>7186</v>
      </c>
      <c r="C2376" s="8" t="s">
        <v>7187</v>
      </c>
      <c r="D2376" s="8" t="s">
        <v>4035</v>
      </c>
    </row>
    <row r="2377" spans="1:4" ht="36" customHeight="1">
      <c r="A2377" s="26">
        <v>2372</v>
      </c>
      <c r="B2377" s="25" t="s">
        <v>7188</v>
      </c>
      <c r="C2377" s="8" t="s">
        <v>7189</v>
      </c>
      <c r="D2377" s="8" t="s">
        <v>4035</v>
      </c>
    </row>
    <row r="2378" spans="1:4" ht="36" customHeight="1">
      <c r="A2378" s="26">
        <v>2373</v>
      </c>
      <c r="B2378" s="25" t="s">
        <v>7190</v>
      </c>
      <c r="C2378" s="8" t="s">
        <v>7191</v>
      </c>
      <c r="D2378" s="8" t="s">
        <v>4035</v>
      </c>
    </row>
    <row r="2379" spans="1:4" ht="36" customHeight="1">
      <c r="A2379" s="26">
        <v>2374</v>
      </c>
      <c r="B2379" s="25" t="s">
        <v>7192</v>
      </c>
      <c r="C2379" s="8" t="s">
        <v>7193</v>
      </c>
      <c r="D2379" s="8" t="s">
        <v>4035</v>
      </c>
    </row>
    <row r="2380" spans="1:4" ht="36" customHeight="1">
      <c r="A2380" s="26">
        <v>2375</v>
      </c>
      <c r="B2380" s="25" t="s">
        <v>7194</v>
      </c>
      <c r="C2380" s="8" t="s">
        <v>7195</v>
      </c>
      <c r="D2380" s="8" t="s">
        <v>4035</v>
      </c>
    </row>
    <row r="2381" spans="1:4" ht="36" customHeight="1">
      <c r="A2381" s="26">
        <v>2376</v>
      </c>
      <c r="B2381" s="25" t="s">
        <v>7196</v>
      </c>
      <c r="C2381" s="8" t="s">
        <v>7197</v>
      </c>
      <c r="D2381" s="8" t="s">
        <v>4035</v>
      </c>
    </row>
    <row r="2382" spans="1:4" ht="36" customHeight="1">
      <c r="A2382" s="26">
        <v>2377</v>
      </c>
      <c r="B2382" s="25" t="s">
        <v>7198</v>
      </c>
      <c r="C2382" s="8" t="s">
        <v>7199</v>
      </c>
      <c r="D2382" s="8" t="s">
        <v>4035</v>
      </c>
    </row>
    <row r="2383" spans="1:4" ht="36" customHeight="1">
      <c r="A2383" s="26">
        <v>2378</v>
      </c>
      <c r="B2383" s="25" t="s">
        <v>7200</v>
      </c>
      <c r="C2383" s="8" t="s">
        <v>7201</v>
      </c>
      <c r="D2383" s="8" t="s">
        <v>4035</v>
      </c>
    </row>
    <row r="2384" spans="1:4" ht="36" customHeight="1">
      <c r="A2384" s="26">
        <v>2379</v>
      </c>
      <c r="B2384" s="25" t="s">
        <v>7202</v>
      </c>
      <c r="C2384" s="8" t="s">
        <v>7203</v>
      </c>
      <c r="D2384" s="8" t="s">
        <v>4035</v>
      </c>
    </row>
    <row r="2385" spans="1:4" ht="36" customHeight="1">
      <c r="A2385" s="26">
        <v>2380</v>
      </c>
      <c r="B2385" s="25" t="s">
        <v>7204</v>
      </c>
      <c r="C2385" s="8" t="s">
        <v>7205</v>
      </c>
      <c r="D2385" s="8" t="s">
        <v>4035</v>
      </c>
    </row>
    <row r="2386" spans="1:4" ht="36" customHeight="1">
      <c r="A2386" s="26">
        <v>2381</v>
      </c>
      <c r="B2386" s="25" t="s">
        <v>7206</v>
      </c>
      <c r="C2386" s="8" t="s">
        <v>7207</v>
      </c>
      <c r="D2386" s="8" t="s">
        <v>4035</v>
      </c>
    </row>
    <row r="2387" spans="1:4" ht="36" customHeight="1">
      <c r="A2387" s="26">
        <v>2382</v>
      </c>
      <c r="B2387" s="25" t="s">
        <v>7208</v>
      </c>
      <c r="C2387" s="8" t="s">
        <v>7209</v>
      </c>
      <c r="D2387" s="8" t="s">
        <v>4035</v>
      </c>
    </row>
    <row r="2388" spans="1:4" ht="36" customHeight="1">
      <c r="A2388" s="26">
        <v>2383</v>
      </c>
      <c r="B2388" s="25" t="s">
        <v>7210</v>
      </c>
      <c r="C2388" s="8" t="s">
        <v>7211</v>
      </c>
      <c r="D2388" s="8" t="s">
        <v>4035</v>
      </c>
    </row>
    <row r="2389" spans="1:4" ht="36" customHeight="1">
      <c r="A2389" s="26">
        <v>2384</v>
      </c>
      <c r="B2389" s="25" t="s">
        <v>7212</v>
      </c>
      <c r="C2389" s="8" t="s">
        <v>7213</v>
      </c>
      <c r="D2389" s="8" t="s">
        <v>4035</v>
      </c>
    </row>
    <row r="2390" spans="1:4" ht="36" customHeight="1">
      <c r="A2390" s="26">
        <v>2385</v>
      </c>
      <c r="B2390" s="25" t="s">
        <v>7214</v>
      </c>
      <c r="C2390" s="8" t="s">
        <v>7215</v>
      </c>
      <c r="D2390" s="8" t="s">
        <v>4035</v>
      </c>
    </row>
    <row r="2391" spans="1:4" ht="36" customHeight="1">
      <c r="A2391" s="26">
        <v>2386</v>
      </c>
      <c r="B2391" s="25" t="s">
        <v>7216</v>
      </c>
      <c r="C2391" s="8" t="s">
        <v>7217</v>
      </c>
      <c r="D2391" s="8" t="s">
        <v>4035</v>
      </c>
    </row>
    <row r="2392" spans="1:4" ht="36" customHeight="1">
      <c r="A2392" s="26">
        <v>2387</v>
      </c>
      <c r="B2392" s="25" t="s">
        <v>7218</v>
      </c>
      <c r="C2392" s="8" t="s">
        <v>7219</v>
      </c>
      <c r="D2392" s="8" t="s">
        <v>4035</v>
      </c>
    </row>
    <row r="2393" spans="1:4" ht="36" customHeight="1">
      <c r="A2393" s="26">
        <v>2388</v>
      </c>
      <c r="B2393" s="25" t="s">
        <v>7220</v>
      </c>
      <c r="C2393" s="8" t="s">
        <v>7221</v>
      </c>
      <c r="D2393" s="8" t="s">
        <v>4035</v>
      </c>
    </row>
    <row r="2394" spans="1:4" ht="36" customHeight="1">
      <c r="A2394" s="26">
        <v>2389</v>
      </c>
      <c r="B2394" s="25" t="s">
        <v>7222</v>
      </c>
      <c r="C2394" s="8" t="s">
        <v>7161</v>
      </c>
      <c r="D2394" s="8" t="s">
        <v>4035</v>
      </c>
    </row>
    <row r="2395" spans="1:4" ht="36" customHeight="1">
      <c r="A2395" s="26">
        <v>2390</v>
      </c>
      <c r="B2395" s="25" t="s">
        <v>7223</v>
      </c>
      <c r="C2395" s="8" t="s">
        <v>7224</v>
      </c>
      <c r="D2395" s="8" t="s">
        <v>4035</v>
      </c>
    </row>
    <row r="2396" spans="1:4" ht="36" customHeight="1">
      <c r="A2396" s="26">
        <v>2391</v>
      </c>
      <c r="B2396" s="25" t="s">
        <v>7225</v>
      </c>
      <c r="C2396" s="8" t="s">
        <v>7226</v>
      </c>
      <c r="D2396" s="8" t="s">
        <v>4035</v>
      </c>
    </row>
    <row r="2397" spans="1:4" ht="36" customHeight="1">
      <c r="A2397" s="26">
        <v>2392</v>
      </c>
      <c r="B2397" s="25" t="s">
        <v>7227</v>
      </c>
      <c r="C2397" s="8" t="s">
        <v>7228</v>
      </c>
      <c r="D2397" s="8" t="s">
        <v>4035</v>
      </c>
    </row>
    <row r="2398" spans="1:4" ht="36" customHeight="1">
      <c r="A2398" s="26">
        <v>2393</v>
      </c>
      <c r="B2398" s="25" t="s">
        <v>7229</v>
      </c>
      <c r="C2398" s="8" t="s">
        <v>7230</v>
      </c>
      <c r="D2398" s="8" t="s">
        <v>4035</v>
      </c>
    </row>
    <row r="2399" spans="1:4" ht="36" customHeight="1">
      <c r="A2399" s="26">
        <v>2394</v>
      </c>
      <c r="B2399" s="25" t="s">
        <v>7231</v>
      </c>
      <c r="C2399" s="8" t="s">
        <v>7232</v>
      </c>
      <c r="D2399" s="8" t="s">
        <v>4035</v>
      </c>
    </row>
    <row r="2400" spans="1:4" ht="36" customHeight="1">
      <c r="A2400" s="26">
        <v>2395</v>
      </c>
      <c r="B2400" s="25" t="s">
        <v>7233</v>
      </c>
      <c r="C2400" s="8" t="s">
        <v>7234</v>
      </c>
      <c r="D2400" s="8" t="s">
        <v>4035</v>
      </c>
    </row>
    <row r="2401" spans="1:4" ht="36" customHeight="1">
      <c r="A2401" s="26">
        <v>2396</v>
      </c>
      <c r="B2401" s="25" t="s">
        <v>7235</v>
      </c>
      <c r="C2401" s="8" t="s">
        <v>7236</v>
      </c>
      <c r="D2401" s="8" t="s">
        <v>4035</v>
      </c>
    </row>
    <row r="2402" spans="1:4" ht="36" customHeight="1">
      <c r="A2402" s="26">
        <v>2397</v>
      </c>
      <c r="B2402" s="25" t="s">
        <v>7237</v>
      </c>
      <c r="C2402" s="8" t="s">
        <v>7238</v>
      </c>
      <c r="D2402" s="8" t="s">
        <v>4035</v>
      </c>
    </row>
    <row r="2403" spans="1:4" ht="36" customHeight="1">
      <c r="A2403" s="26">
        <v>2398</v>
      </c>
      <c r="B2403" s="25" t="s">
        <v>7239</v>
      </c>
      <c r="C2403" s="8" t="s">
        <v>7240</v>
      </c>
      <c r="D2403" s="8" t="s">
        <v>4035</v>
      </c>
    </row>
    <row r="2404" spans="1:4" ht="36" customHeight="1">
      <c r="A2404" s="26">
        <v>2399</v>
      </c>
      <c r="B2404" s="25" t="s">
        <v>7241</v>
      </c>
      <c r="C2404" s="8" t="s">
        <v>7242</v>
      </c>
      <c r="D2404" s="8" t="s">
        <v>4035</v>
      </c>
    </row>
    <row r="2405" spans="1:4" ht="36" customHeight="1">
      <c r="A2405" s="26">
        <v>2400</v>
      </c>
      <c r="B2405" s="25" t="s">
        <v>7243</v>
      </c>
      <c r="C2405" s="8" t="s">
        <v>7244</v>
      </c>
      <c r="D2405" s="8" t="s">
        <v>4035</v>
      </c>
    </row>
    <row r="2406" spans="1:4" ht="36" customHeight="1">
      <c r="A2406" s="26">
        <v>2401</v>
      </c>
      <c r="B2406" s="25" t="s">
        <v>7245</v>
      </c>
      <c r="C2406" s="8" t="s">
        <v>7246</v>
      </c>
      <c r="D2406" s="8" t="s">
        <v>4035</v>
      </c>
    </row>
    <row r="2407" spans="1:4" ht="36" customHeight="1">
      <c r="A2407" s="26">
        <v>2402</v>
      </c>
      <c r="B2407" s="25" t="s">
        <v>7247</v>
      </c>
      <c r="C2407" s="8" t="s">
        <v>7248</v>
      </c>
      <c r="D2407" s="8" t="s">
        <v>4035</v>
      </c>
    </row>
    <row r="2408" spans="1:4" ht="36" customHeight="1">
      <c r="A2408" s="26">
        <v>2403</v>
      </c>
      <c r="B2408" s="25" t="s">
        <v>7249</v>
      </c>
      <c r="C2408" s="8" t="s">
        <v>7250</v>
      </c>
      <c r="D2408" s="8" t="s">
        <v>4035</v>
      </c>
    </row>
    <row r="2409" spans="1:4" ht="36" customHeight="1">
      <c r="A2409" s="26">
        <v>2404</v>
      </c>
      <c r="B2409" s="25" t="s">
        <v>7251</v>
      </c>
      <c r="C2409" s="8" t="s">
        <v>7252</v>
      </c>
      <c r="D2409" s="8" t="s">
        <v>4035</v>
      </c>
    </row>
    <row r="2410" spans="1:4" ht="36" customHeight="1">
      <c r="A2410" s="26">
        <v>2405</v>
      </c>
      <c r="B2410" s="25" t="s">
        <v>7253</v>
      </c>
      <c r="C2410" s="8" t="s">
        <v>7254</v>
      </c>
      <c r="D2410" s="8" t="s">
        <v>4035</v>
      </c>
    </row>
    <row r="2411" spans="1:4" ht="36" customHeight="1">
      <c r="A2411" s="26">
        <v>2406</v>
      </c>
      <c r="B2411" s="25" t="s">
        <v>7255</v>
      </c>
      <c r="C2411" s="8" t="s">
        <v>7256</v>
      </c>
      <c r="D2411" s="8" t="s">
        <v>4035</v>
      </c>
    </row>
    <row r="2412" spans="1:4" ht="36" customHeight="1">
      <c r="A2412" s="26">
        <v>2407</v>
      </c>
      <c r="B2412" s="25" t="s">
        <v>7257</v>
      </c>
      <c r="C2412" s="8" t="s">
        <v>7258</v>
      </c>
      <c r="D2412" s="8" t="s">
        <v>4035</v>
      </c>
    </row>
    <row r="2413" spans="1:4" ht="36" customHeight="1">
      <c r="A2413" s="26">
        <v>2408</v>
      </c>
      <c r="B2413" s="25" t="s">
        <v>7259</v>
      </c>
      <c r="C2413" s="8" t="s">
        <v>7260</v>
      </c>
      <c r="D2413" s="8" t="s">
        <v>4035</v>
      </c>
    </row>
    <row r="2414" spans="1:4" ht="36" customHeight="1">
      <c r="A2414" s="26">
        <v>2409</v>
      </c>
      <c r="B2414" s="25" t="s">
        <v>7261</v>
      </c>
      <c r="C2414" s="8" t="s">
        <v>7262</v>
      </c>
      <c r="D2414" s="8" t="s">
        <v>4035</v>
      </c>
    </row>
    <row r="2415" spans="1:4" ht="36" customHeight="1">
      <c r="A2415" s="26">
        <v>2410</v>
      </c>
      <c r="B2415" s="25" t="s">
        <v>7263</v>
      </c>
      <c r="C2415" s="8" t="s">
        <v>7264</v>
      </c>
      <c r="D2415" s="8" t="s">
        <v>4035</v>
      </c>
    </row>
    <row r="2416" spans="1:4" ht="36" customHeight="1">
      <c r="A2416" s="26">
        <v>2411</v>
      </c>
      <c r="B2416" s="25" t="s">
        <v>7265</v>
      </c>
      <c r="C2416" s="8" t="s">
        <v>7266</v>
      </c>
      <c r="D2416" s="8" t="s">
        <v>4035</v>
      </c>
    </row>
    <row r="2417" spans="1:4" ht="36" customHeight="1">
      <c r="A2417" s="26">
        <v>2412</v>
      </c>
      <c r="B2417" s="25" t="s">
        <v>7267</v>
      </c>
      <c r="C2417" s="8" t="s">
        <v>7268</v>
      </c>
      <c r="D2417" s="8" t="s">
        <v>4035</v>
      </c>
    </row>
    <row r="2418" spans="1:4" ht="36" customHeight="1">
      <c r="A2418" s="26">
        <v>2413</v>
      </c>
      <c r="B2418" s="25" t="s">
        <v>7269</v>
      </c>
      <c r="C2418" s="8" t="s">
        <v>7270</v>
      </c>
      <c r="D2418" s="8" t="s">
        <v>4035</v>
      </c>
    </row>
    <row r="2419" spans="1:4" ht="36" customHeight="1">
      <c r="A2419" s="26">
        <v>2414</v>
      </c>
      <c r="B2419" s="25" t="s">
        <v>7271</v>
      </c>
      <c r="C2419" s="8" t="s">
        <v>7272</v>
      </c>
      <c r="D2419" s="8" t="s">
        <v>4035</v>
      </c>
    </row>
    <row r="2420" spans="1:4" ht="36" customHeight="1">
      <c r="A2420" s="26">
        <v>2415</v>
      </c>
      <c r="B2420" s="25" t="s">
        <v>7273</v>
      </c>
      <c r="C2420" s="8" t="s">
        <v>7274</v>
      </c>
      <c r="D2420" s="8" t="s">
        <v>4035</v>
      </c>
    </row>
    <row r="2421" spans="1:4" ht="36" customHeight="1">
      <c r="A2421" s="26">
        <v>2416</v>
      </c>
      <c r="B2421" s="25" t="s">
        <v>7275</v>
      </c>
      <c r="C2421" s="8" t="s">
        <v>7276</v>
      </c>
      <c r="D2421" s="8" t="s">
        <v>4035</v>
      </c>
    </row>
    <row r="2422" spans="1:4" ht="36" customHeight="1">
      <c r="A2422" s="26">
        <v>2417</v>
      </c>
      <c r="B2422" s="25" t="s">
        <v>7277</v>
      </c>
      <c r="C2422" s="8" t="s">
        <v>7278</v>
      </c>
      <c r="D2422" s="8" t="s">
        <v>4035</v>
      </c>
    </row>
    <row r="2423" spans="1:4" ht="36" customHeight="1">
      <c r="A2423" s="26">
        <v>2418</v>
      </c>
      <c r="B2423" s="25" t="s">
        <v>7279</v>
      </c>
      <c r="C2423" s="8" t="s">
        <v>7280</v>
      </c>
      <c r="D2423" s="8" t="s">
        <v>4035</v>
      </c>
    </row>
    <row r="2424" spans="1:4" ht="36" customHeight="1">
      <c r="A2424" s="26">
        <v>2419</v>
      </c>
      <c r="B2424" s="25" t="s">
        <v>7281</v>
      </c>
      <c r="C2424" s="8" t="s">
        <v>7282</v>
      </c>
      <c r="D2424" s="8" t="s">
        <v>4035</v>
      </c>
    </row>
    <row r="2425" spans="1:4" ht="36" customHeight="1">
      <c r="A2425" s="26">
        <v>2420</v>
      </c>
      <c r="B2425" s="25" t="s">
        <v>7283</v>
      </c>
      <c r="C2425" s="8" t="s">
        <v>7284</v>
      </c>
      <c r="D2425" s="8" t="s">
        <v>4035</v>
      </c>
    </row>
    <row r="2426" spans="1:4" ht="36" customHeight="1">
      <c r="A2426" s="26">
        <v>2421</v>
      </c>
      <c r="B2426" s="25" t="s">
        <v>7285</v>
      </c>
      <c r="C2426" s="8" t="s">
        <v>7286</v>
      </c>
      <c r="D2426" s="8" t="s">
        <v>4035</v>
      </c>
    </row>
    <row r="2427" spans="1:4" ht="36" customHeight="1">
      <c r="A2427" s="26">
        <v>2422</v>
      </c>
      <c r="B2427" s="25" t="s">
        <v>7287</v>
      </c>
      <c r="C2427" s="8" t="s">
        <v>7288</v>
      </c>
      <c r="D2427" s="8" t="s">
        <v>4035</v>
      </c>
    </row>
    <row r="2428" spans="1:4" ht="36" customHeight="1">
      <c r="A2428" s="26">
        <v>2423</v>
      </c>
      <c r="B2428" s="25" t="s">
        <v>7289</v>
      </c>
      <c r="C2428" s="8" t="s">
        <v>7290</v>
      </c>
      <c r="D2428" s="8" t="s">
        <v>4035</v>
      </c>
    </row>
    <row r="2429" spans="1:4" ht="36" customHeight="1">
      <c r="A2429" s="26">
        <v>2424</v>
      </c>
      <c r="B2429" s="25" t="s">
        <v>7291</v>
      </c>
      <c r="C2429" s="8" t="s">
        <v>7292</v>
      </c>
      <c r="D2429" s="8" t="s">
        <v>4035</v>
      </c>
    </row>
    <row r="2430" spans="1:4" ht="36" customHeight="1">
      <c r="A2430" s="26">
        <v>2425</v>
      </c>
      <c r="B2430" s="25" t="s">
        <v>7293</v>
      </c>
      <c r="C2430" s="8" t="s">
        <v>7294</v>
      </c>
      <c r="D2430" s="8" t="s">
        <v>4035</v>
      </c>
    </row>
    <row r="2431" spans="1:4" ht="36" customHeight="1">
      <c r="A2431" s="26">
        <v>2426</v>
      </c>
      <c r="B2431" s="25" t="s">
        <v>7295</v>
      </c>
      <c r="C2431" s="8" t="s">
        <v>7296</v>
      </c>
      <c r="D2431" s="8" t="s">
        <v>4035</v>
      </c>
    </row>
    <row r="2432" spans="1:4" ht="36" customHeight="1">
      <c r="A2432" s="26">
        <v>2427</v>
      </c>
      <c r="B2432" s="25" t="s">
        <v>7297</v>
      </c>
      <c r="C2432" s="8" t="s">
        <v>7298</v>
      </c>
      <c r="D2432" s="8" t="s">
        <v>4035</v>
      </c>
    </row>
    <row r="2433" spans="1:4" ht="36" customHeight="1">
      <c r="A2433" s="26">
        <v>2428</v>
      </c>
      <c r="B2433" s="25" t="s">
        <v>7299</v>
      </c>
      <c r="C2433" s="8" t="s">
        <v>7300</v>
      </c>
      <c r="D2433" s="8" t="s">
        <v>4035</v>
      </c>
    </row>
    <row r="2434" spans="1:4" ht="36" customHeight="1">
      <c r="A2434" s="26">
        <v>2429</v>
      </c>
      <c r="B2434" s="25" t="s">
        <v>7301</v>
      </c>
      <c r="C2434" s="8" t="s">
        <v>7302</v>
      </c>
      <c r="D2434" s="8" t="s">
        <v>4035</v>
      </c>
    </row>
    <row r="2435" spans="1:4" ht="36" customHeight="1">
      <c r="A2435" s="26">
        <v>2430</v>
      </c>
      <c r="B2435" s="25" t="s">
        <v>7303</v>
      </c>
      <c r="C2435" s="8" t="s">
        <v>7304</v>
      </c>
      <c r="D2435" s="8" t="s">
        <v>4035</v>
      </c>
    </row>
    <row r="2436" spans="1:4" ht="36" customHeight="1">
      <c r="A2436" s="26">
        <v>2431</v>
      </c>
      <c r="B2436" s="25" t="s">
        <v>7305</v>
      </c>
      <c r="C2436" s="8" t="s">
        <v>7306</v>
      </c>
      <c r="D2436" s="8" t="s">
        <v>4035</v>
      </c>
    </row>
    <row r="2437" spans="1:4" ht="36" customHeight="1">
      <c r="A2437" s="26">
        <v>2432</v>
      </c>
      <c r="B2437" s="25" t="s">
        <v>7307</v>
      </c>
      <c r="C2437" s="8" t="s">
        <v>7308</v>
      </c>
      <c r="D2437" s="8" t="s">
        <v>4035</v>
      </c>
    </row>
    <row r="2438" spans="1:4" ht="36" customHeight="1">
      <c r="A2438" s="26">
        <v>2433</v>
      </c>
      <c r="B2438" s="25" t="s">
        <v>7309</v>
      </c>
      <c r="C2438" s="8" t="s">
        <v>7310</v>
      </c>
      <c r="D2438" s="8" t="s">
        <v>4035</v>
      </c>
    </row>
    <row r="2439" spans="1:4" ht="36" customHeight="1">
      <c r="A2439" s="26">
        <v>2434</v>
      </c>
      <c r="B2439" s="25" t="s">
        <v>7311</v>
      </c>
      <c r="C2439" s="8" t="s">
        <v>7312</v>
      </c>
      <c r="D2439" s="8" t="s">
        <v>4035</v>
      </c>
    </row>
    <row r="2440" spans="1:4" ht="36" customHeight="1">
      <c r="A2440" s="26">
        <v>2435</v>
      </c>
      <c r="B2440" s="25" t="s">
        <v>2490</v>
      </c>
      <c r="C2440" s="8" t="s">
        <v>2491</v>
      </c>
      <c r="D2440" s="8" t="s">
        <v>4035</v>
      </c>
    </row>
    <row r="2441" spans="1:4" ht="36" customHeight="1">
      <c r="A2441" s="26">
        <v>2436</v>
      </c>
      <c r="B2441" s="25" t="s">
        <v>7313</v>
      </c>
      <c r="C2441" s="8" t="s">
        <v>7314</v>
      </c>
      <c r="D2441" s="8" t="s">
        <v>4035</v>
      </c>
    </row>
    <row r="2442" spans="1:4" ht="36" customHeight="1">
      <c r="A2442" s="26">
        <v>2437</v>
      </c>
      <c r="B2442" s="25" t="s">
        <v>7315</v>
      </c>
      <c r="C2442" s="8" t="s">
        <v>7316</v>
      </c>
      <c r="D2442" s="8" t="s">
        <v>4035</v>
      </c>
    </row>
    <row r="2443" spans="1:4" ht="36" customHeight="1">
      <c r="A2443" s="26">
        <v>2438</v>
      </c>
      <c r="B2443" s="25" t="s">
        <v>7317</v>
      </c>
      <c r="C2443" s="8" t="s">
        <v>7318</v>
      </c>
      <c r="D2443" s="8" t="s">
        <v>4035</v>
      </c>
    </row>
    <row r="2444" spans="1:4" ht="36" customHeight="1">
      <c r="A2444" s="26">
        <v>2439</v>
      </c>
      <c r="B2444" s="25" t="s">
        <v>7319</v>
      </c>
      <c r="C2444" s="8" t="s">
        <v>7320</v>
      </c>
      <c r="D2444" s="8" t="s">
        <v>4035</v>
      </c>
    </row>
    <row r="2445" spans="1:4" ht="36" customHeight="1">
      <c r="A2445" s="26">
        <v>2440</v>
      </c>
      <c r="B2445" s="25" t="s">
        <v>7321</v>
      </c>
      <c r="C2445" s="8" t="s">
        <v>7322</v>
      </c>
      <c r="D2445" s="8" t="s">
        <v>4035</v>
      </c>
    </row>
    <row r="2446" spans="1:4" ht="36" customHeight="1">
      <c r="A2446" s="26">
        <v>2441</v>
      </c>
      <c r="B2446" s="25" t="s">
        <v>7323</v>
      </c>
      <c r="C2446" s="8" t="s">
        <v>7324</v>
      </c>
      <c r="D2446" s="8" t="s">
        <v>4035</v>
      </c>
    </row>
    <row r="2447" spans="1:4" ht="36" customHeight="1">
      <c r="A2447" s="26">
        <v>2442</v>
      </c>
      <c r="B2447" s="25" t="s">
        <v>7325</v>
      </c>
      <c r="C2447" s="8" t="s">
        <v>7326</v>
      </c>
      <c r="D2447" s="8" t="s">
        <v>4035</v>
      </c>
    </row>
    <row r="2448" spans="1:4" ht="36" customHeight="1">
      <c r="A2448" s="26">
        <v>2443</v>
      </c>
      <c r="B2448" s="25" t="s">
        <v>7327</v>
      </c>
      <c r="C2448" s="8" t="s">
        <v>7328</v>
      </c>
      <c r="D2448" s="8" t="s">
        <v>4035</v>
      </c>
    </row>
    <row r="2449" spans="1:4" ht="36" customHeight="1">
      <c r="A2449" s="26">
        <v>2444</v>
      </c>
      <c r="B2449" s="25" t="s">
        <v>7329</v>
      </c>
      <c r="C2449" s="8" t="s">
        <v>7330</v>
      </c>
      <c r="D2449" s="8" t="s">
        <v>4035</v>
      </c>
    </row>
    <row r="2450" spans="1:4" ht="36" customHeight="1">
      <c r="A2450" s="26">
        <v>2445</v>
      </c>
      <c r="B2450" s="25" t="s">
        <v>7331</v>
      </c>
      <c r="C2450" s="8" t="s">
        <v>7332</v>
      </c>
      <c r="D2450" s="8" t="s">
        <v>4035</v>
      </c>
    </row>
    <row r="2451" spans="1:4" ht="36" customHeight="1">
      <c r="A2451" s="26">
        <v>2446</v>
      </c>
      <c r="B2451" s="25" t="s">
        <v>7333</v>
      </c>
      <c r="C2451" s="8" t="s">
        <v>7334</v>
      </c>
      <c r="D2451" s="8" t="s">
        <v>4035</v>
      </c>
    </row>
    <row r="2452" spans="1:4" ht="36" customHeight="1">
      <c r="A2452" s="26">
        <v>2447</v>
      </c>
      <c r="B2452" s="25" t="s">
        <v>7335</v>
      </c>
      <c r="C2452" s="8" t="s">
        <v>7336</v>
      </c>
      <c r="D2452" s="8" t="s">
        <v>4035</v>
      </c>
    </row>
    <row r="2453" spans="1:4" ht="36" customHeight="1">
      <c r="A2453" s="26">
        <v>2448</v>
      </c>
      <c r="B2453" s="25" t="s">
        <v>7337</v>
      </c>
      <c r="C2453" s="8" t="s">
        <v>7338</v>
      </c>
      <c r="D2453" s="8" t="s">
        <v>4035</v>
      </c>
    </row>
    <row r="2454" spans="1:4" ht="36" customHeight="1">
      <c r="A2454" s="26">
        <v>2449</v>
      </c>
      <c r="B2454" s="25" t="s">
        <v>7339</v>
      </c>
      <c r="C2454" s="8" t="s">
        <v>7340</v>
      </c>
      <c r="D2454" s="8" t="s">
        <v>4035</v>
      </c>
    </row>
    <row r="2455" spans="1:4" ht="36" customHeight="1">
      <c r="A2455" s="26">
        <v>2450</v>
      </c>
      <c r="B2455" s="25" t="s">
        <v>7341</v>
      </c>
      <c r="C2455" s="8" t="s">
        <v>7342</v>
      </c>
      <c r="D2455" s="8" t="s">
        <v>4035</v>
      </c>
    </row>
    <row r="2456" spans="1:4" ht="36" customHeight="1">
      <c r="A2456" s="26">
        <v>2451</v>
      </c>
      <c r="B2456" s="25" t="s">
        <v>7343</v>
      </c>
      <c r="C2456" s="8" t="s">
        <v>7344</v>
      </c>
      <c r="D2456" s="8" t="s">
        <v>4035</v>
      </c>
    </row>
    <row r="2457" spans="1:4" ht="36" customHeight="1">
      <c r="A2457" s="26">
        <v>2452</v>
      </c>
      <c r="B2457" s="25" t="s">
        <v>7345</v>
      </c>
      <c r="C2457" s="8" t="s">
        <v>7346</v>
      </c>
      <c r="D2457" s="8" t="s">
        <v>4035</v>
      </c>
    </row>
    <row r="2458" spans="1:4" ht="36" customHeight="1">
      <c r="A2458" s="26">
        <v>2453</v>
      </c>
      <c r="B2458" s="25" t="s">
        <v>7347</v>
      </c>
      <c r="C2458" s="8" t="s">
        <v>7348</v>
      </c>
      <c r="D2458" s="8" t="s">
        <v>4035</v>
      </c>
    </row>
    <row r="2459" spans="1:4" ht="36" customHeight="1">
      <c r="A2459" s="26">
        <v>2454</v>
      </c>
      <c r="B2459" s="25" t="s">
        <v>7349</v>
      </c>
      <c r="C2459" s="8" t="s">
        <v>7350</v>
      </c>
      <c r="D2459" s="8" t="s">
        <v>4035</v>
      </c>
    </row>
    <row r="2460" spans="1:4" ht="36" customHeight="1">
      <c r="A2460" s="26">
        <v>2455</v>
      </c>
      <c r="B2460" s="25" t="s">
        <v>7351</v>
      </c>
      <c r="C2460" s="8" t="s">
        <v>7352</v>
      </c>
      <c r="D2460" s="8" t="s">
        <v>4035</v>
      </c>
    </row>
    <row r="2461" spans="1:4" ht="36" customHeight="1">
      <c r="A2461" s="26">
        <v>2456</v>
      </c>
      <c r="B2461" s="25" t="s">
        <v>7353</v>
      </c>
      <c r="C2461" s="8" t="s">
        <v>7354</v>
      </c>
      <c r="D2461" s="8" t="s">
        <v>4035</v>
      </c>
    </row>
    <row r="2462" spans="1:4" ht="36" customHeight="1">
      <c r="A2462" s="26">
        <v>2457</v>
      </c>
      <c r="B2462" s="25" t="s">
        <v>7355</v>
      </c>
      <c r="C2462" s="8" t="s">
        <v>7356</v>
      </c>
      <c r="D2462" s="8" t="s">
        <v>4035</v>
      </c>
    </row>
    <row r="2463" spans="1:4" ht="36" customHeight="1">
      <c r="A2463" s="26">
        <v>2458</v>
      </c>
      <c r="B2463" s="25" t="s">
        <v>7357</v>
      </c>
      <c r="C2463" s="8" t="s">
        <v>7358</v>
      </c>
      <c r="D2463" s="8" t="s">
        <v>4035</v>
      </c>
    </row>
    <row r="2464" spans="1:4" ht="36" customHeight="1">
      <c r="A2464" s="26">
        <v>2459</v>
      </c>
      <c r="B2464" s="25" t="s">
        <v>7359</v>
      </c>
      <c r="C2464" s="8" t="s">
        <v>7360</v>
      </c>
      <c r="D2464" s="8" t="s">
        <v>4035</v>
      </c>
    </row>
    <row r="2465" spans="1:4" ht="36" customHeight="1">
      <c r="A2465" s="26">
        <v>2460</v>
      </c>
      <c r="B2465" s="25" t="s">
        <v>7361</v>
      </c>
      <c r="C2465" s="8" t="s">
        <v>7362</v>
      </c>
      <c r="D2465" s="8" t="s">
        <v>4035</v>
      </c>
    </row>
    <row r="2466" spans="1:4" ht="36" customHeight="1">
      <c r="A2466" s="26">
        <v>2461</v>
      </c>
      <c r="B2466" s="25" t="s">
        <v>7363</v>
      </c>
      <c r="C2466" s="8" t="s">
        <v>7364</v>
      </c>
      <c r="D2466" s="8" t="s">
        <v>4035</v>
      </c>
    </row>
    <row r="2467" spans="1:4" ht="36" customHeight="1">
      <c r="A2467" s="26">
        <v>2462</v>
      </c>
      <c r="B2467" s="25" t="s">
        <v>7365</v>
      </c>
      <c r="C2467" s="8" t="s">
        <v>7366</v>
      </c>
      <c r="D2467" s="8" t="s">
        <v>4035</v>
      </c>
    </row>
    <row r="2468" spans="1:4" ht="36" customHeight="1">
      <c r="A2468" s="26">
        <v>2463</v>
      </c>
      <c r="B2468" s="25" t="s">
        <v>7367</v>
      </c>
      <c r="C2468" s="8" t="s">
        <v>7368</v>
      </c>
      <c r="D2468" s="8" t="s">
        <v>4035</v>
      </c>
    </row>
    <row r="2469" spans="1:4" ht="36" customHeight="1">
      <c r="A2469" s="26">
        <v>2464</v>
      </c>
      <c r="B2469" s="25" t="s">
        <v>7369</v>
      </c>
      <c r="C2469" s="8" t="s">
        <v>7370</v>
      </c>
      <c r="D2469" s="8" t="s">
        <v>4035</v>
      </c>
    </row>
    <row r="2470" spans="1:4" ht="36" customHeight="1">
      <c r="A2470" s="26">
        <v>2465</v>
      </c>
      <c r="B2470" s="25" t="s">
        <v>7371</v>
      </c>
      <c r="C2470" s="8" t="s">
        <v>7372</v>
      </c>
      <c r="D2470" s="8" t="s">
        <v>4035</v>
      </c>
    </row>
    <row r="2471" spans="1:4" ht="36" customHeight="1">
      <c r="A2471" s="26">
        <v>2466</v>
      </c>
      <c r="B2471" s="25" t="s">
        <v>7373</v>
      </c>
      <c r="C2471" s="8" t="s">
        <v>7374</v>
      </c>
      <c r="D2471" s="8" t="s">
        <v>4035</v>
      </c>
    </row>
    <row r="2472" spans="1:4" ht="36" customHeight="1">
      <c r="A2472" s="26">
        <v>2467</v>
      </c>
      <c r="B2472" s="25" t="s">
        <v>7375</v>
      </c>
      <c r="C2472" s="8" t="s">
        <v>7376</v>
      </c>
      <c r="D2472" s="8" t="s">
        <v>4035</v>
      </c>
    </row>
    <row r="2473" spans="1:4" ht="36" customHeight="1">
      <c r="A2473" s="26">
        <v>2468</v>
      </c>
      <c r="B2473" s="25" t="s">
        <v>7377</v>
      </c>
      <c r="C2473" s="8" t="s">
        <v>7378</v>
      </c>
      <c r="D2473" s="8" t="s">
        <v>4035</v>
      </c>
    </row>
    <row r="2474" spans="1:4" ht="36" customHeight="1">
      <c r="A2474" s="26">
        <v>2469</v>
      </c>
      <c r="B2474" s="25" t="s">
        <v>7379</v>
      </c>
      <c r="C2474" s="8" t="s">
        <v>7380</v>
      </c>
      <c r="D2474" s="8" t="s">
        <v>4035</v>
      </c>
    </row>
    <row r="2475" spans="1:4" ht="36" customHeight="1">
      <c r="A2475" s="26">
        <v>2470</v>
      </c>
      <c r="B2475" s="25" t="s">
        <v>7381</v>
      </c>
      <c r="C2475" s="8" t="s">
        <v>7382</v>
      </c>
      <c r="D2475" s="8" t="s">
        <v>4035</v>
      </c>
    </row>
    <row r="2476" spans="1:4" ht="36" customHeight="1">
      <c r="A2476" s="26">
        <v>2471</v>
      </c>
      <c r="B2476" s="25" t="s">
        <v>7383</v>
      </c>
      <c r="C2476" s="8" t="s">
        <v>7384</v>
      </c>
      <c r="D2476" s="8" t="s">
        <v>4035</v>
      </c>
    </row>
    <row r="2477" spans="1:4" ht="36" customHeight="1">
      <c r="A2477" s="26">
        <v>2472</v>
      </c>
      <c r="B2477" s="25" t="s">
        <v>7385</v>
      </c>
      <c r="C2477" s="8" t="s">
        <v>7386</v>
      </c>
      <c r="D2477" s="8" t="s">
        <v>4035</v>
      </c>
    </row>
    <row r="2478" spans="1:4" ht="36" customHeight="1">
      <c r="A2478" s="26">
        <v>2473</v>
      </c>
      <c r="B2478" s="25" t="s">
        <v>7387</v>
      </c>
      <c r="C2478" s="8" t="s">
        <v>7388</v>
      </c>
      <c r="D2478" s="8" t="s">
        <v>4035</v>
      </c>
    </row>
    <row r="2479" spans="1:4" ht="36" customHeight="1">
      <c r="A2479" s="26">
        <v>2474</v>
      </c>
      <c r="B2479" s="25" t="s">
        <v>7389</v>
      </c>
      <c r="C2479" s="8" t="s">
        <v>7390</v>
      </c>
      <c r="D2479" s="8" t="s">
        <v>4035</v>
      </c>
    </row>
    <row r="2480" spans="1:4" ht="36" customHeight="1">
      <c r="A2480" s="26">
        <v>2475</v>
      </c>
      <c r="B2480" s="25" t="s">
        <v>7391</v>
      </c>
      <c r="C2480" s="8" t="s">
        <v>7392</v>
      </c>
      <c r="D2480" s="8" t="s">
        <v>4035</v>
      </c>
    </row>
    <row r="2481" spans="1:4" ht="36" customHeight="1">
      <c r="A2481" s="26">
        <v>2476</v>
      </c>
      <c r="B2481" s="25" t="s">
        <v>7393</v>
      </c>
      <c r="C2481" s="8" t="s">
        <v>7394</v>
      </c>
      <c r="D2481" s="8" t="s">
        <v>4035</v>
      </c>
    </row>
    <row r="2482" spans="1:4" ht="36" customHeight="1">
      <c r="A2482" s="26">
        <v>2477</v>
      </c>
      <c r="B2482" s="25" t="s">
        <v>7395</v>
      </c>
      <c r="C2482" s="8" t="s">
        <v>7396</v>
      </c>
      <c r="D2482" s="8" t="s">
        <v>4035</v>
      </c>
    </row>
    <row r="2483" spans="1:4" ht="36" customHeight="1">
      <c r="A2483" s="26">
        <v>2478</v>
      </c>
      <c r="B2483" s="25" t="s">
        <v>7397</v>
      </c>
      <c r="C2483" s="8" t="s">
        <v>7398</v>
      </c>
      <c r="D2483" s="8" t="s">
        <v>4035</v>
      </c>
    </row>
    <row r="2484" spans="1:4" ht="36" customHeight="1">
      <c r="A2484" s="26">
        <v>2479</v>
      </c>
      <c r="B2484" s="25" t="s">
        <v>7399</v>
      </c>
      <c r="C2484" s="8" t="s">
        <v>7400</v>
      </c>
      <c r="D2484" s="8" t="s">
        <v>4035</v>
      </c>
    </row>
    <row r="2485" spans="1:4" ht="36" customHeight="1">
      <c r="A2485" s="26">
        <v>2480</v>
      </c>
      <c r="B2485" s="25" t="s">
        <v>7401</v>
      </c>
      <c r="C2485" s="8" t="s">
        <v>7402</v>
      </c>
      <c r="D2485" s="8" t="s">
        <v>4035</v>
      </c>
    </row>
    <row r="2486" spans="1:4" ht="36" customHeight="1">
      <c r="A2486" s="26">
        <v>2481</v>
      </c>
      <c r="B2486" s="25" t="s">
        <v>7403</v>
      </c>
      <c r="C2486" s="8" t="s">
        <v>7404</v>
      </c>
      <c r="D2486" s="8" t="s">
        <v>4035</v>
      </c>
    </row>
    <row r="2487" spans="1:4" ht="36" customHeight="1">
      <c r="A2487" s="26">
        <v>2482</v>
      </c>
      <c r="B2487" s="25" t="s">
        <v>7405</v>
      </c>
      <c r="C2487" s="8" t="s">
        <v>7406</v>
      </c>
      <c r="D2487" s="8" t="s">
        <v>4035</v>
      </c>
    </row>
    <row r="2488" spans="1:4" ht="36" customHeight="1">
      <c r="A2488" s="26">
        <v>2483</v>
      </c>
      <c r="B2488" s="25" t="s">
        <v>7407</v>
      </c>
      <c r="C2488" s="8" t="s">
        <v>7408</v>
      </c>
      <c r="D2488" s="8" t="s">
        <v>4035</v>
      </c>
    </row>
    <row r="2489" spans="1:4" ht="36" customHeight="1">
      <c r="A2489" s="26">
        <v>2484</v>
      </c>
      <c r="B2489" s="25" t="s">
        <v>7409</v>
      </c>
      <c r="C2489" s="8" t="s">
        <v>7410</v>
      </c>
      <c r="D2489" s="8" t="s">
        <v>4035</v>
      </c>
    </row>
    <row r="2490" spans="1:4" ht="36" customHeight="1">
      <c r="A2490" s="26">
        <v>2485</v>
      </c>
      <c r="B2490" s="25" t="s">
        <v>7411</v>
      </c>
      <c r="C2490" s="8" t="s">
        <v>7412</v>
      </c>
      <c r="D2490" s="8" t="s">
        <v>4035</v>
      </c>
    </row>
    <row r="2491" spans="1:4" ht="36" customHeight="1">
      <c r="A2491" s="26">
        <v>2486</v>
      </c>
      <c r="B2491" s="25" t="s">
        <v>7413</v>
      </c>
      <c r="C2491" s="8" t="s">
        <v>7414</v>
      </c>
      <c r="D2491" s="8" t="s">
        <v>4035</v>
      </c>
    </row>
    <row r="2492" spans="1:4" ht="36" customHeight="1">
      <c r="A2492" s="26">
        <v>2487</v>
      </c>
      <c r="B2492" s="25" t="s">
        <v>7415</v>
      </c>
      <c r="C2492" s="8" t="s">
        <v>7416</v>
      </c>
      <c r="D2492" s="8" t="s">
        <v>4035</v>
      </c>
    </row>
    <row r="2493" spans="1:4" ht="36" customHeight="1">
      <c r="A2493" s="26">
        <v>2488</v>
      </c>
      <c r="B2493" s="25" t="s">
        <v>7417</v>
      </c>
      <c r="C2493" s="8" t="s">
        <v>7418</v>
      </c>
      <c r="D2493" s="8" t="s">
        <v>4035</v>
      </c>
    </row>
    <row r="2494" spans="1:4" ht="36" customHeight="1">
      <c r="A2494" s="26">
        <v>2489</v>
      </c>
      <c r="B2494" s="25" t="s">
        <v>7419</v>
      </c>
      <c r="C2494" s="8" t="s">
        <v>7420</v>
      </c>
      <c r="D2494" s="8" t="s">
        <v>4035</v>
      </c>
    </row>
    <row r="2495" spans="1:4" ht="36" customHeight="1">
      <c r="A2495" s="26">
        <v>2490</v>
      </c>
      <c r="B2495" s="25" t="s">
        <v>7421</v>
      </c>
      <c r="C2495" s="8" t="s">
        <v>7422</v>
      </c>
      <c r="D2495" s="8" t="s">
        <v>4035</v>
      </c>
    </row>
    <row r="2496" spans="1:4" ht="36" customHeight="1">
      <c r="A2496" s="26">
        <v>2491</v>
      </c>
      <c r="B2496" s="25" t="s">
        <v>7423</v>
      </c>
      <c r="C2496" s="8" t="s">
        <v>7424</v>
      </c>
      <c r="D2496" s="8" t="s">
        <v>4035</v>
      </c>
    </row>
    <row r="2497" spans="1:4" ht="36" customHeight="1">
      <c r="A2497" s="26">
        <v>2492</v>
      </c>
      <c r="B2497" s="25" t="s">
        <v>7425</v>
      </c>
      <c r="C2497" s="8" t="s">
        <v>7426</v>
      </c>
      <c r="D2497" s="8" t="s">
        <v>4035</v>
      </c>
    </row>
    <row r="2498" spans="1:4" ht="36" customHeight="1">
      <c r="A2498" s="26">
        <v>2493</v>
      </c>
      <c r="B2498" s="25" t="s">
        <v>7427</v>
      </c>
      <c r="C2498" s="8" t="s">
        <v>7428</v>
      </c>
      <c r="D2498" s="8" t="s">
        <v>4035</v>
      </c>
    </row>
    <row r="2499" spans="1:4" ht="36" customHeight="1">
      <c r="A2499" s="26">
        <v>2494</v>
      </c>
      <c r="B2499" s="25" t="s">
        <v>7429</v>
      </c>
      <c r="C2499" s="8" t="s">
        <v>7430</v>
      </c>
      <c r="D2499" s="8" t="s">
        <v>4035</v>
      </c>
    </row>
    <row r="2500" spans="1:4" ht="36" customHeight="1">
      <c r="A2500" s="26">
        <v>2495</v>
      </c>
      <c r="B2500" s="25" t="s">
        <v>7431</v>
      </c>
      <c r="C2500" s="8" t="s">
        <v>7432</v>
      </c>
      <c r="D2500" s="8" t="s">
        <v>4035</v>
      </c>
    </row>
    <row r="2501" spans="1:4" ht="36" customHeight="1">
      <c r="A2501" s="26">
        <v>2496</v>
      </c>
      <c r="B2501" s="25" t="s">
        <v>7433</v>
      </c>
      <c r="C2501" s="8" t="s">
        <v>7434</v>
      </c>
      <c r="D2501" s="8" t="s">
        <v>4035</v>
      </c>
    </row>
    <row r="2502" spans="1:4" ht="36" customHeight="1">
      <c r="A2502" s="26">
        <v>2497</v>
      </c>
      <c r="B2502" s="25" t="s">
        <v>7435</v>
      </c>
      <c r="C2502" s="8" t="s">
        <v>7436</v>
      </c>
      <c r="D2502" s="8" t="s">
        <v>4035</v>
      </c>
    </row>
    <row r="2503" spans="1:4" ht="36" customHeight="1">
      <c r="A2503" s="26">
        <v>2498</v>
      </c>
      <c r="B2503" s="25" t="s">
        <v>7437</v>
      </c>
      <c r="C2503" s="8" t="s">
        <v>7438</v>
      </c>
      <c r="D2503" s="8" t="s">
        <v>4035</v>
      </c>
    </row>
    <row r="2504" spans="1:4" ht="36" customHeight="1">
      <c r="A2504" s="26">
        <v>2499</v>
      </c>
      <c r="B2504" s="25" t="s">
        <v>7439</v>
      </c>
      <c r="C2504" s="8" t="s">
        <v>7440</v>
      </c>
      <c r="D2504" s="8" t="s">
        <v>4035</v>
      </c>
    </row>
    <row r="2505" spans="1:4" ht="36" customHeight="1">
      <c r="A2505" s="26">
        <v>2500</v>
      </c>
      <c r="B2505" s="25" t="s">
        <v>7441</v>
      </c>
      <c r="C2505" s="8" t="s">
        <v>7442</v>
      </c>
      <c r="D2505" s="8" t="s">
        <v>4035</v>
      </c>
    </row>
    <row r="2506" spans="1:4" ht="36" customHeight="1">
      <c r="A2506" s="26">
        <v>2501</v>
      </c>
      <c r="B2506" s="25" t="s">
        <v>7443</v>
      </c>
      <c r="C2506" s="8" t="s">
        <v>7444</v>
      </c>
      <c r="D2506" s="8" t="s">
        <v>4035</v>
      </c>
    </row>
    <row r="2507" spans="1:4" ht="36" customHeight="1">
      <c r="A2507" s="26">
        <v>2502</v>
      </c>
      <c r="B2507" s="25" t="s">
        <v>7445</v>
      </c>
      <c r="C2507" s="8" t="s">
        <v>7446</v>
      </c>
      <c r="D2507" s="8" t="s">
        <v>4035</v>
      </c>
    </row>
    <row r="2508" spans="1:4" ht="36" customHeight="1">
      <c r="A2508" s="26">
        <v>2503</v>
      </c>
      <c r="B2508" s="25" t="s">
        <v>7447</v>
      </c>
      <c r="C2508" s="8" t="s">
        <v>7448</v>
      </c>
      <c r="D2508" s="8" t="s">
        <v>4035</v>
      </c>
    </row>
    <row r="2509" spans="1:4" ht="36" customHeight="1">
      <c r="A2509" s="26">
        <v>2504</v>
      </c>
      <c r="B2509" s="25" t="s">
        <v>7449</v>
      </c>
      <c r="C2509" s="8" t="s">
        <v>7450</v>
      </c>
      <c r="D2509" s="8" t="s">
        <v>4035</v>
      </c>
    </row>
    <row r="2510" spans="1:4" ht="36" customHeight="1">
      <c r="A2510" s="26">
        <v>2505</v>
      </c>
      <c r="B2510" s="25" t="s">
        <v>7451</v>
      </c>
      <c r="C2510" s="8" t="s">
        <v>7452</v>
      </c>
      <c r="D2510" s="8" t="s">
        <v>4035</v>
      </c>
    </row>
    <row r="2511" spans="1:4" ht="36" customHeight="1">
      <c r="A2511" s="26">
        <v>2506</v>
      </c>
      <c r="B2511" s="25" t="s">
        <v>7453</v>
      </c>
      <c r="C2511" s="8" t="s">
        <v>7454</v>
      </c>
      <c r="D2511" s="8" t="s">
        <v>4035</v>
      </c>
    </row>
    <row r="2512" spans="1:4" ht="36" customHeight="1">
      <c r="A2512" s="26">
        <v>2507</v>
      </c>
      <c r="B2512" s="25" t="s">
        <v>7455</v>
      </c>
      <c r="C2512" s="8" t="s">
        <v>7456</v>
      </c>
      <c r="D2512" s="8" t="s">
        <v>4035</v>
      </c>
    </row>
    <row r="2513" spans="1:4" ht="36" customHeight="1">
      <c r="A2513" s="26">
        <v>2508</v>
      </c>
      <c r="B2513" s="25" t="s">
        <v>7457</v>
      </c>
      <c r="C2513" s="8" t="s">
        <v>7458</v>
      </c>
      <c r="D2513" s="8" t="s">
        <v>4035</v>
      </c>
    </row>
    <row r="2514" spans="1:4" ht="36" customHeight="1">
      <c r="A2514" s="26">
        <v>2509</v>
      </c>
      <c r="B2514" s="25" t="s">
        <v>7459</v>
      </c>
      <c r="C2514" s="8" t="s">
        <v>7460</v>
      </c>
      <c r="D2514" s="8" t="s">
        <v>4035</v>
      </c>
    </row>
    <row r="2515" spans="1:4" ht="36" customHeight="1">
      <c r="A2515" s="26">
        <v>2510</v>
      </c>
      <c r="B2515" s="25" t="s">
        <v>7461</v>
      </c>
      <c r="C2515" s="8" t="s">
        <v>7462</v>
      </c>
      <c r="D2515" s="8" t="s">
        <v>4035</v>
      </c>
    </row>
    <row r="2516" spans="1:4" ht="36" customHeight="1">
      <c r="A2516" s="26">
        <v>2511</v>
      </c>
      <c r="B2516" s="25" t="s">
        <v>7463</v>
      </c>
      <c r="C2516" s="8" t="s">
        <v>7464</v>
      </c>
      <c r="D2516" s="8" t="s">
        <v>4035</v>
      </c>
    </row>
    <row r="2517" spans="1:4" ht="36" customHeight="1">
      <c r="A2517" s="26">
        <v>2512</v>
      </c>
      <c r="B2517" s="25" t="s">
        <v>7465</v>
      </c>
      <c r="C2517" s="8" t="s">
        <v>7466</v>
      </c>
      <c r="D2517" s="8" t="s">
        <v>4035</v>
      </c>
    </row>
    <row r="2518" spans="1:4" ht="36" customHeight="1">
      <c r="A2518" s="26">
        <v>2513</v>
      </c>
      <c r="B2518" s="25" t="s">
        <v>7467</v>
      </c>
      <c r="C2518" s="8" t="s">
        <v>7468</v>
      </c>
      <c r="D2518" s="8" t="s">
        <v>4035</v>
      </c>
    </row>
    <row r="2519" spans="1:4" ht="36" customHeight="1">
      <c r="A2519" s="26">
        <v>2514</v>
      </c>
      <c r="B2519" s="25" t="s">
        <v>7469</v>
      </c>
      <c r="C2519" s="8" t="s">
        <v>7470</v>
      </c>
      <c r="D2519" s="8" t="s">
        <v>4035</v>
      </c>
    </row>
    <row r="2520" spans="1:4" ht="36" customHeight="1">
      <c r="A2520" s="26">
        <v>2515</v>
      </c>
      <c r="B2520" s="25" t="s">
        <v>7471</v>
      </c>
      <c r="C2520" s="8" t="s">
        <v>7472</v>
      </c>
      <c r="D2520" s="8" t="s">
        <v>4035</v>
      </c>
    </row>
    <row r="2521" spans="1:4" ht="36" customHeight="1">
      <c r="A2521" s="26">
        <v>2516</v>
      </c>
      <c r="B2521" s="25" t="s">
        <v>7473</v>
      </c>
      <c r="C2521" s="8" t="s">
        <v>7474</v>
      </c>
      <c r="D2521" s="8" t="s">
        <v>4035</v>
      </c>
    </row>
    <row r="2522" spans="1:4" ht="36" customHeight="1">
      <c r="A2522" s="26">
        <v>2517</v>
      </c>
      <c r="B2522" s="25" t="s">
        <v>7475</v>
      </c>
      <c r="C2522" s="8" t="s">
        <v>7476</v>
      </c>
      <c r="D2522" s="8" t="s">
        <v>4035</v>
      </c>
    </row>
    <row r="2523" spans="1:4" ht="36" customHeight="1">
      <c r="A2523" s="26">
        <v>2518</v>
      </c>
      <c r="B2523" s="25" t="s">
        <v>7477</v>
      </c>
      <c r="C2523" s="8" t="s">
        <v>7478</v>
      </c>
      <c r="D2523" s="8" t="s">
        <v>4035</v>
      </c>
    </row>
    <row r="2524" spans="1:4" ht="36" customHeight="1">
      <c r="A2524" s="26">
        <v>2519</v>
      </c>
      <c r="B2524" s="25" t="s">
        <v>7479</v>
      </c>
      <c r="C2524" s="8" t="s">
        <v>7480</v>
      </c>
      <c r="D2524" s="8" t="s">
        <v>4035</v>
      </c>
    </row>
    <row r="2525" spans="1:4" ht="36" customHeight="1">
      <c r="A2525" s="26">
        <v>2520</v>
      </c>
      <c r="B2525" s="25" t="s">
        <v>7481</v>
      </c>
      <c r="C2525" s="8" t="s">
        <v>7482</v>
      </c>
      <c r="D2525" s="8" t="s">
        <v>4035</v>
      </c>
    </row>
    <row r="2526" spans="1:4" ht="36" customHeight="1">
      <c r="A2526" s="26">
        <v>2521</v>
      </c>
      <c r="B2526" s="25" t="s">
        <v>7483</v>
      </c>
      <c r="C2526" s="8" t="s">
        <v>7484</v>
      </c>
      <c r="D2526" s="8" t="s">
        <v>4035</v>
      </c>
    </row>
    <row r="2527" spans="1:4" ht="36" customHeight="1">
      <c r="A2527" s="26">
        <v>2522</v>
      </c>
      <c r="B2527" s="25" t="s">
        <v>7485</v>
      </c>
      <c r="C2527" s="8" t="s">
        <v>7486</v>
      </c>
      <c r="D2527" s="8" t="s">
        <v>4035</v>
      </c>
    </row>
    <row r="2528" spans="1:4" ht="36" customHeight="1">
      <c r="A2528" s="26">
        <v>2523</v>
      </c>
      <c r="B2528" s="25" t="s">
        <v>7487</v>
      </c>
      <c r="C2528" s="8" t="s">
        <v>7488</v>
      </c>
      <c r="D2528" s="8" t="s">
        <v>4035</v>
      </c>
    </row>
    <row r="2529" spans="1:4" ht="36" customHeight="1">
      <c r="A2529" s="26">
        <v>2524</v>
      </c>
      <c r="B2529" s="25" t="s">
        <v>7489</v>
      </c>
      <c r="C2529" s="8" t="s">
        <v>7490</v>
      </c>
      <c r="D2529" s="8" t="s">
        <v>4035</v>
      </c>
    </row>
    <row r="2530" spans="1:4" ht="36" customHeight="1">
      <c r="A2530" s="26">
        <v>2525</v>
      </c>
      <c r="B2530" s="25" t="s">
        <v>7491</v>
      </c>
      <c r="C2530" s="8" t="s">
        <v>7492</v>
      </c>
      <c r="D2530" s="8" t="s">
        <v>4035</v>
      </c>
    </row>
    <row r="2531" spans="1:4" ht="36" customHeight="1">
      <c r="A2531" s="26">
        <v>2526</v>
      </c>
      <c r="B2531" s="25" t="s">
        <v>7493</v>
      </c>
      <c r="C2531" s="8" t="s">
        <v>7494</v>
      </c>
      <c r="D2531" s="8" t="s">
        <v>4035</v>
      </c>
    </row>
    <row r="2532" spans="1:4" ht="36" customHeight="1">
      <c r="A2532" s="26">
        <v>2527</v>
      </c>
      <c r="B2532" s="25" t="s">
        <v>7495</v>
      </c>
      <c r="C2532" s="8" t="s">
        <v>7496</v>
      </c>
      <c r="D2532" s="8" t="s">
        <v>4035</v>
      </c>
    </row>
    <row r="2533" spans="1:4" ht="36" customHeight="1">
      <c r="A2533" s="26">
        <v>2528</v>
      </c>
      <c r="B2533" s="25" t="s">
        <v>7497</v>
      </c>
      <c r="C2533" s="8" t="s">
        <v>7498</v>
      </c>
      <c r="D2533" s="8" t="s">
        <v>4035</v>
      </c>
    </row>
    <row r="2534" spans="1:4" ht="36" customHeight="1">
      <c r="A2534" s="26">
        <v>2529</v>
      </c>
      <c r="B2534" s="25" t="s">
        <v>7499</v>
      </c>
      <c r="C2534" s="8" t="s">
        <v>7500</v>
      </c>
      <c r="D2534" s="8" t="s">
        <v>4035</v>
      </c>
    </row>
    <row r="2535" spans="1:4" ht="36" customHeight="1">
      <c r="A2535" s="26">
        <v>2530</v>
      </c>
      <c r="B2535" s="25" t="s">
        <v>7501</v>
      </c>
      <c r="C2535" s="8" t="s">
        <v>7502</v>
      </c>
      <c r="D2535" s="8" t="s">
        <v>4035</v>
      </c>
    </row>
    <row r="2536" spans="1:4" ht="36" customHeight="1">
      <c r="A2536" s="26">
        <v>2531</v>
      </c>
      <c r="B2536" s="25" t="s">
        <v>7503</v>
      </c>
      <c r="C2536" s="8" t="s">
        <v>7504</v>
      </c>
      <c r="D2536" s="8" t="s">
        <v>4035</v>
      </c>
    </row>
    <row r="2537" spans="1:4" ht="36" customHeight="1">
      <c r="A2537" s="26">
        <v>2532</v>
      </c>
      <c r="B2537" s="25" t="s">
        <v>7505</v>
      </c>
      <c r="C2537" s="8" t="s">
        <v>7506</v>
      </c>
      <c r="D2537" s="8" t="s">
        <v>4035</v>
      </c>
    </row>
    <row r="2538" spans="1:4" ht="36" customHeight="1">
      <c r="A2538" s="26">
        <v>2533</v>
      </c>
      <c r="B2538" s="25" t="s">
        <v>7507</v>
      </c>
      <c r="C2538" s="8" t="s">
        <v>7508</v>
      </c>
      <c r="D2538" s="8" t="s">
        <v>4035</v>
      </c>
    </row>
    <row r="2539" spans="1:4" ht="36" customHeight="1">
      <c r="A2539" s="26">
        <v>2534</v>
      </c>
      <c r="B2539" s="25" t="s">
        <v>7509</v>
      </c>
      <c r="C2539" s="8" t="s">
        <v>7510</v>
      </c>
      <c r="D2539" s="8" t="s">
        <v>4035</v>
      </c>
    </row>
    <row r="2540" spans="1:4" ht="36" customHeight="1">
      <c r="A2540" s="26">
        <v>2535</v>
      </c>
      <c r="B2540" s="25" t="s">
        <v>7511</v>
      </c>
      <c r="C2540" s="8" t="s">
        <v>7512</v>
      </c>
      <c r="D2540" s="8" t="s">
        <v>4035</v>
      </c>
    </row>
    <row r="2541" spans="1:4" ht="36" customHeight="1">
      <c r="A2541" s="26">
        <v>2536</v>
      </c>
      <c r="B2541" s="25" t="s">
        <v>7513</v>
      </c>
      <c r="C2541" s="8" t="s">
        <v>7514</v>
      </c>
      <c r="D2541" s="8" t="s">
        <v>4035</v>
      </c>
    </row>
    <row r="2542" spans="1:4" ht="36" customHeight="1">
      <c r="A2542" s="26">
        <v>2537</v>
      </c>
      <c r="B2542" s="25" t="s">
        <v>7515</v>
      </c>
      <c r="C2542" s="8" t="s">
        <v>7516</v>
      </c>
      <c r="D2542" s="8" t="s">
        <v>4035</v>
      </c>
    </row>
    <row r="2543" spans="1:4" ht="36" customHeight="1">
      <c r="A2543" s="26">
        <v>2538</v>
      </c>
      <c r="B2543" s="25" t="s">
        <v>7517</v>
      </c>
      <c r="C2543" s="8" t="s">
        <v>7518</v>
      </c>
      <c r="D2543" s="8" t="s">
        <v>4035</v>
      </c>
    </row>
    <row r="2544" spans="1:4" ht="36" customHeight="1">
      <c r="A2544" s="26">
        <v>2539</v>
      </c>
      <c r="B2544" s="25" t="s">
        <v>7519</v>
      </c>
      <c r="C2544" s="8" t="s">
        <v>7520</v>
      </c>
      <c r="D2544" s="8" t="s">
        <v>4035</v>
      </c>
    </row>
    <row r="2545" spans="1:4" ht="36" customHeight="1">
      <c r="A2545" s="26">
        <v>2540</v>
      </c>
      <c r="B2545" s="25" t="s">
        <v>7521</v>
      </c>
      <c r="C2545" s="8" t="s">
        <v>7522</v>
      </c>
      <c r="D2545" s="8" t="s">
        <v>4035</v>
      </c>
    </row>
    <row r="2546" spans="1:4" ht="36" customHeight="1">
      <c r="A2546" s="26">
        <v>2541</v>
      </c>
      <c r="B2546" s="25" t="s">
        <v>7523</v>
      </c>
      <c r="C2546" s="8" t="s">
        <v>7524</v>
      </c>
      <c r="D2546" s="8" t="s">
        <v>4035</v>
      </c>
    </row>
    <row r="2547" spans="1:4" ht="36" customHeight="1">
      <c r="A2547" s="26">
        <v>2542</v>
      </c>
      <c r="B2547" s="25" t="s">
        <v>7525</v>
      </c>
      <c r="C2547" s="8" t="s">
        <v>7526</v>
      </c>
      <c r="D2547" s="8" t="s">
        <v>4035</v>
      </c>
    </row>
    <row r="2548" spans="1:4" ht="36" customHeight="1">
      <c r="A2548" s="26">
        <v>2543</v>
      </c>
      <c r="B2548" s="25" t="s">
        <v>7527</v>
      </c>
      <c r="C2548" s="8" t="s">
        <v>7528</v>
      </c>
      <c r="D2548" s="8" t="s">
        <v>4035</v>
      </c>
    </row>
    <row r="2549" spans="1:4" ht="36" customHeight="1">
      <c r="A2549" s="26">
        <v>2544</v>
      </c>
      <c r="B2549" s="25" t="s">
        <v>7529</v>
      </c>
      <c r="C2549" s="8" t="s">
        <v>7530</v>
      </c>
      <c r="D2549" s="8" t="s">
        <v>4035</v>
      </c>
    </row>
    <row r="2550" spans="1:4" ht="36" customHeight="1">
      <c r="A2550" s="26">
        <v>2545</v>
      </c>
      <c r="B2550" s="25" t="s">
        <v>7531</v>
      </c>
      <c r="C2550" s="8" t="s">
        <v>7532</v>
      </c>
      <c r="D2550" s="8" t="s">
        <v>4035</v>
      </c>
    </row>
    <row r="2551" spans="1:4" ht="36" customHeight="1">
      <c r="A2551" s="26">
        <v>2546</v>
      </c>
      <c r="B2551" s="25" t="s">
        <v>7533</v>
      </c>
      <c r="C2551" s="8" t="s">
        <v>7534</v>
      </c>
      <c r="D2551" s="8" t="s">
        <v>4035</v>
      </c>
    </row>
    <row r="2552" spans="1:4" ht="36" customHeight="1">
      <c r="A2552" s="26">
        <v>2547</v>
      </c>
      <c r="B2552" s="25" t="s">
        <v>7535</v>
      </c>
      <c r="C2552" s="8" t="s">
        <v>7536</v>
      </c>
      <c r="D2552" s="8" t="s">
        <v>7537</v>
      </c>
    </row>
    <row r="2553" spans="1:4" ht="36" customHeight="1">
      <c r="A2553" s="26">
        <v>2548</v>
      </c>
      <c r="B2553" s="25" t="s">
        <v>7538</v>
      </c>
      <c r="C2553" s="8" t="s">
        <v>7539</v>
      </c>
      <c r="D2553" s="8" t="s">
        <v>7537</v>
      </c>
    </row>
    <row r="2554" spans="1:4" ht="36" customHeight="1">
      <c r="A2554" s="26">
        <v>2549</v>
      </c>
      <c r="B2554" s="25" t="s">
        <v>7540</v>
      </c>
      <c r="C2554" s="8" t="s">
        <v>7541</v>
      </c>
      <c r="D2554" s="8" t="s">
        <v>3930</v>
      </c>
    </row>
    <row r="2555" spans="1:4" ht="36" customHeight="1">
      <c r="A2555" s="26">
        <v>2550</v>
      </c>
      <c r="B2555" s="25" t="s">
        <v>7542</v>
      </c>
      <c r="C2555" s="8" t="s">
        <v>7543</v>
      </c>
      <c r="D2555" s="8" t="s">
        <v>3930</v>
      </c>
    </row>
    <row r="2556" spans="1:4" ht="36" customHeight="1">
      <c r="A2556" s="26">
        <v>2551</v>
      </c>
      <c r="B2556" s="25" t="s">
        <v>7544</v>
      </c>
      <c r="C2556" s="8" t="s">
        <v>7545</v>
      </c>
      <c r="D2556" s="8" t="s">
        <v>3930</v>
      </c>
    </row>
    <row r="2557" spans="1:4" ht="36" customHeight="1">
      <c r="A2557" s="26">
        <v>2552</v>
      </c>
      <c r="B2557" s="25" t="s">
        <v>7546</v>
      </c>
      <c r="C2557" s="8" t="s">
        <v>7547</v>
      </c>
      <c r="D2557" s="8" t="s">
        <v>3930</v>
      </c>
    </row>
    <row r="2558" spans="1:4" ht="36" customHeight="1">
      <c r="A2558" s="26">
        <v>2553</v>
      </c>
      <c r="B2558" s="25" t="s">
        <v>7548</v>
      </c>
      <c r="C2558" s="8" t="s">
        <v>7549</v>
      </c>
      <c r="D2558" s="8" t="s">
        <v>3930</v>
      </c>
    </row>
    <row r="2559" spans="1:4" ht="36" customHeight="1">
      <c r="A2559" s="26">
        <v>2554</v>
      </c>
      <c r="B2559" s="25" t="s">
        <v>7550</v>
      </c>
      <c r="C2559" s="8" t="s">
        <v>7551</v>
      </c>
      <c r="D2559" s="8" t="s">
        <v>3930</v>
      </c>
    </row>
    <row r="2560" spans="1:4" ht="36" customHeight="1">
      <c r="A2560" s="26">
        <v>2555</v>
      </c>
      <c r="B2560" s="25" t="s">
        <v>7552</v>
      </c>
      <c r="C2560" s="8" t="s">
        <v>7553</v>
      </c>
      <c r="D2560" s="8" t="s">
        <v>3930</v>
      </c>
    </row>
    <row r="2561" spans="1:4" ht="36" customHeight="1">
      <c r="A2561" s="26">
        <v>2556</v>
      </c>
      <c r="B2561" s="25" t="s">
        <v>7554</v>
      </c>
      <c r="C2561" s="8" t="s">
        <v>7555</v>
      </c>
      <c r="D2561" s="8" t="s">
        <v>3930</v>
      </c>
    </row>
    <row r="2562" spans="1:4" ht="36" customHeight="1">
      <c r="A2562" s="26">
        <v>2557</v>
      </c>
      <c r="B2562" s="25" t="s">
        <v>7556</v>
      </c>
      <c r="C2562" s="8" t="s">
        <v>7557</v>
      </c>
      <c r="D2562" s="8" t="s">
        <v>3930</v>
      </c>
    </row>
    <row r="2563" spans="1:4" ht="36" customHeight="1">
      <c r="A2563" s="26">
        <v>2558</v>
      </c>
      <c r="B2563" s="25" t="s">
        <v>7558</v>
      </c>
      <c r="C2563" s="8" t="s">
        <v>7559</v>
      </c>
      <c r="D2563" s="8" t="s">
        <v>3930</v>
      </c>
    </row>
    <row r="2564" spans="1:4" ht="36" customHeight="1">
      <c r="A2564" s="26">
        <v>2559</v>
      </c>
      <c r="B2564" s="25" t="s">
        <v>7560</v>
      </c>
      <c r="C2564" s="8" t="s">
        <v>7561</v>
      </c>
      <c r="D2564" s="8" t="s">
        <v>3930</v>
      </c>
    </row>
    <row r="2565" spans="1:4" ht="36" customHeight="1">
      <c r="A2565" s="26">
        <v>2560</v>
      </c>
      <c r="B2565" s="25" t="s">
        <v>7562</v>
      </c>
      <c r="C2565" s="8" t="s">
        <v>7563</v>
      </c>
      <c r="D2565" s="8" t="s">
        <v>3930</v>
      </c>
    </row>
    <row r="2566" spans="1:4" ht="36" customHeight="1">
      <c r="A2566" s="26">
        <v>2561</v>
      </c>
      <c r="B2566" s="25" t="s">
        <v>7564</v>
      </c>
      <c r="C2566" s="8" t="s">
        <v>7565</v>
      </c>
      <c r="D2566" s="8" t="s">
        <v>3930</v>
      </c>
    </row>
    <row r="2567" spans="1:4" ht="36" customHeight="1">
      <c r="A2567" s="26">
        <v>2562</v>
      </c>
      <c r="B2567" s="25" t="s">
        <v>7566</v>
      </c>
      <c r="C2567" s="8" t="s">
        <v>7567</v>
      </c>
      <c r="D2567" s="8" t="s">
        <v>3930</v>
      </c>
    </row>
    <row r="2568" spans="1:4" ht="36" customHeight="1">
      <c r="A2568" s="26">
        <v>2563</v>
      </c>
      <c r="B2568" s="25" t="s">
        <v>7568</v>
      </c>
      <c r="C2568" s="8" t="s">
        <v>7569</v>
      </c>
      <c r="D2568" s="8" t="s">
        <v>3930</v>
      </c>
    </row>
    <row r="2569" spans="1:4" ht="36" customHeight="1">
      <c r="A2569" s="26">
        <v>2564</v>
      </c>
      <c r="B2569" s="25" t="s">
        <v>7570</v>
      </c>
      <c r="C2569" s="8" t="s">
        <v>7571</v>
      </c>
      <c r="D2569" s="8" t="s">
        <v>3930</v>
      </c>
    </row>
    <row r="2570" spans="1:4" ht="36" customHeight="1">
      <c r="A2570" s="26">
        <v>2565</v>
      </c>
      <c r="B2570" s="25" t="s">
        <v>7572</v>
      </c>
      <c r="C2570" s="8" t="s">
        <v>7573</v>
      </c>
      <c r="D2570" s="8" t="s">
        <v>3930</v>
      </c>
    </row>
    <row r="2571" spans="1:4" ht="36" customHeight="1">
      <c r="A2571" s="26">
        <v>2566</v>
      </c>
      <c r="B2571" s="25" t="s">
        <v>7574</v>
      </c>
      <c r="C2571" s="8" t="s">
        <v>7575</v>
      </c>
      <c r="D2571" s="8" t="s">
        <v>3930</v>
      </c>
    </row>
    <row r="2572" spans="1:4" ht="36" customHeight="1">
      <c r="A2572" s="26">
        <v>2567</v>
      </c>
      <c r="B2572" s="25" t="s">
        <v>7576</v>
      </c>
      <c r="C2572" s="8" t="s">
        <v>7577</v>
      </c>
      <c r="D2572" s="8" t="s">
        <v>3930</v>
      </c>
    </row>
    <row r="2573" spans="1:4" ht="36" customHeight="1">
      <c r="A2573" s="26">
        <v>2568</v>
      </c>
      <c r="B2573" s="25" t="s">
        <v>7578</v>
      </c>
      <c r="C2573" s="8" t="s">
        <v>7579</v>
      </c>
      <c r="D2573" s="8" t="s">
        <v>3930</v>
      </c>
    </row>
    <row r="2574" spans="1:4" ht="36" customHeight="1">
      <c r="A2574" s="26">
        <v>2569</v>
      </c>
      <c r="B2574" s="25" t="s">
        <v>7580</v>
      </c>
      <c r="C2574" s="8" t="s">
        <v>7581</v>
      </c>
      <c r="D2574" s="8" t="s">
        <v>3930</v>
      </c>
    </row>
    <row r="2575" spans="1:4" ht="36" customHeight="1">
      <c r="A2575" s="26">
        <v>2570</v>
      </c>
      <c r="B2575" s="25" t="s">
        <v>7582</v>
      </c>
      <c r="C2575" s="8" t="s">
        <v>7583</v>
      </c>
      <c r="D2575" s="8" t="s">
        <v>3930</v>
      </c>
    </row>
    <row r="2576" spans="1:4" ht="36" customHeight="1">
      <c r="A2576" s="26">
        <v>2571</v>
      </c>
      <c r="B2576" s="25" t="s">
        <v>7584</v>
      </c>
      <c r="C2576" s="8" t="s">
        <v>7585</v>
      </c>
      <c r="D2576" s="8" t="s">
        <v>3930</v>
      </c>
    </row>
    <row r="2577" spans="1:4" ht="36" customHeight="1">
      <c r="A2577" s="26">
        <v>2572</v>
      </c>
      <c r="B2577" s="25" t="s">
        <v>7586</v>
      </c>
      <c r="C2577" s="8" t="s">
        <v>7587</v>
      </c>
      <c r="D2577" s="8" t="s">
        <v>3930</v>
      </c>
    </row>
    <row r="2578" spans="1:4" ht="36" customHeight="1">
      <c r="A2578" s="26">
        <v>2573</v>
      </c>
      <c r="B2578" s="25" t="s">
        <v>7588</v>
      </c>
      <c r="C2578" s="8" t="s">
        <v>7589</v>
      </c>
      <c r="D2578" s="8" t="s">
        <v>3930</v>
      </c>
    </row>
    <row r="2579" spans="1:4" ht="36" customHeight="1">
      <c r="A2579" s="26">
        <v>2574</v>
      </c>
      <c r="B2579" s="25" t="s">
        <v>7590</v>
      </c>
      <c r="C2579" s="8" t="s">
        <v>7591</v>
      </c>
      <c r="D2579" s="8" t="s">
        <v>3930</v>
      </c>
    </row>
    <row r="2580" spans="1:4" ht="36" customHeight="1">
      <c r="A2580" s="26">
        <v>2575</v>
      </c>
      <c r="B2580" s="25" t="s">
        <v>7592</v>
      </c>
      <c r="C2580" s="8" t="s">
        <v>7593</v>
      </c>
      <c r="D2580" s="8" t="s">
        <v>3930</v>
      </c>
    </row>
    <row r="2581" spans="1:4" ht="36" customHeight="1">
      <c r="A2581" s="26">
        <v>2576</v>
      </c>
      <c r="B2581" s="25" t="s">
        <v>7594</v>
      </c>
      <c r="C2581" s="8" t="s">
        <v>7595</v>
      </c>
      <c r="D2581" s="8" t="s">
        <v>3930</v>
      </c>
    </row>
    <row r="2582" spans="1:4" ht="36" customHeight="1">
      <c r="A2582" s="26">
        <v>2577</v>
      </c>
      <c r="B2582" s="25" t="s">
        <v>7596</v>
      </c>
      <c r="C2582" s="8" t="s">
        <v>7597</v>
      </c>
      <c r="D2582" s="8" t="s">
        <v>3930</v>
      </c>
    </row>
    <row r="2583" spans="1:4" ht="36" customHeight="1">
      <c r="A2583" s="26">
        <v>2578</v>
      </c>
      <c r="B2583" s="25" t="s">
        <v>7598</v>
      </c>
      <c r="C2583" s="8" t="s">
        <v>7599</v>
      </c>
      <c r="D2583" s="8" t="s">
        <v>3930</v>
      </c>
    </row>
    <row r="2584" spans="1:4" ht="36" customHeight="1">
      <c r="A2584" s="26">
        <v>2579</v>
      </c>
      <c r="B2584" s="25" t="s">
        <v>7600</v>
      </c>
      <c r="C2584" s="8" t="s">
        <v>7601</v>
      </c>
      <c r="D2584" s="8" t="s">
        <v>3930</v>
      </c>
    </row>
    <row r="2585" spans="1:4" ht="36" customHeight="1">
      <c r="A2585" s="26">
        <v>2580</v>
      </c>
      <c r="B2585" s="25" t="s">
        <v>7602</v>
      </c>
      <c r="C2585" s="8" t="s">
        <v>7603</v>
      </c>
      <c r="D2585" s="8" t="s">
        <v>3930</v>
      </c>
    </row>
    <row r="2586" spans="1:4" ht="36" customHeight="1">
      <c r="A2586" s="26">
        <v>2581</v>
      </c>
      <c r="B2586" s="25" t="s">
        <v>7604</v>
      </c>
      <c r="C2586" s="8" t="s">
        <v>7605</v>
      </c>
      <c r="D2586" s="8" t="s">
        <v>3930</v>
      </c>
    </row>
    <row r="2587" spans="1:4" ht="36" customHeight="1">
      <c r="A2587" s="26">
        <v>2582</v>
      </c>
      <c r="B2587" s="25" t="s">
        <v>7606</v>
      </c>
      <c r="C2587" s="8" t="s">
        <v>7607</v>
      </c>
      <c r="D2587" s="8" t="s">
        <v>3930</v>
      </c>
    </row>
    <row r="2588" spans="1:4" ht="36" customHeight="1">
      <c r="A2588" s="26">
        <v>2583</v>
      </c>
      <c r="B2588" s="25" t="s">
        <v>7608</v>
      </c>
      <c r="C2588" s="8" t="s">
        <v>7609</v>
      </c>
      <c r="D2588" s="8" t="s">
        <v>3930</v>
      </c>
    </row>
    <row r="2589" spans="1:4" ht="36" customHeight="1">
      <c r="A2589" s="26">
        <v>2584</v>
      </c>
      <c r="B2589" s="25" t="s">
        <v>7610</v>
      </c>
      <c r="C2589" s="8" t="s">
        <v>4888</v>
      </c>
      <c r="D2589" s="8" t="s">
        <v>3930</v>
      </c>
    </row>
    <row r="2590" spans="1:4" ht="36" customHeight="1">
      <c r="A2590" s="26">
        <v>2585</v>
      </c>
      <c r="B2590" s="25" t="s">
        <v>7611</v>
      </c>
      <c r="C2590" s="8" t="s">
        <v>7612</v>
      </c>
      <c r="D2590" s="8" t="s">
        <v>3930</v>
      </c>
    </row>
    <row r="2591" spans="1:4" ht="36" customHeight="1">
      <c r="A2591" s="26">
        <v>2586</v>
      </c>
      <c r="B2591" s="25" t="s">
        <v>7613</v>
      </c>
      <c r="C2591" s="8" t="s">
        <v>7614</v>
      </c>
      <c r="D2591" s="8" t="s">
        <v>3930</v>
      </c>
    </row>
    <row r="2592" spans="1:4" ht="36" customHeight="1">
      <c r="A2592" s="26">
        <v>2587</v>
      </c>
      <c r="B2592" s="25" t="s">
        <v>7615</v>
      </c>
      <c r="C2592" s="8" t="s">
        <v>7616</v>
      </c>
      <c r="D2592" s="8" t="s">
        <v>3930</v>
      </c>
    </row>
    <row r="2593" spans="1:4" ht="36" customHeight="1">
      <c r="A2593" s="26">
        <v>2588</v>
      </c>
      <c r="B2593" s="25" t="s">
        <v>7617</v>
      </c>
      <c r="C2593" s="8" t="s">
        <v>7618</v>
      </c>
      <c r="D2593" s="8" t="s">
        <v>3930</v>
      </c>
    </row>
    <row r="2594" spans="1:4" ht="36" customHeight="1">
      <c r="A2594" s="26">
        <v>2589</v>
      </c>
      <c r="B2594" s="25" t="s">
        <v>7619</v>
      </c>
      <c r="C2594" s="8" t="s">
        <v>7620</v>
      </c>
      <c r="D2594" s="8" t="s">
        <v>3930</v>
      </c>
    </row>
    <row r="2595" spans="1:4" ht="36" customHeight="1">
      <c r="A2595" s="26">
        <v>2590</v>
      </c>
      <c r="B2595" s="25" t="s">
        <v>7621</v>
      </c>
      <c r="C2595" s="8" t="s">
        <v>7622</v>
      </c>
      <c r="D2595" s="8" t="s">
        <v>3930</v>
      </c>
    </row>
    <row r="2596" spans="1:4" ht="36" customHeight="1">
      <c r="A2596" s="26">
        <v>2591</v>
      </c>
      <c r="B2596" s="25" t="s">
        <v>7623</v>
      </c>
      <c r="C2596" s="8" t="s">
        <v>7624</v>
      </c>
      <c r="D2596" s="8" t="s">
        <v>3930</v>
      </c>
    </row>
    <row r="2597" spans="1:4" ht="36" customHeight="1">
      <c r="A2597" s="26">
        <v>2592</v>
      </c>
      <c r="B2597" s="25" t="s">
        <v>7625</v>
      </c>
      <c r="C2597" s="8" t="s">
        <v>7626</v>
      </c>
      <c r="D2597" s="8" t="s">
        <v>3930</v>
      </c>
    </row>
    <row r="2598" spans="1:4" ht="36" customHeight="1">
      <c r="A2598" s="26">
        <v>2593</v>
      </c>
      <c r="B2598" s="25" t="s">
        <v>7627</v>
      </c>
      <c r="C2598" s="8" t="s">
        <v>7628</v>
      </c>
      <c r="D2598" s="8" t="s">
        <v>3930</v>
      </c>
    </row>
    <row r="2599" spans="1:4" ht="36" customHeight="1">
      <c r="A2599" s="26">
        <v>2594</v>
      </c>
      <c r="B2599" s="25" t="s">
        <v>7629</v>
      </c>
      <c r="C2599" s="8" t="s">
        <v>7630</v>
      </c>
      <c r="D2599" s="8" t="s">
        <v>3930</v>
      </c>
    </row>
    <row r="2600" spans="1:4" ht="36" customHeight="1">
      <c r="A2600" s="26">
        <v>2595</v>
      </c>
      <c r="B2600" s="25" t="s">
        <v>7631</v>
      </c>
      <c r="C2600" s="8" t="s">
        <v>7632</v>
      </c>
      <c r="D2600" s="8" t="s">
        <v>3930</v>
      </c>
    </row>
    <row r="2601" spans="1:4" ht="36" customHeight="1">
      <c r="A2601" s="26">
        <v>2596</v>
      </c>
      <c r="B2601" s="25" t="s">
        <v>7633</v>
      </c>
      <c r="C2601" s="8" t="s">
        <v>7634</v>
      </c>
      <c r="D2601" s="8" t="s">
        <v>3930</v>
      </c>
    </row>
    <row r="2602" spans="1:4" ht="36" customHeight="1">
      <c r="A2602" s="26">
        <v>2597</v>
      </c>
      <c r="B2602" s="25" t="s">
        <v>7635</v>
      </c>
      <c r="C2602" s="8" t="s">
        <v>7636</v>
      </c>
      <c r="D2602" s="8" t="s">
        <v>3930</v>
      </c>
    </row>
    <row r="2603" spans="1:4" ht="36" customHeight="1">
      <c r="A2603" s="26">
        <v>2598</v>
      </c>
      <c r="B2603" s="25" t="s">
        <v>7637</v>
      </c>
      <c r="C2603" s="8" t="s">
        <v>7638</v>
      </c>
      <c r="D2603" s="8" t="s">
        <v>3930</v>
      </c>
    </row>
    <row r="2604" spans="1:4" ht="36" customHeight="1">
      <c r="A2604" s="26">
        <v>2599</v>
      </c>
      <c r="B2604" s="25" t="s">
        <v>7639</v>
      </c>
      <c r="C2604" s="8" t="s">
        <v>7640</v>
      </c>
      <c r="D2604" s="8" t="s">
        <v>3930</v>
      </c>
    </row>
    <row r="2605" spans="1:4" ht="36" customHeight="1">
      <c r="A2605" s="26">
        <v>2600</v>
      </c>
      <c r="B2605" s="25" t="s">
        <v>7641</v>
      </c>
      <c r="C2605" s="8" t="s">
        <v>7642</v>
      </c>
      <c r="D2605" s="8" t="s">
        <v>3930</v>
      </c>
    </row>
    <row r="2606" spans="1:4" ht="36" customHeight="1">
      <c r="A2606" s="26">
        <v>2601</v>
      </c>
      <c r="B2606" s="25" t="s">
        <v>7643</v>
      </c>
      <c r="C2606" s="8" t="s">
        <v>7644</v>
      </c>
      <c r="D2606" s="8" t="s">
        <v>3930</v>
      </c>
    </row>
    <row r="2607" spans="1:4" ht="36" customHeight="1">
      <c r="A2607" s="26">
        <v>2602</v>
      </c>
      <c r="B2607" s="25" t="s">
        <v>7645</v>
      </c>
      <c r="C2607" s="8" t="s">
        <v>7646</v>
      </c>
      <c r="D2607" s="8" t="s">
        <v>3930</v>
      </c>
    </row>
    <row r="2608" spans="1:4" ht="36" customHeight="1">
      <c r="A2608" s="26">
        <v>2603</v>
      </c>
      <c r="B2608" s="25" t="s">
        <v>7647</v>
      </c>
      <c r="C2608" s="8" t="s">
        <v>7648</v>
      </c>
      <c r="D2608" s="8" t="s">
        <v>3930</v>
      </c>
    </row>
    <row r="2609" spans="1:4" ht="36" customHeight="1">
      <c r="A2609" s="26">
        <v>2604</v>
      </c>
      <c r="B2609" s="25" t="s">
        <v>7649</v>
      </c>
      <c r="C2609" s="8" t="s">
        <v>7650</v>
      </c>
      <c r="D2609" s="8" t="s">
        <v>3930</v>
      </c>
    </row>
    <row r="2610" spans="1:4" ht="36" customHeight="1">
      <c r="A2610" s="26">
        <v>2605</v>
      </c>
      <c r="B2610" s="25" t="s">
        <v>7651</v>
      </c>
      <c r="C2610" s="8" t="s">
        <v>7652</v>
      </c>
      <c r="D2610" s="8" t="s">
        <v>3930</v>
      </c>
    </row>
    <row r="2611" spans="1:4" ht="36" customHeight="1">
      <c r="A2611" s="26">
        <v>2606</v>
      </c>
      <c r="B2611" s="25" t="s">
        <v>7653</v>
      </c>
      <c r="C2611" s="8" t="s">
        <v>7654</v>
      </c>
      <c r="D2611" s="8" t="s">
        <v>3930</v>
      </c>
    </row>
    <row r="2612" spans="1:4" ht="36" customHeight="1">
      <c r="A2612" s="26">
        <v>2607</v>
      </c>
      <c r="B2612" s="25" t="s">
        <v>7655</v>
      </c>
      <c r="C2612" s="8" t="s">
        <v>7656</v>
      </c>
      <c r="D2612" s="8" t="s">
        <v>3930</v>
      </c>
    </row>
    <row r="2613" spans="1:4" ht="36" customHeight="1">
      <c r="A2613" s="26">
        <v>2608</v>
      </c>
      <c r="B2613" s="25" t="s">
        <v>7657</v>
      </c>
      <c r="C2613" s="8" t="s">
        <v>7658</v>
      </c>
      <c r="D2613" s="8" t="s">
        <v>3930</v>
      </c>
    </row>
    <row r="2614" spans="1:4" ht="36" customHeight="1">
      <c r="A2614" s="26">
        <v>2609</v>
      </c>
      <c r="B2614" s="25" t="s">
        <v>7659</v>
      </c>
      <c r="C2614" s="8" t="s">
        <v>7660</v>
      </c>
      <c r="D2614" s="8" t="s">
        <v>3930</v>
      </c>
    </row>
    <row r="2615" spans="1:4" ht="36" customHeight="1">
      <c r="A2615" s="26">
        <v>2610</v>
      </c>
      <c r="B2615" s="25" t="s">
        <v>7661</v>
      </c>
      <c r="C2615" s="8" t="s">
        <v>7662</v>
      </c>
      <c r="D2615" s="8" t="s">
        <v>3930</v>
      </c>
    </row>
    <row r="2616" spans="1:4" ht="36" customHeight="1">
      <c r="A2616" s="26">
        <v>2611</v>
      </c>
      <c r="B2616" s="25" t="s">
        <v>7663</v>
      </c>
      <c r="C2616" s="8" t="s">
        <v>7662</v>
      </c>
      <c r="D2616" s="8" t="s">
        <v>3930</v>
      </c>
    </row>
    <row r="2617" spans="1:4" ht="36" customHeight="1">
      <c r="A2617" s="26">
        <v>2612</v>
      </c>
      <c r="B2617" s="25" t="s">
        <v>7664</v>
      </c>
      <c r="C2617" s="8" t="s">
        <v>7665</v>
      </c>
      <c r="D2617" s="8" t="s">
        <v>3930</v>
      </c>
    </row>
    <row r="2618" spans="1:4" ht="36" customHeight="1">
      <c r="A2618" s="26">
        <v>2613</v>
      </c>
      <c r="B2618" s="25" t="s">
        <v>7666</v>
      </c>
      <c r="C2618" s="8" t="s">
        <v>7667</v>
      </c>
      <c r="D2618" s="8" t="s">
        <v>3930</v>
      </c>
    </row>
    <row r="2619" spans="1:4" ht="36" customHeight="1">
      <c r="A2619" s="26">
        <v>2614</v>
      </c>
      <c r="B2619" s="25" t="s">
        <v>7668</v>
      </c>
      <c r="C2619" s="8" t="s">
        <v>7669</v>
      </c>
      <c r="D2619" s="8" t="s">
        <v>3930</v>
      </c>
    </row>
    <row r="2620" spans="1:4" ht="36" customHeight="1">
      <c r="A2620" s="26">
        <v>2615</v>
      </c>
      <c r="B2620" s="25" t="s">
        <v>7670</v>
      </c>
      <c r="C2620" s="8" t="s">
        <v>7671</v>
      </c>
      <c r="D2620" s="8" t="s">
        <v>3930</v>
      </c>
    </row>
    <row r="2621" spans="1:4" ht="36" customHeight="1">
      <c r="A2621" s="26">
        <v>2616</v>
      </c>
      <c r="B2621" s="25" t="s">
        <v>7672</v>
      </c>
      <c r="C2621" s="8" t="s">
        <v>7673</v>
      </c>
      <c r="D2621" s="8" t="s">
        <v>3930</v>
      </c>
    </row>
    <row r="2622" spans="1:4" ht="36" customHeight="1">
      <c r="A2622" s="26">
        <v>2617</v>
      </c>
      <c r="B2622" s="25" t="s">
        <v>7674</v>
      </c>
      <c r="C2622" s="8" t="s">
        <v>7675</v>
      </c>
      <c r="D2622" s="8" t="s">
        <v>3930</v>
      </c>
    </row>
    <row r="2623" spans="1:4" ht="36" customHeight="1">
      <c r="A2623" s="26">
        <v>2618</v>
      </c>
      <c r="B2623" s="25" t="s">
        <v>7676</v>
      </c>
      <c r="C2623" s="8" t="s">
        <v>7677</v>
      </c>
      <c r="D2623" s="8" t="s">
        <v>3930</v>
      </c>
    </row>
    <row r="2624" spans="1:4" ht="36" customHeight="1">
      <c r="A2624" s="26">
        <v>2619</v>
      </c>
      <c r="B2624" s="25" t="s">
        <v>7678</v>
      </c>
      <c r="C2624" s="8" t="s">
        <v>7679</v>
      </c>
      <c r="D2624" s="8" t="s">
        <v>3930</v>
      </c>
    </row>
    <row r="2625" spans="1:4" ht="36" customHeight="1">
      <c r="A2625" s="26">
        <v>2620</v>
      </c>
      <c r="B2625" s="25" t="s">
        <v>7680</v>
      </c>
      <c r="C2625" s="8" t="s">
        <v>7681</v>
      </c>
      <c r="D2625" s="8" t="s">
        <v>3930</v>
      </c>
    </row>
    <row r="2626" spans="1:4" ht="36" customHeight="1">
      <c r="A2626" s="26">
        <v>2621</v>
      </c>
      <c r="B2626" s="25" t="s">
        <v>7682</v>
      </c>
      <c r="C2626" s="8" t="s">
        <v>7683</v>
      </c>
      <c r="D2626" s="8" t="s">
        <v>3930</v>
      </c>
    </row>
    <row r="2627" spans="1:4" ht="36" customHeight="1">
      <c r="A2627" s="26">
        <v>2622</v>
      </c>
      <c r="B2627" s="25" t="s">
        <v>7684</v>
      </c>
      <c r="C2627" s="8" t="s">
        <v>7685</v>
      </c>
      <c r="D2627" s="8" t="s">
        <v>3930</v>
      </c>
    </row>
    <row r="2628" spans="1:4" ht="36" customHeight="1">
      <c r="A2628" s="26">
        <v>2623</v>
      </c>
      <c r="B2628" s="25" t="s">
        <v>7686</v>
      </c>
      <c r="C2628" s="8" t="s">
        <v>7687</v>
      </c>
      <c r="D2628" s="8" t="s">
        <v>3930</v>
      </c>
    </row>
    <row r="2629" spans="1:4" ht="36" customHeight="1">
      <c r="A2629" s="26">
        <v>2624</v>
      </c>
      <c r="B2629" s="25" t="s">
        <v>7688</v>
      </c>
      <c r="C2629" s="8" t="s">
        <v>7689</v>
      </c>
      <c r="D2629" s="8" t="s">
        <v>3930</v>
      </c>
    </row>
    <row r="2630" spans="1:4" ht="36" customHeight="1">
      <c r="A2630" s="26">
        <v>2625</v>
      </c>
      <c r="B2630" s="25" t="s">
        <v>7690</v>
      </c>
      <c r="C2630" s="8" t="s">
        <v>7691</v>
      </c>
      <c r="D2630" s="8" t="s">
        <v>3930</v>
      </c>
    </row>
    <row r="2631" spans="1:4" ht="36" customHeight="1">
      <c r="A2631" s="26">
        <v>2626</v>
      </c>
      <c r="B2631" s="25" t="s">
        <v>7692</v>
      </c>
      <c r="C2631" s="8" t="s">
        <v>7693</v>
      </c>
      <c r="D2631" s="8" t="s">
        <v>3930</v>
      </c>
    </row>
    <row r="2632" spans="1:4" ht="36" customHeight="1">
      <c r="A2632" s="26">
        <v>2627</v>
      </c>
      <c r="B2632" s="25" t="s">
        <v>7694</v>
      </c>
      <c r="C2632" s="8" t="s">
        <v>7695</v>
      </c>
      <c r="D2632" s="8" t="s">
        <v>3930</v>
      </c>
    </row>
    <row r="2633" spans="1:4" ht="36" customHeight="1">
      <c r="A2633" s="26">
        <v>2628</v>
      </c>
      <c r="B2633" s="25" t="s">
        <v>7696</v>
      </c>
      <c r="C2633" s="8" t="s">
        <v>7697</v>
      </c>
      <c r="D2633" s="8" t="s">
        <v>3930</v>
      </c>
    </row>
    <row r="2634" spans="1:4" ht="36" customHeight="1">
      <c r="A2634" s="26">
        <v>2629</v>
      </c>
      <c r="B2634" s="25" t="s">
        <v>7698</v>
      </c>
      <c r="C2634" s="8" t="s">
        <v>7699</v>
      </c>
      <c r="D2634" s="8" t="s">
        <v>3930</v>
      </c>
    </row>
    <row r="2635" spans="1:4" ht="36" customHeight="1">
      <c r="A2635" s="26">
        <v>2630</v>
      </c>
      <c r="B2635" s="25" t="s">
        <v>7700</v>
      </c>
      <c r="C2635" s="8" t="s">
        <v>7701</v>
      </c>
      <c r="D2635" s="8" t="s">
        <v>3930</v>
      </c>
    </row>
    <row r="2636" spans="1:4" ht="36" customHeight="1">
      <c r="A2636" s="26">
        <v>2631</v>
      </c>
      <c r="B2636" s="25" t="s">
        <v>7702</v>
      </c>
      <c r="C2636" s="8" t="s">
        <v>7703</v>
      </c>
      <c r="D2636" s="8" t="s">
        <v>3930</v>
      </c>
    </row>
    <row r="2637" spans="1:4" ht="36" customHeight="1">
      <c r="A2637" s="26">
        <v>2632</v>
      </c>
      <c r="B2637" s="25" t="s">
        <v>7704</v>
      </c>
      <c r="C2637" s="8" t="s">
        <v>7705</v>
      </c>
      <c r="D2637" s="8" t="s">
        <v>3930</v>
      </c>
    </row>
    <row r="2638" spans="1:4" ht="36" customHeight="1">
      <c r="A2638" s="26">
        <v>2633</v>
      </c>
      <c r="B2638" s="25" t="s">
        <v>7706</v>
      </c>
      <c r="C2638" s="8" t="s">
        <v>7707</v>
      </c>
      <c r="D2638" s="8" t="s">
        <v>3930</v>
      </c>
    </row>
    <row r="2639" spans="1:4" ht="36" customHeight="1">
      <c r="A2639" s="26">
        <v>2634</v>
      </c>
      <c r="B2639" s="25" t="s">
        <v>7708</v>
      </c>
      <c r="C2639" s="8" t="s">
        <v>5668</v>
      </c>
      <c r="D2639" s="8" t="s">
        <v>3930</v>
      </c>
    </row>
    <row r="2640" spans="1:4" ht="36" customHeight="1">
      <c r="A2640" s="26">
        <v>2635</v>
      </c>
      <c r="B2640" s="25" t="s">
        <v>7709</v>
      </c>
      <c r="C2640" s="8" t="s">
        <v>7710</v>
      </c>
      <c r="D2640" s="8" t="s">
        <v>3930</v>
      </c>
    </row>
    <row r="2641" spans="1:4" ht="36" customHeight="1">
      <c r="A2641" s="26">
        <v>2636</v>
      </c>
      <c r="B2641" s="25" t="s">
        <v>7711</v>
      </c>
      <c r="C2641" s="8" t="s">
        <v>7712</v>
      </c>
      <c r="D2641" s="8" t="s">
        <v>3930</v>
      </c>
    </row>
    <row r="2642" spans="1:4" ht="36" customHeight="1">
      <c r="A2642" s="26">
        <v>2637</v>
      </c>
      <c r="B2642" s="25" t="s">
        <v>7713</v>
      </c>
      <c r="C2642" s="8" t="s">
        <v>7714</v>
      </c>
      <c r="D2642" s="8" t="s">
        <v>3930</v>
      </c>
    </row>
    <row r="2643" spans="1:4" ht="36" customHeight="1">
      <c r="A2643" s="26">
        <v>2638</v>
      </c>
      <c r="B2643" s="25" t="s">
        <v>7715</v>
      </c>
      <c r="C2643" s="8" t="s">
        <v>7716</v>
      </c>
      <c r="D2643" s="8" t="s">
        <v>3930</v>
      </c>
    </row>
    <row r="2644" spans="1:4" ht="36" customHeight="1">
      <c r="A2644" s="26">
        <v>2639</v>
      </c>
      <c r="B2644" s="25" t="s">
        <v>7717</v>
      </c>
      <c r="C2644" s="8" t="s">
        <v>7718</v>
      </c>
      <c r="D2644" s="8" t="s">
        <v>3930</v>
      </c>
    </row>
    <row r="2645" spans="1:4" ht="36" customHeight="1">
      <c r="A2645" s="26">
        <v>2640</v>
      </c>
      <c r="B2645" s="25" t="s">
        <v>7719</v>
      </c>
      <c r="C2645" s="8" t="s">
        <v>7720</v>
      </c>
      <c r="D2645" s="8" t="s">
        <v>3930</v>
      </c>
    </row>
    <row r="2646" spans="1:4" ht="36" customHeight="1">
      <c r="A2646" s="26">
        <v>2641</v>
      </c>
      <c r="B2646" s="25" t="s">
        <v>7721</v>
      </c>
      <c r="C2646" s="8" t="s">
        <v>7722</v>
      </c>
      <c r="D2646" s="8" t="s">
        <v>3930</v>
      </c>
    </row>
    <row r="2647" spans="1:4" ht="36" customHeight="1">
      <c r="A2647" s="26">
        <v>2642</v>
      </c>
      <c r="B2647" s="25" t="s">
        <v>7723</v>
      </c>
      <c r="C2647" s="8" t="s">
        <v>7724</v>
      </c>
      <c r="D2647" s="8" t="s">
        <v>3930</v>
      </c>
    </row>
    <row r="2648" spans="1:4" ht="36" customHeight="1">
      <c r="A2648" s="26">
        <v>2643</v>
      </c>
      <c r="B2648" s="25" t="s">
        <v>7725</v>
      </c>
      <c r="C2648" s="8" t="s">
        <v>7726</v>
      </c>
      <c r="D2648" s="8" t="s">
        <v>3930</v>
      </c>
    </row>
    <row r="2649" spans="1:4" ht="36" customHeight="1">
      <c r="A2649" s="26">
        <v>2644</v>
      </c>
      <c r="B2649" s="25" t="s">
        <v>7727</v>
      </c>
      <c r="C2649" s="8" t="s">
        <v>7728</v>
      </c>
      <c r="D2649" s="8" t="s">
        <v>3930</v>
      </c>
    </row>
    <row r="2650" spans="1:4" ht="36" customHeight="1">
      <c r="A2650" s="26">
        <v>2645</v>
      </c>
      <c r="B2650" s="25" t="s">
        <v>7729</v>
      </c>
      <c r="C2650" s="8" t="s">
        <v>7730</v>
      </c>
      <c r="D2650" s="8" t="s">
        <v>3930</v>
      </c>
    </row>
    <row r="2651" spans="1:4" ht="36" customHeight="1">
      <c r="A2651" s="26">
        <v>2646</v>
      </c>
      <c r="B2651" s="25" t="s">
        <v>7731</v>
      </c>
      <c r="C2651" s="8" t="s">
        <v>7732</v>
      </c>
      <c r="D2651" s="8" t="s">
        <v>3930</v>
      </c>
    </row>
    <row r="2652" spans="1:4" ht="36" customHeight="1">
      <c r="A2652" s="26">
        <v>2647</v>
      </c>
      <c r="B2652" s="25" t="s">
        <v>7733</v>
      </c>
      <c r="C2652" s="8" t="s">
        <v>7734</v>
      </c>
      <c r="D2652" s="8" t="s">
        <v>3930</v>
      </c>
    </row>
    <row r="2653" spans="1:4" ht="36" customHeight="1">
      <c r="A2653" s="26">
        <v>2648</v>
      </c>
      <c r="B2653" s="25" t="s">
        <v>7735</v>
      </c>
      <c r="C2653" s="8" t="s">
        <v>7736</v>
      </c>
      <c r="D2653" s="8" t="s">
        <v>3930</v>
      </c>
    </row>
    <row r="2654" spans="1:4" ht="36" customHeight="1">
      <c r="A2654" s="26">
        <v>2649</v>
      </c>
      <c r="B2654" s="25" t="s">
        <v>7737</v>
      </c>
      <c r="C2654" s="8" t="s">
        <v>7738</v>
      </c>
      <c r="D2654" s="8" t="s">
        <v>3930</v>
      </c>
    </row>
    <row r="2655" spans="1:4" ht="36" customHeight="1">
      <c r="A2655" s="26">
        <v>2650</v>
      </c>
      <c r="B2655" s="25" t="s">
        <v>7739</v>
      </c>
      <c r="C2655" s="8" t="s">
        <v>7740</v>
      </c>
      <c r="D2655" s="8" t="s">
        <v>3930</v>
      </c>
    </row>
    <row r="2656" spans="1:4" ht="36" customHeight="1">
      <c r="A2656" s="26">
        <v>2651</v>
      </c>
      <c r="B2656" s="25" t="s">
        <v>7741</v>
      </c>
      <c r="C2656" s="8" t="s">
        <v>7742</v>
      </c>
      <c r="D2656" s="8" t="s">
        <v>3930</v>
      </c>
    </row>
    <row r="2657" spans="1:4" ht="36" customHeight="1">
      <c r="A2657" s="26">
        <v>2652</v>
      </c>
      <c r="B2657" s="25" t="s">
        <v>7743</v>
      </c>
      <c r="C2657" s="8" t="s">
        <v>7744</v>
      </c>
      <c r="D2657" s="8" t="s">
        <v>3930</v>
      </c>
    </row>
    <row r="2658" spans="1:4" ht="36" customHeight="1">
      <c r="A2658" s="26">
        <v>2653</v>
      </c>
      <c r="B2658" s="25" t="s">
        <v>7745</v>
      </c>
      <c r="C2658" s="8" t="s">
        <v>7746</v>
      </c>
      <c r="D2658" s="8" t="s">
        <v>3930</v>
      </c>
    </row>
    <row r="2659" spans="1:4" ht="36" customHeight="1">
      <c r="A2659" s="26">
        <v>2654</v>
      </c>
      <c r="B2659" s="25" t="s">
        <v>7747</v>
      </c>
      <c r="C2659" s="8" t="s">
        <v>4558</v>
      </c>
      <c r="D2659" s="8" t="s">
        <v>3930</v>
      </c>
    </row>
    <row r="2660" spans="1:4" ht="36" customHeight="1">
      <c r="A2660" s="26">
        <v>2655</v>
      </c>
      <c r="B2660" s="25" t="s">
        <v>7748</v>
      </c>
      <c r="C2660" s="8" t="s">
        <v>7749</v>
      </c>
      <c r="D2660" s="8" t="s">
        <v>3930</v>
      </c>
    </row>
    <row r="2661" spans="1:4" ht="36" customHeight="1">
      <c r="A2661" s="26">
        <v>2656</v>
      </c>
      <c r="B2661" s="25" t="s">
        <v>7750</v>
      </c>
      <c r="C2661" s="8" t="s">
        <v>7751</v>
      </c>
      <c r="D2661" s="8" t="s">
        <v>3930</v>
      </c>
    </row>
    <row r="2662" spans="1:4" ht="36" customHeight="1">
      <c r="A2662" s="26">
        <v>2657</v>
      </c>
      <c r="B2662" s="25" t="s">
        <v>7752</v>
      </c>
      <c r="C2662" s="8" t="s">
        <v>7753</v>
      </c>
      <c r="D2662" s="8" t="s">
        <v>3930</v>
      </c>
    </row>
    <row r="2663" spans="1:4" ht="36" customHeight="1">
      <c r="A2663" s="26">
        <v>2658</v>
      </c>
      <c r="B2663" s="25" t="s">
        <v>7754</v>
      </c>
      <c r="C2663" s="8" t="s">
        <v>7755</v>
      </c>
      <c r="D2663" s="8" t="s">
        <v>3930</v>
      </c>
    </row>
    <row r="2664" spans="1:4" ht="36" customHeight="1">
      <c r="A2664" s="26">
        <v>2659</v>
      </c>
      <c r="B2664" s="25" t="s">
        <v>7756</v>
      </c>
      <c r="C2664" s="8" t="s">
        <v>7757</v>
      </c>
      <c r="D2664" s="8" t="s">
        <v>3930</v>
      </c>
    </row>
    <row r="2665" spans="1:4" ht="36" customHeight="1">
      <c r="A2665" s="26">
        <v>2660</v>
      </c>
      <c r="B2665" s="25" t="s">
        <v>7758</v>
      </c>
      <c r="C2665" s="8" t="s">
        <v>7759</v>
      </c>
      <c r="D2665" s="8" t="s">
        <v>3930</v>
      </c>
    </row>
    <row r="2666" spans="1:4" ht="36" customHeight="1">
      <c r="A2666" s="26">
        <v>2661</v>
      </c>
      <c r="B2666" s="25" t="s">
        <v>7760</v>
      </c>
      <c r="C2666" s="8" t="s">
        <v>7761</v>
      </c>
      <c r="D2666" s="8" t="s">
        <v>3930</v>
      </c>
    </row>
    <row r="2667" spans="1:4" ht="36" customHeight="1">
      <c r="A2667" s="26">
        <v>2662</v>
      </c>
      <c r="B2667" s="25" t="s">
        <v>7762</v>
      </c>
      <c r="C2667" s="8" t="s">
        <v>7763</v>
      </c>
      <c r="D2667" s="8" t="s">
        <v>3930</v>
      </c>
    </row>
    <row r="2668" spans="1:4" ht="36" customHeight="1">
      <c r="A2668" s="26">
        <v>2663</v>
      </c>
      <c r="B2668" s="25" t="s">
        <v>7764</v>
      </c>
      <c r="C2668" s="8" t="s">
        <v>7765</v>
      </c>
      <c r="D2668" s="8" t="s">
        <v>3930</v>
      </c>
    </row>
    <row r="2669" spans="1:4" ht="36" customHeight="1">
      <c r="A2669" s="26">
        <v>2664</v>
      </c>
      <c r="B2669" s="25" t="s">
        <v>7766</v>
      </c>
      <c r="C2669" s="8" t="s">
        <v>7767</v>
      </c>
      <c r="D2669" s="8" t="s">
        <v>3930</v>
      </c>
    </row>
    <row r="2670" spans="1:4" ht="36" customHeight="1">
      <c r="A2670" s="26">
        <v>2665</v>
      </c>
      <c r="B2670" s="25" t="s">
        <v>7768</v>
      </c>
      <c r="C2670" s="8" t="s">
        <v>7769</v>
      </c>
      <c r="D2670" s="8" t="s">
        <v>3930</v>
      </c>
    </row>
    <row r="2671" spans="1:4" ht="36" customHeight="1">
      <c r="A2671" s="26">
        <v>2666</v>
      </c>
      <c r="B2671" s="25" t="s">
        <v>7770</v>
      </c>
      <c r="C2671" s="8" t="s">
        <v>7771</v>
      </c>
      <c r="D2671" s="8" t="s">
        <v>3930</v>
      </c>
    </row>
    <row r="2672" spans="1:4" ht="36" customHeight="1">
      <c r="A2672" s="26">
        <v>2667</v>
      </c>
      <c r="B2672" s="25" t="s">
        <v>7772</v>
      </c>
      <c r="C2672" s="8" t="s">
        <v>7773</v>
      </c>
      <c r="D2672" s="8" t="s">
        <v>3930</v>
      </c>
    </row>
    <row r="2673" spans="1:4" ht="36" customHeight="1">
      <c r="A2673" s="26">
        <v>2668</v>
      </c>
      <c r="B2673" s="25" t="s">
        <v>7774</v>
      </c>
      <c r="C2673" s="8" t="s">
        <v>7775</v>
      </c>
      <c r="D2673" s="8" t="s">
        <v>3930</v>
      </c>
    </row>
    <row r="2674" spans="1:4" ht="36" customHeight="1">
      <c r="A2674" s="26">
        <v>2669</v>
      </c>
      <c r="B2674" s="25" t="s">
        <v>7776</v>
      </c>
      <c r="C2674" s="8" t="s">
        <v>7777</v>
      </c>
      <c r="D2674" s="8" t="s">
        <v>3930</v>
      </c>
    </row>
    <row r="2675" spans="1:4" ht="36" customHeight="1">
      <c r="A2675" s="26">
        <v>2670</v>
      </c>
      <c r="B2675" s="25" t="s">
        <v>7778</v>
      </c>
      <c r="C2675" s="8" t="s">
        <v>5347</v>
      </c>
      <c r="D2675" s="8" t="s">
        <v>3930</v>
      </c>
    </row>
    <row r="2676" spans="1:4" ht="36" customHeight="1">
      <c r="A2676" s="26">
        <v>2671</v>
      </c>
      <c r="B2676" s="25" t="s">
        <v>7779</v>
      </c>
      <c r="C2676" s="8" t="s">
        <v>7780</v>
      </c>
      <c r="D2676" s="8" t="s">
        <v>3930</v>
      </c>
    </row>
    <row r="2677" spans="1:4" ht="36" customHeight="1">
      <c r="A2677" s="26">
        <v>2672</v>
      </c>
      <c r="B2677" s="25" t="s">
        <v>7781</v>
      </c>
      <c r="C2677" s="8" t="s">
        <v>7782</v>
      </c>
      <c r="D2677" s="8" t="s">
        <v>3930</v>
      </c>
    </row>
    <row r="2678" spans="1:4" ht="36" customHeight="1">
      <c r="A2678" s="26">
        <v>2673</v>
      </c>
      <c r="B2678" s="25" t="s">
        <v>7783</v>
      </c>
      <c r="C2678" s="8" t="s">
        <v>7784</v>
      </c>
      <c r="D2678" s="8" t="s">
        <v>3930</v>
      </c>
    </row>
    <row r="2679" spans="1:4" ht="36" customHeight="1">
      <c r="A2679" s="26">
        <v>2674</v>
      </c>
      <c r="B2679" s="25" t="s">
        <v>7785</v>
      </c>
      <c r="C2679" s="8" t="s">
        <v>7786</v>
      </c>
      <c r="D2679" s="8" t="s">
        <v>3930</v>
      </c>
    </row>
    <row r="2680" spans="1:4" ht="36" customHeight="1">
      <c r="A2680" s="26">
        <v>2675</v>
      </c>
      <c r="B2680" s="25" t="s">
        <v>7787</v>
      </c>
      <c r="C2680" s="8" t="s">
        <v>7788</v>
      </c>
      <c r="D2680" s="8" t="s">
        <v>3930</v>
      </c>
    </row>
    <row r="2681" spans="1:4" ht="36" customHeight="1">
      <c r="A2681" s="26">
        <v>2676</v>
      </c>
      <c r="B2681" s="25" t="s">
        <v>7789</v>
      </c>
      <c r="C2681" s="8" t="s">
        <v>7790</v>
      </c>
      <c r="D2681" s="8" t="s">
        <v>3930</v>
      </c>
    </row>
    <row r="2682" spans="1:4" ht="36" customHeight="1">
      <c r="A2682" s="26">
        <v>2677</v>
      </c>
      <c r="B2682" s="25" t="s">
        <v>7791</v>
      </c>
      <c r="C2682" s="8" t="s">
        <v>7792</v>
      </c>
      <c r="D2682" s="8" t="s">
        <v>3930</v>
      </c>
    </row>
    <row r="2683" spans="1:4" ht="36" customHeight="1">
      <c r="A2683" s="26">
        <v>2678</v>
      </c>
      <c r="B2683" s="25" t="s">
        <v>7793</v>
      </c>
      <c r="C2683" s="8" t="s">
        <v>7794</v>
      </c>
      <c r="D2683" s="8" t="s">
        <v>3930</v>
      </c>
    </row>
    <row r="2684" spans="1:4" ht="36" customHeight="1">
      <c r="A2684" s="26">
        <v>2679</v>
      </c>
      <c r="B2684" s="25" t="s">
        <v>7795</v>
      </c>
      <c r="C2684" s="8" t="s">
        <v>7796</v>
      </c>
      <c r="D2684" s="8" t="s">
        <v>3930</v>
      </c>
    </row>
    <row r="2685" spans="1:4" ht="36" customHeight="1">
      <c r="A2685" s="26">
        <v>2680</v>
      </c>
      <c r="B2685" s="25" t="s">
        <v>7797</v>
      </c>
      <c r="C2685" s="8" t="s">
        <v>7798</v>
      </c>
      <c r="D2685" s="8" t="s">
        <v>3930</v>
      </c>
    </row>
    <row r="2686" spans="1:4" ht="36" customHeight="1">
      <c r="A2686" s="26">
        <v>2681</v>
      </c>
      <c r="B2686" s="25" t="s">
        <v>7799</v>
      </c>
      <c r="C2686" s="8" t="s">
        <v>7800</v>
      </c>
      <c r="D2686" s="8" t="s">
        <v>3930</v>
      </c>
    </row>
    <row r="2687" spans="1:4" ht="36" customHeight="1">
      <c r="A2687" s="26">
        <v>2682</v>
      </c>
      <c r="B2687" s="25" t="s">
        <v>7801</v>
      </c>
      <c r="C2687" s="8" t="s">
        <v>7802</v>
      </c>
      <c r="D2687" s="8" t="s">
        <v>3930</v>
      </c>
    </row>
    <row r="2688" spans="1:4" ht="36" customHeight="1">
      <c r="A2688" s="26">
        <v>2683</v>
      </c>
      <c r="B2688" s="25" t="s">
        <v>7803</v>
      </c>
      <c r="C2688" s="8" t="s">
        <v>7804</v>
      </c>
      <c r="D2688" s="8" t="s">
        <v>3930</v>
      </c>
    </row>
    <row r="2689" spans="1:4" ht="36" customHeight="1">
      <c r="A2689" s="26">
        <v>2684</v>
      </c>
      <c r="B2689" s="25" t="s">
        <v>7805</v>
      </c>
      <c r="C2689" s="8" t="s">
        <v>7806</v>
      </c>
      <c r="D2689" s="8" t="s">
        <v>3930</v>
      </c>
    </row>
    <row r="2690" spans="1:4" ht="36" customHeight="1">
      <c r="A2690" s="26">
        <v>2685</v>
      </c>
      <c r="B2690" s="25" t="s">
        <v>7807</v>
      </c>
      <c r="C2690" s="8" t="s">
        <v>7808</v>
      </c>
      <c r="D2690" s="8" t="s">
        <v>3930</v>
      </c>
    </row>
    <row r="2691" spans="1:4" ht="36" customHeight="1">
      <c r="A2691" s="26">
        <v>2686</v>
      </c>
      <c r="B2691" s="25" t="s">
        <v>7809</v>
      </c>
      <c r="C2691" s="8" t="s">
        <v>7810</v>
      </c>
      <c r="D2691" s="8" t="s">
        <v>3930</v>
      </c>
    </row>
    <row r="2692" spans="1:4" ht="36" customHeight="1">
      <c r="A2692" s="26">
        <v>2687</v>
      </c>
      <c r="B2692" s="25" t="s">
        <v>7811</v>
      </c>
      <c r="C2692" s="8" t="s">
        <v>7812</v>
      </c>
      <c r="D2692" s="8" t="s">
        <v>3930</v>
      </c>
    </row>
    <row r="2693" spans="1:4" ht="36" customHeight="1">
      <c r="A2693" s="26">
        <v>2688</v>
      </c>
      <c r="B2693" s="25" t="s">
        <v>7813</v>
      </c>
      <c r="C2693" s="8" t="s">
        <v>7814</v>
      </c>
      <c r="D2693" s="8" t="s">
        <v>3930</v>
      </c>
    </row>
    <row r="2694" spans="1:4" ht="36" customHeight="1">
      <c r="A2694" s="26">
        <v>2689</v>
      </c>
      <c r="B2694" s="25" t="s">
        <v>7815</v>
      </c>
      <c r="C2694" s="8" t="s">
        <v>7816</v>
      </c>
      <c r="D2694" s="8" t="s">
        <v>3930</v>
      </c>
    </row>
    <row r="2695" spans="1:4" ht="36" customHeight="1">
      <c r="A2695" s="26">
        <v>2690</v>
      </c>
      <c r="B2695" s="25" t="s">
        <v>7817</v>
      </c>
      <c r="C2695" s="8" t="s">
        <v>7818</v>
      </c>
      <c r="D2695" s="8" t="s">
        <v>3930</v>
      </c>
    </row>
    <row r="2696" spans="1:4" ht="36" customHeight="1">
      <c r="A2696" s="26">
        <v>2691</v>
      </c>
      <c r="B2696" s="25" t="s">
        <v>7819</v>
      </c>
      <c r="C2696" s="8" t="s">
        <v>7820</v>
      </c>
      <c r="D2696" s="8" t="s">
        <v>3930</v>
      </c>
    </row>
    <row r="2697" spans="1:4" ht="36" customHeight="1">
      <c r="A2697" s="26">
        <v>2692</v>
      </c>
      <c r="B2697" s="25" t="s">
        <v>7821</v>
      </c>
      <c r="C2697" s="8" t="s">
        <v>7822</v>
      </c>
      <c r="D2697" s="8" t="s">
        <v>3930</v>
      </c>
    </row>
    <row r="2698" spans="1:4" ht="36" customHeight="1">
      <c r="A2698" s="26">
        <v>2693</v>
      </c>
      <c r="B2698" s="25" t="s">
        <v>7823</v>
      </c>
      <c r="C2698" s="8" t="s">
        <v>7824</v>
      </c>
      <c r="D2698" s="8" t="s">
        <v>3930</v>
      </c>
    </row>
    <row r="2699" spans="1:4" ht="36" customHeight="1">
      <c r="A2699" s="26">
        <v>2694</v>
      </c>
      <c r="B2699" s="25" t="s">
        <v>7825</v>
      </c>
      <c r="C2699" s="8" t="s">
        <v>7826</v>
      </c>
      <c r="D2699" s="8" t="s">
        <v>3930</v>
      </c>
    </row>
    <row r="2700" spans="1:4" ht="36" customHeight="1">
      <c r="A2700" s="26">
        <v>2695</v>
      </c>
      <c r="B2700" s="25" t="s">
        <v>7827</v>
      </c>
      <c r="C2700" s="8" t="s">
        <v>7828</v>
      </c>
      <c r="D2700" s="8" t="s">
        <v>3930</v>
      </c>
    </row>
    <row r="2701" spans="1:4" ht="36" customHeight="1">
      <c r="A2701" s="26">
        <v>2696</v>
      </c>
      <c r="B2701" s="25" t="s">
        <v>7829</v>
      </c>
      <c r="C2701" s="8" t="s">
        <v>7830</v>
      </c>
      <c r="D2701" s="8" t="s">
        <v>3930</v>
      </c>
    </row>
    <row r="2702" spans="1:4" ht="36" customHeight="1">
      <c r="A2702" s="26">
        <v>2697</v>
      </c>
      <c r="B2702" s="25" t="s">
        <v>2965</v>
      </c>
      <c r="C2702" s="8" t="s">
        <v>2966</v>
      </c>
      <c r="D2702" s="8" t="s">
        <v>3930</v>
      </c>
    </row>
    <row r="2703" spans="1:4" ht="36" customHeight="1">
      <c r="A2703" s="26">
        <v>2698</v>
      </c>
      <c r="B2703" s="25" t="s">
        <v>7831</v>
      </c>
      <c r="C2703" s="8" t="s">
        <v>7832</v>
      </c>
      <c r="D2703" s="8" t="s">
        <v>3930</v>
      </c>
    </row>
    <row r="2704" spans="1:4" ht="36" customHeight="1">
      <c r="A2704" s="26">
        <v>2699</v>
      </c>
      <c r="B2704" s="25" t="s">
        <v>2978</v>
      </c>
      <c r="C2704" s="8" t="s">
        <v>2979</v>
      </c>
      <c r="D2704" s="8" t="s">
        <v>3930</v>
      </c>
    </row>
    <row r="2705" spans="1:4" ht="36" customHeight="1">
      <c r="A2705" s="26">
        <v>2700</v>
      </c>
      <c r="B2705" s="25" t="s">
        <v>7833</v>
      </c>
      <c r="C2705" s="8" t="s">
        <v>7834</v>
      </c>
      <c r="D2705" s="8" t="s">
        <v>3930</v>
      </c>
    </row>
    <row r="2706" spans="1:4" ht="36" customHeight="1">
      <c r="A2706" s="26">
        <v>2701</v>
      </c>
      <c r="B2706" s="25" t="s">
        <v>7835</v>
      </c>
      <c r="C2706" s="8" t="s">
        <v>7836</v>
      </c>
      <c r="D2706" s="8" t="s">
        <v>3930</v>
      </c>
    </row>
    <row r="2707" spans="1:4" ht="36" customHeight="1">
      <c r="A2707" s="26">
        <v>2702</v>
      </c>
      <c r="B2707" s="25" t="s">
        <v>7837</v>
      </c>
      <c r="C2707" s="8" t="s">
        <v>7838</v>
      </c>
      <c r="D2707" s="8" t="s">
        <v>3930</v>
      </c>
    </row>
    <row r="2708" spans="1:4" ht="36" customHeight="1">
      <c r="A2708" s="26">
        <v>2703</v>
      </c>
      <c r="B2708" s="25" t="s">
        <v>7839</v>
      </c>
      <c r="C2708" s="8" t="s">
        <v>7549</v>
      </c>
      <c r="D2708" s="8" t="s">
        <v>7840</v>
      </c>
    </row>
    <row r="2709" spans="1:4" ht="36" customHeight="1">
      <c r="A2709" s="26">
        <v>2704</v>
      </c>
      <c r="B2709" s="25" t="s">
        <v>7841</v>
      </c>
      <c r="C2709" s="8" t="s">
        <v>5408</v>
      </c>
      <c r="D2709" s="8" t="s">
        <v>7842</v>
      </c>
    </row>
    <row r="2710" spans="1:4" ht="36" customHeight="1">
      <c r="A2710" s="26">
        <v>2705</v>
      </c>
      <c r="B2710" s="25" t="s">
        <v>7843</v>
      </c>
      <c r="C2710" s="8" t="s">
        <v>7844</v>
      </c>
      <c r="D2710" s="8" t="s">
        <v>7842</v>
      </c>
    </row>
    <row r="2711" spans="1:4" ht="36" customHeight="1">
      <c r="A2711" s="26">
        <v>2706</v>
      </c>
      <c r="B2711" s="25" t="s">
        <v>7845</v>
      </c>
      <c r="C2711" s="8" t="s">
        <v>7846</v>
      </c>
      <c r="D2711" s="8" t="s">
        <v>7847</v>
      </c>
    </row>
    <row r="2712" spans="1:4" ht="36" customHeight="1">
      <c r="A2712" s="26">
        <v>2707</v>
      </c>
      <c r="B2712" s="25" t="s">
        <v>7848</v>
      </c>
      <c r="C2712" s="8" t="s">
        <v>7849</v>
      </c>
      <c r="D2712" s="8" t="s">
        <v>7842</v>
      </c>
    </row>
    <row r="2713" spans="1:4" ht="36" customHeight="1">
      <c r="A2713" s="26">
        <v>2708</v>
      </c>
      <c r="B2713" s="25" t="s">
        <v>7850</v>
      </c>
      <c r="C2713" s="8" t="s">
        <v>7851</v>
      </c>
      <c r="D2713" s="8" t="s">
        <v>7842</v>
      </c>
    </row>
    <row r="2714" spans="1:4" ht="36" customHeight="1">
      <c r="A2714" s="26">
        <v>2709</v>
      </c>
      <c r="B2714" s="25" t="s">
        <v>7852</v>
      </c>
      <c r="C2714" s="8" t="s">
        <v>7853</v>
      </c>
      <c r="D2714" s="8" t="s">
        <v>7840</v>
      </c>
    </row>
    <row r="2715" spans="1:4" ht="36" customHeight="1">
      <c r="A2715" s="26">
        <v>2710</v>
      </c>
      <c r="B2715" s="25" t="s">
        <v>7854</v>
      </c>
      <c r="C2715" s="8" t="s">
        <v>7855</v>
      </c>
      <c r="D2715" s="8" t="s">
        <v>7840</v>
      </c>
    </row>
    <row r="2716" spans="1:4" ht="36" customHeight="1">
      <c r="A2716" s="26">
        <v>2711</v>
      </c>
      <c r="B2716" s="25" t="s">
        <v>7856</v>
      </c>
      <c r="C2716" s="8" t="s">
        <v>7857</v>
      </c>
      <c r="D2716" s="8" t="s">
        <v>7840</v>
      </c>
    </row>
    <row r="2717" spans="1:4" ht="36" customHeight="1">
      <c r="A2717" s="26">
        <v>2712</v>
      </c>
      <c r="B2717" s="25" t="s">
        <v>7858</v>
      </c>
      <c r="C2717" s="8" t="s">
        <v>7859</v>
      </c>
      <c r="D2717" s="8" t="s">
        <v>7840</v>
      </c>
    </row>
    <row r="2718" spans="1:4" ht="36" customHeight="1">
      <c r="A2718" s="26">
        <v>2713</v>
      </c>
      <c r="B2718" s="25" t="s">
        <v>7860</v>
      </c>
      <c r="C2718" s="8" t="s">
        <v>7861</v>
      </c>
      <c r="D2718" s="8" t="s">
        <v>7840</v>
      </c>
    </row>
    <row r="2719" spans="1:4" ht="36" customHeight="1">
      <c r="A2719" s="26">
        <v>2714</v>
      </c>
      <c r="B2719" s="25" t="s">
        <v>7862</v>
      </c>
      <c r="C2719" s="8" t="s">
        <v>7863</v>
      </c>
      <c r="D2719" s="8" t="s">
        <v>7840</v>
      </c>
    </row>
    <row r="2720" spans="1:4" ht="36" customHeight="1">
      <c r="A2720" s="26">
        <v>2715</v>
      </c>
      <c r="B2720" s="25" t="s">
        <v>7864</v>
      </c>
      <c r="C2720" s="8" t="s">
        <v>7865</v>
      </c>
      <c r="D2720" s="8" t="s">
        <v>7840</v>
      </c>
    </row>
    <row r="2721" spans="1:4" ht="36" customHeight="1">
      <c r="A2721" s="26">
        <v>2716</v>
      </c>
      <c r="B2721" s="25" t="s">
        <v>7866</v>
      </c>
      <c r="C2721" s="8" t="s">
        <v>7867</v>
      </c>
      <c r="D2721" s="8" t="s">
        <v>7840</v>
      </c>
    </row>
    <row r="2722" spans="1:4" ht="36" customHeight="1">
      <c r="A2722" s="26">
        <v>2717</v>
      </c>
      <c r="B2722" s="25" t="s">
        <v>7868</v>
      </c>
      <c r="C2722" s="8" t="s">
        <v>7869</v>
      </c>
      <c r="D2722" s="8" t="s">
        <v>7840</v>
      </c>
    </row>
    <row r="2723" spans="1:4" ht="36" customHeight="1">
      <c r="A2723" s="26">
        <v>2718</v>
      </c>
      <c r="B2723" s="25" t="s">
        <v>7870</v>
      </c>
      <c r="C2723" s="8" t="s">
        <v>7871</v>
      </c>
      <c r="D2723" s="8" t="s">
        <v>7840</v>
      </c>
    </row>
    <row r="2724" spans="1:4" ht="36" customHeight="1">
      <c r="A2724" s="26">
        <v>2719</v>
      </c>
      <c r="B2724" s="25" t="s">
        <v>7872</v>
      </c>
      <c r="C2724" s="8" t="s">
        <v>7873</v>
      </c>
      <c r="D2724" s="8" t="s">
        <v>7840</v>
      </c>
    </row>
    <row r="2725" spans="1:4" ht="36" customHeight="1">
      <c r="A2725" s="26">
        <v>2720</v>
      </c>
      <c r="B2725" s="25" t="s">
        <v>7874</v>
      </c>
      <c r="C2725" s="8" t="s">
        <v>7875</v>
      </c>
      <c r="D2725" s="8" t="s">
        <v>7840</v>
      </c>
    </row>
    <row r="2726" spans="1:4" ht="36" customHeight="1">
      <c r="A2726" s="26">
        <v>2721</v>
      </c>
      <c r="B2726" s="25" t="s">
        <v>7876</v>
      </c>
      <c r="C2726" s="8" t="s">
        <v>7877</v>
      </c>
      <c r="D2726" s="8" t="s">
        <v>7840</v>
      </c>
    </row>
    <row r="2727" spans="1:4" ht="36" customHeight="1">
      <c r="A2727" s="26">
        <v>2722</v>
      </c>
      <c r="B2727" s="25" t="s">
        <v>7878</v>
      </c>
      <c r="C2727" s="8" t="s">
        <v>7879</v>
      </c>
      <c r="D2727" s="8" t="s">
        <v>7840</v>
      </c>
    </row>
    <row r="2728" spans="1:4" ht="36" customHeight="1">
      <c r="A2728" s="26">
        <v>2723</v>
      </c>
      <c r="B2728" s="25" t="s">
        <v>7880</v>
      </c>
      <c r="C2728" s="8" t="s">
        <v>7881</v>
      </c>
      <c r="D2728" s="8" t="s">
        <v>4000</v>
      </c>
    </row>
    <row r="2729" spans="1:4" ht="36" customHeight="1">
      <c r="A2729" s="26">
        <v>2724</v>
      </c>
      <c r="B2729" s="25" t="s">
        <v>7882</v>
      </c>
      <c r="C2729" s="8" t="s">
        <v>7883</v>
      </c>
      <c r="D2729" s="8" t="s">
        <v>7840</v>
      </c>
    </row>
    <row r="2730" spans="1:4" ht="36" customHeight="1">
      <c r="A2730" s="26">
        <v>2725</v>
      </c>
      <c r="B2730" s="25" t="s">
        <v>7884</v>
      </c>
      <c r="C2730" s="8" t="s">
        <v>7885</v>
      </c>
      <c r="D2730" s="8" t="s">
        <v>4000</v>
      </c>
    </row>
    <row r="2731" spans="1:4" ht="36" customHeight="1">
      <c r="A2731" s="26">
        <v>2726</v>
      </c>
      <c r="B2731" s="25" t="s">
        <v>7886</v>
      </c>
      <c r="C2731" s="8" t="s">
        <v>7887</v>
      </c>
      <c r="D2731" s="8" t="s">
        <v>4000</v>
      </c>
    </row>
    <row r="2732" spans="1:4" ht="36" customHeight="1">
      <c r="A2732" s="26">
        <v>2727</v>
      </c>
      <c r="B2732" s="25" t="s">
        <v>7888</v>
      </c>
      <c r="C2732" s="8" t="s">
        <v>7889</v>
      </c>
      <c r="D2732" s="8" t="s">
        <v>4000</v>
      </c>
    </row>
    <row r="2733" spans="1:4" ht="36" customHeight="1">
      <c r="A2733" s="26">
        <v>2728</v>
      </c>
      <c r="B2733" s="25" t="s">
        <v>7890</v>
      </c>
      <c r="C2733" s="8" t="s">
        <v>7891</v>
      </c>
      <c r="D2733" s="8" t="s">
        <v>7840</v>
      </c>
    </row>
    <row r="2734" spans="1:4" ht="36" customHeight="1">
      <c r="A2734" s="26">
        <v>2729</v>
      </c>
      <c r="B2734" s="25" t="s">
        <v>7892</v>
      </c>
      <c r="C2734" s="8" t="s">
        <v>7893</v>
      </c>
      <c r="D2734" s="8" t="s">
        <v>7840</v>
      </c>
    </row>
    <row r="2735" spans="1:4" ht="36" customHeight="1">
      <c r="A2735" s="26">
        <v>2730</v>
      </c>
      <c r="B2735" s="25" t="s">
        <v>7894</v>
      </c>
      <c r="C2735" s="8" t="s">
        <v>7895</v>
      </c>
      <c r="D2735" s="8" t="s">
        <v>7840</v>
      </c>
    </row>
    <row r="2736" spans="1:4" ht="36" customHeight="1">
      <c r="A2736" s="26">
        <v>2731</v>
      </c>
      <c r="B2736" s="25" t="s">
        <v>7896</v>
      </c>
      <c r="C2736" s="8" t="s">
        <v>7897</v>
      </c>
      <c r="D2736" s="8" t="s">
        <v>7840</v>
      </c>
    </row>
    <row r="2737" spans="1:4" ht="36" customHeight="1">
      <c r="A2737" s="26">
        <v>2732</v>
      </c>
      <c r="B2737" s="25" t="s">
        <v>7898</v>
      </c>
      <c r="C2737" s="8" t="s">
        <v>7899</v>
      </c>
      <c r="D2737" s="8" t="s">
        <v>7840</v>
      </c>
    </row>
    <row r="2738" spans="1:4" ht="36" customHeight="1">
      <c r="A2738" s="26">
        <v>2733</v>
      </c>
      <c r="B2738" s="25" t="s">
        <v>7900</v>
      </c>
      <c r="C2738" s="8" t="s">
        <v>7901</v>
      </c>
      <c r="D2738" s="8" t="s">
        <v>7840</v>
      </c>
    </row>
    <row r="2739" spans="1:4" ht="36" customHeight="1">
      <c r="A2739" s="26">
        <v>2734</v>
      </c>
      <c r="B2739" s="25" t="s">
        <v>7902</v>
      </c>
      <c r="C2739" s="8" t="s">
        <v>7903</v>
      </c>
      <c r="D2739" s="8" t="s">
        <v>7840</v>
      </c>
    </row>
    <row r="2740" spans="1:4" ht="36" customHeight="1">
      <c r="A2740" s="26">
        <v>2735</v>
      </c>
      <c r="B2740" s="25" t="s">
        <v>7904</v>
      </c>
      <c r="C2740" s="8" t="s">
        <v>7905</v>
      </c>
      <c r="D2740" s="8" t="s">
        <v>7840</v>
      </c>
    </row>
    <row r="2741" spans="1:4" ht="36" customHeight="1">
      <c r="A2741" s="26">
        <v>2736</v>
      </c>
      <c r="B2741" s="25" t="s">
        <v>7906</v>
      </c>
      <c r="C2741" s="8" t="s">
        <v>7907</v>
      </c>
      <c r="D2741" s="8" t="s">
        <v>7840</v>
      </c>
    </row>
    <row r="2742" spans="1:4" ht="36" customHeight="1">
      <c r="A2742" s="26">
        <v>2737</v>
      </c>
      <c r="B2742" s="25" t="s">
        <v>7908</v>
      </c>
      <c r="C2742" s="8" t="s">
        <v>7909</v>
      </c>
      <c r="D2742" s="8" t="s">
        <v>7840</v>
      </c>
    </row>
    <row r="2743" spans="1:4" ht="36" customHeight="1">
      <c r="A2743" s="26">
        <v>2738</v>
      </c>
      <c r="B2743" s="25" t="s">
        <v>7910</v>
      </c>
      <c r="C2743" s="8" t="s">
        <v>7911</v>
      </c>
      <c r="D2743" s="8" t="s">
        <v>4000</v>
      </c>
    </row>
    <row r="2744" spans="1:4" ht="36" customHeight="1">
      <c r="A2744" s="26">
        <v>2739</v>
      </c>
      <c r="B2744" s="25" t="s">
        <v>7912</v>
      </c>
      <c r="C2744" s="8" t="s">
        <v>7913</v>
      </c>
      <c r="D2744" s="8" t="s">
        <v>4000</v>
      </c>
    </row>
    <row r="2745" spans="1:4" ht="36" customHeight="1">
      <c r="A2745" s="26">
        <v>2740</v>
      </c>
      <c r="B2745" s="25" t="s">
        <v>7914</v>
      </c>
      <c r="C2745" s="8" t="s">
        <v>7915</v>
      </c>
      <c r="D2745" s="8" t="s">
        <v>4000</v>
      </c>
    </row>
    <row r="2746" spans="1:4" ht="36" customHeight="1">
      <c r="A2746" s="26">
        <v>2741</v>
      </c>
      <c r="B2746" s="25" t="s">
        <v>7916</v>
      </c>
      <c r="C2746" s="8" t="s">
        <v>7917</v>
      </c>
      <c r="D2746" s="8" t="s">
        <v>7840</v>
      </c>
    </row>
    <row r="2747" spans="1:4" ht="36" customHeight="1">
      <c r="A2747" s="26">
        <v>2742</v>
      </c>
      <c r="B2747" s="25" t="s">
        <v>7918</v>
      </c>
      <c r="C2747" s="8" t="s">
        <v>7919</v>
      </c>
      <c r="D2747" s="8" t="s">
        <v>7840</v>
      </c>
    </row>
    <row r="2748" spans="1:4" ht="36" customHeight="1">
      <c r="A2748" s="26">
        <v>2743</v>
      </c>
      <c r="B2748" s="25" t="s">
        <v>7920</v>
      </c>
      <c r="C2748" s="8" t="s">
        <v>7921</v>
      </c>
      <c r="D2748" s="8" t="s">
        <v>7840</v>
      </c>
    </row>
    <row r="2749" spans="1:4" ht="36" customHeight="1">
      <c r="A2749" s="26">
        <v>2744</v>
      </c>
      <c r="B2749" s="25" t="s">
        <v>7922</v>
      </c>
      <c r="C2749" s="8" t="s">
        <v>7923</v>
      </c>
      <c r="D2749" s="8" t="s">
        <v>7840</v>
      </c>
    </row>
    <row r="2750" spans="1:4" ht="36" customHeight="1">
      <c r="A2750" s="26">
        <v>2745</v>
      </c>
      <c r="B2750" s="25" t="s">
        <v>7924</v>
      </c>
      <c r="C2750" s="8" t="s">
        <v>7925</v>
      </c>
      <c r="D2750" s="8" t="s">
        <v>7840</v>
      </c>
    </row>
    <row r="2751" spans="1:4" ht="36" customHeight="1">
      <c r="A2751" s="26">
        <v>2746</v>
      </c>
      <c r="B2751" s="25" t="s">
        <v>7926</v>
      </c>
      <c r="C2751" s="8" t="s">
        <v>7927</v>
      </c>
      <c r="D2751" s="8" t="s">
        <v>7840</v>
      </c>
    </row>
    <row r="2752" spans="1:4" ht="36" customHeight="1">
      <c r="A2752" s="26">
        <v>2747</v>
      </c>
      <c r="B2752" s="25" t="s">
        <v>7928</v>
      </c>
      <c r="C2752" s="8" t="s">
        <v>7929</v>
      </c>
      <c r="D2752" s="8" t="s">
        <v>7840</v>
      </c>
    </row>
    <row r="2753" spans="1:4" ht="36" customHeight="1">
      <c r="A2753" s="26">
        <v>2748</v>
      </c>
      <c r="B2753" s="25" t="s">
        <v>7930</v>
      </c>
      <c r="C2753" s="8" t="s">
        <v>7931</v>
      </c>
      <c r="D2753" s="8" t="s">
        <v>7932</v>
      </c>
    </row>
    <row r="2754" spans="1:4" ht="36" customHeight="1">
      <c r="A2754" s="26">
        <v>2749</v>
      </c>
      <c r="B2754" s="25" t="s">
        <v>7933</v>
      </c>
      <c r="C2754" s="8" t="s">
        <v>7934</v>
      </c>
      <c r="D2754" s="8" t="s">
        <v>7932</v>
      </c>
    </row>
    <row r="2755" spans="1:4" ht="36" customHeight="1">
      <c r="A2755" s="26">
        <v>2750</v>
      </c>
      <c r="B2755" s="25" t="s">
        <v>7935</v>
      </c>
      <c r="C2755" s="8" t="s">
        <v>7936</v>
      </c>
      <c r="D2755" s="8" t="s">
        <v>7840</v>
      </c>
    </row>
    <row r="2756" spans="1:4" ht="36" customHeight="1">
      <c r="A2756" s="26">
        <v>2751</v>
      </c>
      <c r="B2756" s="25" t="s">
        <v>7937</v>
      </c>
      <c r="C2756" s="8" t="s">
        <v>7938</v>
      </c>
      <c r="D2756" s="8" t="s">
        <v>7840</v>
      </c>
    </row>
    <row r="2757" spans="1:4" ht="36" customHeight="1">
      <c r="A2757" s="26">
        <v>2752</v>
      </c>
      <c r="B2757" s="25" t="s">
        <v>7939</v>
      </c>
      <c r="C2757" s="8" t="s">
        <v>7939</v>
      </c>
      <c r="D2757" s="8" t="s">
        <v>7939</v>
      </c>
    </row>
    <row r="2758" spans="1:4" ht="36" customHeight="1">
      <c r="A2758" s="26">
        <v>2753</v>
      </c>
      <c r="B2758" s="25" t="s">
        <v>7939</v>
      </c>
      <c r="C2758" s="8" t="s">
        <v>7939</v>
      </c>
      <c r="D2758" s="8" t="s">
        <v>7939</v>
      </c>
    </row>
    <row r="2759" spans="1:4" ht="36" customHeight="1">
      <c r="A2759" s="26">
        <v>2754</v>
      </c>
      <c r="B2759" s="25" t="s">
        <v>7939</v>
      </c>
      <c r="C2759" s="8" t="s">
        <v>7939</v>
      </c>
      <c r="D2759" s="8" t="s">
        <v>7939</v>
      </c>
    </row>
  </sheetData>
  <mergeCells count="3">
    <mergeCell ref="A3:D3"/>
    <mergeCell ref="A4:D4"/>
    <mergeCell ref="A5:D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Empezar aquí</vt:lpstr>
      <vt:lpstr>Catálogo común</vt:lpstr>
      <vt:lpstr>Neuquén</vt:lpstr>
      <vt:lpstr>San Juan</vt:lpstr>
      <vt:lpstr>Salta</vt:lpstr>
      <vt:lpstr>Master vs SAP</vt:lpstr>
      <vt:lpstr>Datos originales</vt:lpstr>
      <vt:lpstr>Inventario Salta original</vt:lpstr>
      <vt:lpstr>SAP 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Alonso, Santiago</dc:creator>
  <cp:lastModifiedBy>Alonso, Santiago</cp:lastModifiedBy>
  <dcterms:created xsi:type="dcterms:W3CDTF">2026-09-25T16:06:35Z</dcterms:created>
  <dcterms:modified xsi:type="dcterms:W3CDTF">2026-10-02T17:52:33Z</dcterms:modified>
</cp:coreProperties>
</file>